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default.LAPTOP-0DKHJTJ0\Desktop\dudbcapp\"/>
    </mc:Choice>
  </mc:AlternateContent>
  <xr:revisionPtr revIDLastSave="0" documentId="13_ncr:1_{589C59C6-06F6-4433-9226-3D47C612D5A6}" xr6:coauthVersionLast="47" xr6:coauthVersionMax="47" xr10:uidLastSave="{00000000-0000-0000-0000-000000000000}"/>
  <bookViews>
    <workbookView xWindow="-108" yWindow="-108" windowWidth="23256" windowHeight="12576" tabRatio="927" firstSheet="2" activeTab="3" xr2:uid="{92DCD55A-32E2-4B8A-B2A4-40A2DBBA4FF4}"/>
  </bookViews>
  <sheets>
    <sheet name="cover" sheetId="8" state="hidden" r:id="rId1"/>
    <sheet name="Summary" sheetId="3" state="hidden" r:id="rId2"/>
    <sheet name="Basic Rate" sheetId="1" r:id="rId3"/>
    <sheet name="Rate Analysis" sheetId="4" r:id="rId4"/>
    <sheet name="LABOUR 2082083" sheetId="20" state="hidden" r:id="rId5"/>
    <sheet name="Aluminium Door-Windows" sheetId="11" state="hidden" r:id="rId6"/>
    <sheet name="Add Analysis" sheetId="12" state="hidden" r:id="rId7"/>
    <sheet name="LM Collection" sheetId="18" state="hidden" r:id="rId8"/>
    <sheet name="Cover1" sheetId="15" state="hidden" r:id="rId9"/>
    <sheet name="add" sheetId="13" state="hidden" r:id="rId10"/>
    <sheet name="HDP,Pipe,Rate" sheetId="22" state="hidden" r:id="rId11"/>
    <sheet name="Sheet1" sheetId="19" state="hidden" r:id="rId12"/>
    <sheet name="aluminium dw" sheetId="23" state="hidden" r:id="rId13"/>
  </sheets>
  <externalReferences>
    <externalReference r:id="rId14"/>
    <externalReference r:id="rId15"/>
    <externalReference r:id="rId16"/>
    <externalReference r:id="rId17"/>
    <externalReference r:id="rId18"/>
    <externalReference r:id="rId19"/>
  </externalReferences>
  <definedNames>
    <definedName name="jphalak" localSheetId="12">'[1]Dist. Rate'!$F$56</definedName>
    <definedName name="jphalak">'[2]Dist. Rate'!$F$56</definedName>
    <definedName name="mason">'[3]update Rate'!$F$6</definedName>
    <definedName name="_xlnm.Print_Area" localSheetId="5">'Aluminium Door-Windows'!$A$1:$G$37</definedName>
    <definedName name="_xlnm.Print_Area" localSheetId="12">'aluminium dw'!$A$1:$G$24</definedName>
    <definedName name="_xlnm.Print_Area" localSheetId="2">'Basic Rate'!$A$1:$H$233</definedName>
    <definedName name="_xlnm.Print_Area" localSheetId="8">Cover1!$A$1:$G$27</definedName>
    <definedName name="_xlnm.Print_Area" localSheetId="4">'LABOUR 2082083'!$A$1:$G$37</definedName>
    <definedName name="_xlnm.Print_Area" localSheetId="3">'Rate Analysis'!$A$1:$I$3478</definedName>
    <definedName name="_xlnm.Print_Area" localSheetId="1">Summary!$A$1:$F$354</definedName>
    <definedName name="_xlnm.Print_Titles" localSheetId="2">'Basic Rate'!$1:$7</definedName>
    <definedName name="_xlnm.Print_Titles" localSheetId="1">Summary!$5:$8</definedName>
    <definedName name="sand">[4]District_Rate!$D$99</definedName>
  </definedNames>
  <calcPr calcId="181029"/>
</workbook>
</file>

<file path=xl/calcChain.xml><?xml version="1.0" encoding="utf-8"?>
<calcChain xmlns="http://schemas.openxmlformats.org/spreadsheetml/2006/main">
  <c r="D64" i="1" l="1"/>
  <c r="F192" i="1"/>
  <c r="F193" i="1"/>
  <c r="F194" i="1"/>
  <c r="F654" i="4" s="1"/>
  <c r="G654" i="4" s="1"/>
  <c r="D147" i="1"/>
  <c r="D99" i="1"/>
  <c r="D100" i="1" s="1"/>
  <c r="D101" i="1" s="1"/>
  <c r="F101" i="1" s="1"/>
  <c r="D14" i="1"/>
  <c r="D13" i="1"/>
  <c r="A1" i="3"/>
  <c r="A2" i="3"/>
  <c r="A3" i="3"/>
  <c r="L64" i="1"/>
  <c r="L65" i="1" s="1"/>
  <c r="F85" i="3"/>
  <c r="F86" i="3"/>
  <c r="F87" i="3"/>
  <c r="F88" i="3"/>
  <c r="F89" i="3"/>
  <c r="F90" i="3"/>
  <c r="F91" i="3"/>
  <c r="F84" i="3"/>
  <c r="A57" i="3"/>
  <c r="B57" i="3"/>
  <c r="G472" i="4"/>
  <c r="G473" i="4"/>
  <c r="G474" i="4"/>
  <c r="G475" i="4"/>
  <c r="G476" i="4"/>
  <c r="G471" i="4"/>
  <c r="F479" i="4"/>
  <c r="F478" i="4"/>
  <c r="F477" i="4"/>
  <c r="E354" i="3"/>
  <c r="F354" i="3"/>
  <c r="E353" i="3"/>
  <c r="F353" i="3" s="1"/>
  <c r="G7" i="23"/>
  <c r="D9" i="23"/>
  <c r="F9" i="23" s="1"/>
  <c r="F3258" i="4" s="1"/>
  <c r="G3258" i="4" s="1"/>
  <c r="D148" i="1"/>
  <c r="F148" i="1" s="1"/>
  <c r="F586" i="4" s="1"/>
  <c r="F64" i="1"/>
  <c r="A111" i="3"/>
  <c r="B111" i="3" s="1"/>
  <c r="A112" i="3"/>
  <c r="A113" i="3"/>
  <c r="B113" i="3" s="1"/>
  <c r="A114" i="3"/>
  <c r="B114" i="3"/>
  <c r="A115" i="3"/>
  <c r="B115" i="3" s="1"/>
  <c r="A116" i="3"/>
  <c r="A117" i="3"/>
  <c r="A118" i="3"/>
  <c r="C118" i="3" s="1"/>
  <c r="A119" i="3"/>
  <c r="A120" i="3"/>
  <c r="B120" i="3" s="1"/>
  <c r="A121" i="3"/>
  <c r="B121" i="3" s="1"/>
  <c r="A122" i="3"/>
  <c r="A123" i="3"/>
  <c r="B123" i="3" s="1"/>
  <c r="A124" i="3"/>
  <c r="D124" i="3"/>
  <c r="A125" i="3"/>
  <c r="A126" i="3"/>
  <c r="A127" i="3"/>
  <c r="C127" i="3"/>
  <c r="A128" i="3"/>
  <c r="B128" i="3" s="1"/>
  <c r="A129" i="3"/>
  <c r="B129" i="3"/>
  <c r="A130" i="3"/>
  <c r="C130" i="3" s="1"/>
  <c r="D43" i="1"/>
  <c r="F1161" i="4"/>
  <c r="G1161" i="4" s="1"/>
  <c r="F1038" i="4"/>
  <c r="G1038" i="4" s="1"/>
  <c r="D50" i="1"/>
  <c r="D41" i="1"/>
  <c r="F41" i="1" s="1"/>
  <c r="F1111" i="4" s="1"/>
  <c r="G1111" i="4" s="1"/>
  <c r="D40" i="1"/>
  <c r="F40" i="1" s="1"/>
  <c r="F1101" i="4" s="1"/>
  <c r="G1101" i="4" s="1"/>
  <c r="D53" i="1"/>
  <c r="D52" i="1"/>
  <c r="D51" i="1"/>
  <c r="F1051" i="4" s="1"/>
  <c r="G1051" i="4" s="1"/>
  <c r="F1122" i="4"/>
  <c r="G1122" i="4" s="1"/>
  <c r="D49" i="1"/>
  <c r="D47" i="1"/>
  <c r="F1077" i="4" s="1"/>
  <c r="F1089" i="4" s="1"/>
  <c r="G1089" i="4" s="1"/>
  <c r="D46" i="1"/>
  <c r="D45" i="1"/>
  <c r="D44" i="1"/>
  <c r="D42" i="1"/>
  <c r="F1533" i="4"/>
  <c r="G1533" i="4" s="1"/>
  <c r="D121" i="1"/>
  <c r="F142" i="1"/>
  <c r="C142" i="1"/>
  <c r="F141" i="1"/>
  <c r="F140" i="1"/>
  <c r="F121" i="4"/>
  <c r="D1797" i="4"/>
  <c r="D1808" i="4" s="1"/>
  <c r="F138" i="4"/>
  <c r="G138" i="4"/>
  <c r="F114" i="4"/>
  <c r="G114" i="4" s="1"/>
  <c r="G115" i="4" s="1"/>
  <c r="F41" i="4"/>
  <c r="G41" i="4"/>
  <c r="G42" i="4" s="1"/>
  <c r="F20" i="4"/>
  <c r="G20" i="4" s="1"/>
  <c r="G21" i="4" s="1"/>
  <c r="H233" i="1"/>
  <c r="D233" i="1"/>
  <c r="F233" i="1"/>
  <c r="F146" i="4" s="1"/>
  <c r="G146" i="4" s="1"/>
  <c r="G147" i="4" s="1"/>
  <c r="D226" i="1"/>
  <c r="F226" i="1" s="1"/>
  <c r="D225" i="1"/>
  <c r="D223" i="1"/>
  <c r="F223" i="1" s="1"/>
  <c r="D222" i="1"/>
  <c r="F222" i="1" s="1"/>
  <c r="F1399" i="4" s="1"/>
  <c r="G1399" i="4" s="1"/>
  <c r="F217" i="1"/>
  <c r="F153" i="4" s="1"/>
  <c r="G153" i="4" s="1"/>
  <c r="G154" i="4" s="1"/>
  <c r="D209" i="1"/>
  <c r="F209" i="1" s="1"/>
  <c r="F190" i="1"/>
  <c r="F410" i="4" s="1"/>
  <c r="G410" i="4"/>
  <c r="F191" i="1"/>
  <c r="F1940" i="4" s="1"/>
  <c r="D201" i="1"/>
  <c r="F201" i="1"/>
  <c r="D200" i="1"/>
  <c r="F200" i="1"/>
  <c r="D198" i="1"/>
  <c r="F198" i="1"/>
  <c r="D196" i="1"/>
  <c r="F196" i="1"/>
  <c r="F2765" i="4" s="1"/>
  <c r="F2777" i="4" s="1"/>
  <c r="D187" i="1"/>
  <c r="F187" i="1"/>
  <c r="D188" i="1"/>
  <c r="F188" i="1" s="1"/>
  <c r="D186" i="1"/>
  <c r="F186" i="1"/>
  <c r="D185" i="1"/>
  <c r="F185" i="1" s="1"/>
  <c r="F117" i="1"/>
  <c r="F116" i="1"/>
  <c r="D169" i="1"/>
  <c r="F169" i="1" s="1"/>
  <c r="F3047" i="4" s="1"/>
  <c r="G3047" i="4" s="1"/>
  <c r="G3048" i="4" s="1"/>
  <c r="D161" i="1"/>
  <c r="F161" i="1" s="1"/>
  <c r="D158" i="1"/>
  <c r="F158" i="1" s="1"/>
  <c r="F2756" i="4" s="1"/>
  <c r="G2756" i="4" s="1"/>
  <c r="D157" i="1"/>
  <c r="F157" i="1" s="1"/>
  <c r="F1545" i="4" s="1"/>
  <c r="G1545" i="4" s="1"/>
  <c r="F155" i="1"/>
  <c r="F1414" i="4" s="1"/>
  <c r="G1414" i="4"/>
  <c r="F153" i="1"/>
  <c r="F152" i="1"/>
  <c r="F151" i="1"/>
  <c r="F1567" i="4"/>
  <c r="F1584" i="4" s="1"/>
  <c r="F147" i="1"/>
  <c r="F1334" i="4"/>
  <c r="F1346" i="4" s="1"/>
  <c r="G1346" i="4" s="1"/>
  <c r="D143" i="1"/>
  <c r="F143" i="1"/>
  <c r="F1137" i="4" s="1"/>
  <c r="G1137" i="4"/>
  <c r="F136" i="1"/>
  <c r="F741" i="4" s="1"/>
  <c r="G741" i="4" s="1"/>
  <c r="F137" i="1"/>
  <c r="F762" i="4" s="1"/>
  <c r="G762" i="4"/>
  <c r="F138" i="1"/>
  <c r="F854" i="4" s="1"/>
  <c r="G854" i="4" s="1"/>
  <c r="F139" i="1"/>
  <c r="F882" i="4" s="1"/>
  <c r="G882" i="4"/>
  <c r="F135" i="1"/>
  <c r="F515" i="4" s="1"/>
  <c r="G515" i="4" s="1"/>
  <c r="D131" i="1"/>
  <c r="F131" i="1" s="1"/>
  <c r="F3040" i="4"/>
  <c r="G3040" i="4" s="1"/>
  <c r="G3041" i="4"/>
  <c r="D129" i="1"/>
  <c r="F129" i="1"/>
  <c r="F3070" i="4" s="1"/>
  <c r="G3070" i="4"/>
  <c r="G3071" i="4" s="1"/>
  <c r="G3067" i="4"/>
  <c r="E314" i="3" s="1"/>
  <c r="D128" i="1"/>
  <c r="F128" i="1"/>
  <c r="F3062" i="4" s="1"/>
  <c r="G3062" i="4"/>
  <c r="G3063" i="4" s="1"/>
  <c r="F124" i="1"/>
  <c r="F916" i="4" s="1"/>
  <c r="A2" i="23"/>
  <c r="A3" i="23"/>
  <c r="A4" i="23"/>
  <c r="A5" i="23"/>
  <c r="A1" i="23"/>
  <c r="D97" i="1"/>
  <c r="F97" i="1" s="1"/>
  <c r="F1333" i="4"/>
  <c r="D75" i="1"/>
  <c r="F75" i="1" s="1"/>
  <c r="F1266" i="4" s="1"/>
  <c r="G1266" i="4" s="1"/>
  <c r="D74" i="1"/>
  <c r="F74" i="1"/>
  <c r="F1254" i="4" s="1"/>
  <c r="G1254" i="4" s="1"/>
  <c r="F57" i="1"/>
  <c r="F1910" i="4"/>
  <c r="G1910" i="4" s="1"/>
  <c r="D58" i="1"/>
  <c r="F58" i="1" s="1"/>
  <c r="F1209" i="4" s="1"/>
  <c r="G1209" i="4" s="1"/>
  <c r="D20" i="1"/>
  <c r="F20" i="1" s="1"/>
  <c r="H11" i="1"/>
  <c r="A1" i="1"/>
  <c r="A1" i="11" s="1"/>
  <c r="A2" i="1"/>
  <c r="A2" i="11"/>
  <c r="A3" i="1"/>
  <c r="A3" i="11" s="1"/>
  <c r="A4" i="1"/>
  <c r="A4" i="11"/>
  <c r="A5" i="1"/>
  <c r="A5" i="11" s="1"/>
  <c r="D114" i="1"/>
  <c r="F114" i="1"/>
  <c r="F1668" i="4" s="1"/>
  <c r="G1668" i="4" s="1"/>
  <c r="D107" i="1"/>
  <c r="F107" i="1" s="1"/>
  <c r="D104" i="1"/>
  <c r="F104" i="1" s="1"/>
  <c r="D103" i="1"/>
  <c r="F103" i="1" s="1"/>
  <c r="F1951" i="4" s="1"/>
  <c r="G1951" i="4" s="1"/>
  <c r="D102" i="1"/>
  <c r="F102" i="1" s="1"/>
  <c r="D63" i="1"/>
  <c r="F63" i="1" s="1"/>
  <c r="D60" i="1"/>
  <c r="F60" i="1" s="1"/>
  <c r="F3054" i="4" s="1"/>
  <c r="G3054" i="4" s="1"/>
  <c r="G3055" i="4" s="1"/>
  <c r="G3052" i="4" s="1"/>
  <c r="D48" i="1"/>
  <c r="D39" i="1"/>
  <c r="F39" i="1" s="1"/>
  <c r="F3153" i="4" s="1"/>
  <c r="G3153" i="4" s="1"/>
  <c r="D26" i="1"/>
  <c r="F26" i="1" s="1"/>
  <c r="D25" i="1"/>
  <c r="F25" i="1"/>
  <c r="F3091" i="4" s="1"/>
  <c r="G3091" i="4" s="1"/>
  <c r="J106" i="4"/>
  <c r="D10" i="23"/>
  <c r="F10" i="23" s="1"/>
  <c r="F3267" i="4" s="1"/>
  <c r="G3267" i="4" s="1"/>
  <c r="D11" i="23"/>
  <c r="F11" i="23" s="1"/>
  <c r="F3276" i="4" s="1"/>
  <c r="G3276" i="4" s="1"/>
  <c r="D12" i="23"/>
  <c r="F12" i="23" s="1"/>
  <c r="F3285" i="4" s="1"/>
  <c r="G3285" i="4" s="1"/>
  <c r="D13" i="23"/>
  <c r="F13" i="23" s="1"/>
  <c r="F3295" i="4"/>
  <c r="G3295" i="4" s="1"/>
  <c r="D14" i="23"/>
  <c r="F14" i="23" s="1"/>
  <c r="F3305" i="4" s="1"/>
  <c r="G3305" i="4" s="1"/>
  <c r="D15" i="23"/>
  <c r="F15" i="23" s="1"/>
  <c r="F3315" i="4"/>
  <c r="G3315" i="4" s="1"/>
  <c r="D16" i="23"/>
  <c r="F16" i="23" s="1"/>
  <c r="F3326" i="4" s="1"/>
  <c r="G3326" i="4" s="1"/>
  <c r="D17" i="23"/>
  <c r="F17" i="23" s="1"/>
  <c r="F3336" i="4" s="1"/>
  <c r="G3336" i="4" s="1"/>
  <c r="D18" i="23"/>
  <c r="F18" i="23" s="1"/>
  <c r="F3344" i="4" s="1"/>
  <c r="G3344" i="4" s="1"/>
  <c r="D19" i="23"/>
  <c r="F19" i="23" s="1"/>
  <c r="F3353" i="4" s="1"/>
  <c r="G3353" i="4" s="1"/>
  <c r="D20" i="23"/>
  <c r="F20" i="23" s="1"/>
  <c r="F3362" i="4" s="1"/>
  <c r="G3362" i="4" s="1"/>
  <c r="D21" i="23"/>
  <c r="F21" i="23" s="1"/>
  <c r="F3371" i="4"/>
  <c r="G3371" i="4" s="1"/>
  <c r="D22" i="23"/>
  <c r="F22" i="23" s="1"/>
  <c r="F3379" i="4" s="1"/>
  <c r="G3379" i="4" s="1"/>
  <c r="D23" i="23"/>
  <c r="F23" i="23" s="1"/>
  <c r="F3388" i="4"/>
  <c r="G3388" i="4" s="1"/>
  <c r="F24" i="23"/>
  <c r="F3397" i="4" s="1"/>
  <c r="G3397" i="4" s="1"/>
  <c r="J10" i="22"/>
  <c r="K10" i="22" s="1"/>
  <c r="J11" i="22"/>
  <c r="K11" i="22" s="1"/>
  <c r="J12" i="22"/>
  <c r="K12" i="22" s="1"/>
  <c r="H13" i="22"/>
  <c r="J13" i="22"/>
  <c r="K13" i="22" s="1"/>
  <c r="F14" i="22"/>
  <c r="H14" i="22"/>
  <c r="J14" i="22"/>
  <c r="K14" i="22" s="1"/>
  <c r="F15" i="22"/>
  <c r="H15" i="22"/>
  <c r="J15" i="22"/>
  <c r="K15" i="22" s="1"/>
  <c r="D16" i="22"/>
  <c r="F16" i="22"/>
  <c r="H16" i="22"/>
  <c r="J16" i="22"/>
  <c r="K16" i="22"/>
  <c r="D17" i="22"/>
  <c r="F17" i="22"/>
  <c r="H17" i="22"/>
  <c r="J17" i="22"/>
  <c r="K17" i="22" s="1"/>
  <c r="D18" i="22"/>
  <c r="F18" i="22"/>
  <c r="H18" i="22"/>
  <c r="J18" i="22"/>
  <c r="K18" i="22"/>
  <c r="D19" i="22"/>
  <c r="F19" i="22"/>
  <c r="H19" i="22"/>
  <c r="J19" i="22"/>
  <c r="K19" i="22" s="1"/>
  <c r="D20" i="22"/>
  <c r="F20" i="22"/>
  <c r="H20" i="22"/>
  <c r="J20" i="22"/>
  <c r="K20" i="22" s="1"/>
  <c r="D21" i="22"/>
  <c r="F21" i="22"/>
  <c r="H21" i="22"/>
  <c r="J21" i="22"/>
  <c r="K21" i="22" s="1"/>
  <c r="D22" i="22"/>
  <c r="F22" i="22"/>
  <c r="H22" i="22"/>
  <c r="J22" i="22"/>
  <c r="K22" i="22" s="1"/>
  <c r="D23" i="22"/>
  <c r="F23" i="22"/>
  <c r="H23" i="22"/>
  <c r="J23" i="22"/>
  <c r="K23" i="22" s="1"/>
  <c r="D24" i="22"/>
  <c r="F24" i="22"/>
  <c r="H24" i="22"/>
  <c r="J24" i="22"/>
  <c r="K24" i="22"/>
  <c r="D25" i="22"/>
  <c r="F25" i="22"/>
  <c r="H25" i="22"/>
  <c r="J25" i="22"/>
  <c r="K25" i="22" s="1"/>
  <c r="D26" i="22"/>
  <c r="F26" i="22"/>
  <c r="H26" i="22"/>
  <c r="J26" i="22"/>
  <c r="K26" i="22"/>
  <c r="D27" i="22"/>
  <c r="F27" i="22"/>
  <c r="H27" i="22"/>
  <c r="J27" i="22"/>
  <c r="K27" i="22" s="1"/>
  <c r="D28" i="22"/>
  <c r="F28" i="22"/>
  <c r="H28" i="22"/>
  <c r="J28" i="22"/>
  <c r="K28" i="22" s="1"/>
  <c r="D29" i="22"/>
  <c r="F29" i="22"/>
  <c r="H29" i="22"/>
  <c r="J29" i="22"/>
  <c r="K29" i="22" s="1"/>
  <c r="D30" i="22"/>
  <c r="F30" i="22"/>
  <c r="H30" i="22"/>
  <c r="J30" i="22"/>
  <c r="K30" i="22" s="1"/>
  <c r="I15" i="13"/>
  <c r="F7" i="18"/>
  <c r="F13" i="18" s="1"/>
  <c r="G13" i="18" s="1"/>
  <c r="G16" i="18" s="1"/>
  <c r="F8" i="18"/>
  <c r="G9" i="18"/>
  <c r="G15" i="18"/>
  <c r="G19" i="18"/>
  <c r="G21" i="18" s="1"/>
  <c r="G20" i="18"/>
  <c r="G31" i="18"/>
  <c r="G35" i="18"/>
  <c r="D5" i="12"/>
  <c r="G25" i="12"/>
  <c r="G26" i="12"/>
  <c r="G27" i="12"/>
  <c r="F10" i="11"/>
  <c r="L10" i="11"/>
  <c r="F11" i="11"/>
  <c r="F12" i="11"/>
  <c r="F13" i="11"/>
  <c r="K13" i="11"/>
  <c r="F14" i="11"/>
  <c r="F15" i="11"/>
  <c r="F16" i="11"/>
  <c r="F17" i="11"/>
  <c r="F18" i="11"/>
  <c r="F19" i="11"/>
  <c r="F20" i="11"/>
  <c r="F21" i="11"/>
  <c r="F22" i="11"/>
  <c r="F23" i="11"/>
  <c r="L23" i="11"/>
  <c r="F24" i="11"/>
  <c r="L24" i="11"/>
  <c r="F25" i="11"/>
  <c r="L25" i="11"/>
  <c r="F26" i="11"/>
  <c r="L26" i="11"/>
  <c r="F5" i="4"/>
  <c r="G5" i="4" s="1"/>
  <c r="G6" i="4"/>
  <c r="F215" i="4"/>
  <c r="G215" i="4" s="1"/>
  <c r="H26" i="20"/>
  <c r="F66" i="4"/>
  <c r="G66" i="4"/>
  <c r="F67" i="4"/>
  <c r="G67" i="4" s="1"/>
  <c r="G69" i="4"/>
  <c r="G70" i="4"/>
  <c r="G71" i="4"/>
  <c r="F97" i="4"/>
  <c r="G97" i="4" s="1"/>
  <c r="G98" i="4"/>
  <c r="F105" i="4"/>
  <c r="G105" i="4" s="1"/>
  <c r="C122" i="4"/>
  <c r="F129" i="4"/>
  <c r="G129" i="4" s="1"/>
  <c r="F166" i="4"/>
  <c r="G166" i="4" s="1"/>
  <c r="F216" i="4"/>
  <c r="G216" i="4" s="1"/>
  <c r="F217" i="4"/>
  <c r="D246" i="4"/>
  <c r="D260" i="4" s="1"/>
  <c r="C262" i="4"/>
  <c r="C276" i="4"/>
  <c r="C289" i="4" s="1"/>
  <c r="C303" i="4"/>
  <c r="C317" i="4" s="1"/>
  <c r="C331" i="4" s="1"/>
  <c r="G416" i="4"/>
  <c r="E51" i="3"/>
  <c r="G425" i="4"/>
  <c r="G426" i="4" s="1"/>
  <c r="H416" i="4" s="1"/>
  <c r="F51" i="3" s="1"/>
  <c r="F487" i="4"/>
  <c r="G487" i="4" s="1"/>
  <c r="C686" i="4"/>
  <c r="C709" i="4"/>
  <c r="C731" i="4" s="1"/>
  <c r="F867" i="4"/>
  <c r="G867" i="4" s="1"/>
  <c r="D948" i="4"/>
  <c r="D985" i="4"/>
  <c r="D986" i="4"/>
  <c r="C1077" i="4"/>
  <c r="G1144" i="4"/>
  <c r="G1153" i="4"/>
  <c r="G1154" i="4" s="1"/>
  <c r="H1144" i="4" s="1"/>
  <c r="G1157" i="4"/>
  <c r="E116" i="3" s="1"/>
  <c r="G1166" i="4"/>
  <c r="G1167" i="4" s="1"/>
  <c r="H1157" i="4" s="1"/>
  <c r="G1170" i="4"/>
  <c r="G1179" i="4"/>
  <c r="G1180" i="4" s="1"/>
  <c r="H1170" i="4" s="1"/>
  <c r="G1183" i="4"/>
  <c r="E118" i="3" s="1"/>
  <c r="G1192" i="4"/>
  <c r="G1193" i="4" s="1"/>
  <c r="H1183" i="4" s="1"/>
  <c r="F1219" i="4"/>
  <c r="G1219" i="4"/>
  <c r="F1278" i="4"/>
  <c r="G1278" i="4" s="1"/>
  <c r="F1330" i="4"/>
  <c r="G1330" i="4"/>
  <c r="I1356" i="4"/>
  <c r="I1357" i="4" s="1"/>
  <c r="J1356" i="4"/>
  <c r="J1357" i="4" s="1"/>
  <c r="C1360" i="4"/>
  <c r="I1371" i="4"/>
  <c r="I1413" i="4"/>
  <c r="F1459" i="4"/>
  <c r="G1459" i="4" s="1"/>
  <c r="J1472" i="4"/>
  <c r="F1547" i="4"/>
  <c r="J1566" i="4"/>
  <c r="I1583" i="4"/>
  <c r="F1587" i="4"/>
  <c r="F1604" i="4" s="1"/>
  <c r="I1600" i="4"/>
  <c r="F1617" i="4"/>
  <c r="G1617" i="4" s="1"/>
  <c r="C1630" i="4"/>
  <c r="C1641" i="4"/>
  <c r="C1653" i="4"/>
  <c r="C1665" i="4" s="1"/>
  <c r="F1679" i="4"/>
  <c r="F1696" i="4"/>
  <c r="G1679" i="4"/>
  <c r="F1680" i="4"/>
  <c r="G1680" i="4" s="1"/>
  <c r="C1682" i="4"/>
  <c r="C1699" i="4" s="1"/>
  <c r="C1717" i="4" s="1"/>
  <c r="C1734" i="4" s="1"/>
  <c r="C1750" i="4" s="1"/>
  <c r="C1762" i="4" s="1"/>
  <c r="C1775" i="4" s="1"/>
  <c r="C1787" i="4" s="1"/>
  <c r="C1798" i="4" s="1"/>
  <c r="C1809" i="4" s="1"/>
  <c r="C1820" i="4" s="1"/>
  <c r="C1831" i="4" s="1"/>
  <c r="C1852" i="4" s="1"/>
  <c r="F1732" i="4"/>
  <c r="G1732" i="4"/>
  <c r="C1737" i="4"/>
  <c r="C1738" i="4"/>
  <c r="C1940" i="4"/>
  <c r="C1952" i="4"/>
  <c r="C1963" i="4"/>
  <c r="F1973" i="4"/>
  <c r="G1973" i="4" s="1"/>
  <c r="D2307" i="4"/>
  <c r="D2308" i="4"/>
  <c r="D2328" i="4"/>
  <c r="D2329" i="4"/>
  <c r="J2590" i="4"/>
  <c r="C2789" i="4"/>
  <c r="F2812" i="4"/>
  <c r="G2812" i="4" s="1"/>
  <c r="F2821" i="4"/>
  <c r="G2821" i="4" s="1"/>
  <c r="F2830" i="4"/>
  <c r="G2830" i="4" s="1"/>
  <c r="D2891" i="4"/>
  <c r="D2892" i="4"/>
  <c r="D2947" i="4"/>
  <c r="D2948" i="4"/>
  <c r="D3013" i="4"/>
  <c r="J3022" i="4"/>
  <c r="K3022" i="4" s="1"/>
  <c r="K3023" i="4" s="1"/>
  <c r="F3103" i="4"/>
  <c r="G3103" i="4"/>
  <c r="F3139" i="4"/>
  <c r="G3141" i="4"/>
  <c r="G3142" i="4"/>
  <c r="G3151" i="4"/>
  <c r="G3152" i="4"/>
  <c r="C3153" i="4"/>
  <c r="G3157" i="4"/>
  <c r="H3157" i="4"/>
  <c r="D3171" i="4"/>
  <c r="F3171" i="4"/>
  <c r="C3254" i="4"/>
  <c r="C337" i="3"/>
  <c r="H3258" i="4"/>
  <c r="C3263" i="4"/>
  <c r="C338" i="3" s="1"/>
  <c r="K3263" i="4"/>
  <c r="H3267" i="4"/>
  <c r="C3272" i="4"/>
  <c r="C339" i="3" s="1"/>
  <c r="H3276" i="4"/>
  <c r="C3281" i="4"/>
  <c r="C340" i="3"/>
  <c r="H3285" i="4"/>
  <c r="C3291" i="4"/>
  <c r="C341" i="3" s="1"/>
  <c r="H3295" i="4"/>
  <c r="C3301" i="4"/>
  <c r="C342" i="3" s="1"/>
  <c r="H3305" i="4"/>
  <c r="C3311" i="4"/>
  <c r="H3315" i="4"/>
  <c r="C3322" i="4"/>
  <c r="C3326" i="4" s="1"/>
  <c r="H3326" i="4"/>
  <c r="C3332" i="4"/>
  <c r="H3336" i="4"/>
  <c r="C3340" i="4"/>
  <c r="C3344" i="4"/>
  <c r="H3344" i="4"/>
  <c r="C3349" i="4"/>
  <c r="C347" i="3" s="1"/>
  <c r="H3353" i="4"/>
  <c r="C3358" i="4"/>
  <c r="H3362" i="4"/>
  <c r="C3367" i="4"/>
  <c r="C349" i="3"/>
  <c r="C3371" i="4"/>
  <c r="H3371" i="4"/>
  <c r="C3375" i="4"/>
  <c r="C3379" i="4"/>
  <c r="H3379" i="4"/>
  <c r="C3384" i="4"/>
  <c r="C3388" i="4" s="1"/>
  <c r="H3388" i="4"/>
  <c r="C3393" i="4"/>
  <c r="C3397" i="4" s="1"/>
  <c r="H3397" i="4"/>
  <c r="G3405" i="4"/>
  <c r="D3406" i="4"/>
  <c r="F3406" i="4"/>
  <c r="G3406" i="4" s="1"/>
  <c r="A3411" i="4"/>
  <c r="A3425" i="4" s="1"/>
  <c r="B3413" i="4"/>
  <c r="C3413" i="4"/>
  <c r="D3413" i="4"/>
  <c r="F3414" i="4"/>
  <c r="G3414" i="4"/>
  <c r="F3415" i="4"/>
  <c r="G3415" i="4" s="1"/>
  <c r="F3416" i="4"/>
  <c r="F3430" i="4" s="1"/>
  <c r="G3430" i="4" s="1"/>
  <c r="H3433" i="4" s="1"/>
  <c r="F3417" i="4"/>
  <c r="F3431" i="4" s="1"/>
  <c r="G3431" i="4" s="1"/>
  <c r="G3418" i="4"/>
  <c r="F3419" i="4"/>
  <c r="G3419" i="4" s="1"/>
  <c r="F3428" i="4"/>
  <c r="G3428" i="4" s="1"/>
  <c r="G3432" i="4"/>
  <c r="F3433" i="4"/>
  <c r="G3433" i="4"/>
  <c r="G3445" i="4"/>
  <c r="G3446" i="4"/>
  <c r="G3447" i="4"/>
  <c r="F3458" i="4"/>
  <c r="G3458" i="4" s="1"/>
  <c r="C3460" i="4"/>
  <c r="A3468" i="4"/>
  <c r="F3471" i="4"/>
  <c r="G3471" i="4" s="1"/>
  <c r="F3474" i="4"/>
  <c r="G3474" i="4" s="1"/>
  <c r="F3475" i="4"/>
  <c r="G3475" i="4" s="1"/>
  <c r="F9" i="1"/>
  <c r="F10" i="1"/>
  <c r="F11" i="1"/>
  <c r="F708" i="4" s="1"/>
  <c r="F730" i="4" s="1"/>
  <c r="G730" i="4" s="1"/>
  <c r="F12" i="1"/>
  <c r="F527" i="4" s="1"/>
  <c r="F13" i="1"/>
  <c r="F14" i="1"/>
  <c r="F1666" i="4"/>
  <c r="G1666" i="4" s="1"/>
  <c r="F15" i="1"/>
  <c r="F672" i="4" s="1"/>
  <c r="F16" i="1"/>
  <c r="F491" i="4" s="1"/>
  <c r="F17" i="1"/>
  <c r="F671" i="4" s="1"/>
  <c r="F684" i="4" s="1"/>
  <c r="F706" i="4" s="1"/>
  <c r="F18" i="1"/>
  <c r="F490" i="4" s="1"/>
  <c r="F16" i="13"/>
  <c r="G16" i="13" s="1"/>
  <c r="F19" i="1"/>
  <c r="F2513" i="4" s="1"/>
  <c r="G2513" i="4" s="1"/>
  <c r="F21" i="1"/>
  <c r="F24" i="1"/>
  <c r="F2074" i="4"/>
  <c r="F2086" i="4" s="1"/>
  <c r="G2086" i="4" s="1"/>
  <c r="F28" i="1"/>
  <c r="F893" i="4" s="1"/>
  <c r="G893" i="4" s="1"/>
  <c r="F29" i="1"/>
  <c r="F2766" i="4" s="1"/>
  <c r="F30" i="1"/>
  <c r="F2563" i="4" s="1"/>
  <c r="F31" i="1"/>
  <c r="F1041" i="4" s="1"/>
  <c r="G1041" i="4"/>
  <c r="F32" i="1"/>
  <c r="F33" i="1"/>
  <c r="F1850" i="4" s="1"/>
  <c r="F34" i="1"/>
  <c r="F35" i="1"/>
  <c r="F37" i="1"/>
  <c r="F38" i="1"/>
  <c r="F3118" i="4"/>
  <c r="G3118" i="4" s="1"/>
  <c r="F55" i="1"/>
  <c r="F2581" i="4" s="1"/>
  <c r="G2581" i="4" s="1"/>
  <c r="F56" i="1"/>
  <c r="F1233" i="4" s="1"/>
  <c r="G1233" i="4" s="1"/>
  <c r="F59" i="1"/>
  <c r="F61" i="1"/>
  <c r="F68" i="4" s="1"/>
  <c r="G68" i="4" s="1"/>
  <c r="F65" i="1"/>
  <c r="F66" i="1"/>
  <c r="F2371" i="4" s="1"/>
  <c r="F67" i="1"/>
  <c r="F1462" i="4"/>
  <c r="G1462" i="4" s="1"/>
  <c r="F68" i="1"/>
  <c r="F1232" i="4" s="1"/>
  <c r="F1244" i="4" s="1"/>
  <c r="G1244" i="4" s="1"/>
  <c r="F69" i="1"/>
  <c r="F2629" i="4" s="1"/>
  <c r="G2629" i="4" s="1"/>
  <c r="F70" i="1"/>
  <c r="F2470" i="4" s="1"/>
  <c r="F76" i="1"/>
  <c r="F2767" i="4"/>
  <c r="F78" i="1"/>
  <c r="F1174" i="4" s="1"/>
  <c r="G1174" i="4" s="1"/>
  <c r="F79" i="1"/>
  <c r="F1187" i="4" s="1"/>
  <c r="G1187" i="4" s="1"/>
  <c r="F80" i="1"/>
  <c r="F95" i="12" s="1"/>
  <c r="G95" i="12" s="1"/>
  <c r="F81" i="1"/>
  <c r="F82" i="1"/>
  <c r="F83" i="1"/>
  <c r="F1499" i="4"/>
  <c r="G1499" i="4" s="1"/>
  <c r="F85" i="1"/>
  <c r="F1386" i="4" s="1"/>
  <c r="G1386" i="4" s="1"/>
  <c r="F86" i="1"/>
  <c r="F1372" i="4" s="1"/>
  <c r="F1400" i="4" s="1"/>
  <c r="F87" i="1"/>
  <c r="F88" i="1"/>
  <c r="F2075" i="4" s="1"/>
  <c r="F89" i="1"/>
  <c r="F1922" i="4"/>
  <c r="G1922" i="4" s="1"/>
  <c r="F91" i="1"/>
  <c r="F2301" i="4" s="1"/>
  <c r="F92" i="1"/>
  <c r="F1461" i="4" s="1"/>
  <c r="G1461" i="4"/>
  <c r="F94" i="1"/>
  <c r="F1373" i="4" s="1"/>
  <c r="F95" i="1"/>
  <c r="F1415" i="4"/>
  <c r="G1415" i="4"/>
  <c r="F96" i="1"/>
  <c r="F98" i="1"/>
  <c r="F99" i="1"/>
  <c r="F100" i="1"/>
  <c r="F191" i="4" s="1"/>
  <c r="G191" i="4" s="1"/>
  <c r="F105" i="1"/>
  <c r="F108" i="1"/>
  <c r="F1230" i="4" s="1"/>
  <c r="F109" i="1"/>
  <c r="F904" i="4" s="1"/>
  <c r="G904" i="4" s="1"/>
  <c r="F111" i="1"/>
  <c r="F2628" i="4" s="1"/>
  <c r="G2628" i="4" s="1"/>
  <c r="F112" i="1"/>
  <c r="F1360" i="4" s="1"/>
  <c r="F1446" i="4" s="1"/>
  <c r="F113" i="1"/>
  <c r="F115" i="1"/>
  <c r="F119" i="1"/>
  <c r="F587" i="4" s="1"/>
  <c r="F120" i="1"/>
  <c r="F1417" i="4" s="1"/>
  <c r="F122" i="1"/>
  <c r="F123" i="1"/>
  <c r="F3114" i="4"/>
  <c r="F125" i="1"/>
  <c r="F3131" i="4" s="1"/>
  <c r="G3131" i="4" s="1"/>
  <c r="F126" i="1"/>
  <c r="F127" i="1"/>
  <c r="F3013" i="4" s="1"/>
  <c r="G3013" i="4" s="1"/>
  <c r="G3014" i="4" s="1"/>
  <c r="F130" i="1"/>
  <c r="F3022" i="4" s="1"/>
  <c r="G3022" i="4" s="1"/>
  <c r="F132" i="1"/>
  <c r="F2073" i="4"/>
  <c r="F2085" i="4" s="1"/>
  <c r="G2085" i="4" s="1"/>
  <c r="F133" i="1"/>
  <c r="F144" i="1"/>
  <c r="F145" i="1"/>
  <c r="F149" i="1"/>
  <c r="F1900" i="4" s="1"/>
  <c r="G1900" i="4" s="1"/>
  <c r="F150" i="1"/>
  <c r="F154" i="1"/>
  <c r="F156" i="1"/>
  <c r="F1568" i="4" s="1"/>
  <c r="F159" i="1"/>
  <c r="F1748" i="4"/>
  <c r="G1748" i="4" s="1"/>
  <c r="F165" i="1"/>
  <c r="F2591" i="4" s="1"/>
  <c r="F2600" i="4" s="1"/>
  <c r="G2600" i="4" s="1"/>
  <c r="F166" i="1"/>
  <c r="F167" i="1"/>
  <c r="F3227" i="4" s="1"/>
  <c r="G3227" i="4" s="1"/>
  <c r="F3217" i="4"/>
  <c r="G3217" i="4" s="1"/>
  <c r="F168" i="1"/>
  <c r="G167" i="4"/>
  <c r="G168" i="4" s="1"/>
  <c r="G164" i="4" s="1"/>
  <c r="E30" i="3" s="1"/>
  <c r="F170" i="1"/>
  <c r="F171" i="1"/>
  <c r="F172" i="1"/>
  <c r="F1277" i="4"/>
  <c r="G1277" i="4"/>
  <c r="F174" i="1"/>
  <c r="F3226" i="4"/>
  <c r="G3226" i="4"/>
  <c r="F176" i="1"/>
  <c r="F2674" i="4" s="1"/>
  <c r="F177" i="1"/>
  <c r="F1310" i="4"/>
  <c r="F1321" i="4" s="1"/>
  <c r="G1321" i="4"/>
  <c r="F179" i="1"/>
  <c r="F34" i="12" s="1"/>
  <c r="G34" i="12" s="1"/>
  <c r="F2819" i="4"/>
  <c r="G2819" i="4" s="1"/>
  <c r="F1760" i="4"/>
  <c r="G1760" i="4" s="1"/>
  <c r="F181" i="1"/>
  <c r="F182" i="1"/>
  <c r="F2582" i="4"/>
  <c r="G2582" i="4" s="1"/>
  <c r="F183" i="1"/>
  <c r="F184" i="1"/>
  <c r="F3023" i="4" s="1"/>
  <c r="G3023" i="4" s="1"/>
  <c r="F189" i="1"/>
  <c r="F195" i="1"/>
  <c r="F1221" i="4" s="1"/>
  <c r="G1221" i="4" s="1"/>
  <c r="F197" i="1"/>
  <c r="F1737" i="4"/>
  <c r="G1737" i="4"/>
  <c r="F199" i="1"/>
  <c r="F1715" i="4" s="1"/>
  <c r="G1715" i="4" s="1"/>
  <c r="F202" i="1"/>
  <c r="F1374" i="4" s="1"/>
  <c r="F203" i="1"/>
  <c r="F1572" i="4" s="1"/>
  <c r="F204" i="1"/>
  <c r="F1359" i="4" s="1"/>
  <c r="G1359" i="4" s="1"/>
  <c r="F3092" i="4"/>
  <c r="G3092" i="4"/>
  <c r="F206" i="1"/>
  <c r="F94" i="12" s="1"/>
  <c r="G94" i="12" s="1"/>
  <c r="D207" i="1"/>
  <c r="F207" i="1"/>
  <c r="F1308" i="4" s="1"/>
  <c r="G1308" i="4" s="1"/>
  <c r="F208" i="1"/>
  <c r="F1319" i="4" s="1"/>
  <c r="G1319" i="4" s="1"/>
  <c r="F210" i="1"/>
  <c r="F2543" i="4"/>
  <c r="F2553" i="4" s="1"/>
  <c r="G2553" i="4" s="1"/>
  <c r="F1985" i="4"/>
  <c r="G1985" i="4" s="1"/>
  <c r="F1997" i="4"/>
  <c r="G1997" i="4"/>
  <c r="F213" i="1"/>
  <c r="F214" i="1"/>
  <c r="F2723" i="4" s="1"/>
  <c r="F215" i="1"/>
  <c r="F18" i="13" s="1"/>
  <c r="G18" i="13" s="1"/>
  <c r="F216" i="1"/>
  <c r="F2430" i="4"/>
  <c r="F2390" i="4"/>
  <c r="G2390" i="4" s="1"/>
  <c r="F2389" i="4"/>
  <c r="G2389" i="4" s="1"/>
  <c r="F220" i="1"/>
  <c r="F1667" i="4" s="1"/>
  <c r="G1667" i="4" s="1"/>
  <c r="F221" i="1"/>
  <c r="F2251" i="4" s="1"/>
  <c r="F2300" i="4" s="1"/>
  <c r="F2309" i="4"/>
  <c r="G2309" i="4"/>
  <c r="F1220" i="4"/>
  <c r="G1220" i="4" s="1"/>
  <c r="F224" i="1"/>
  <c r="F2884" i="4"/>
  <c r="G2884" i="4"/>
  <c r="F225" i="1"/>
  <c r="F227" i="1"/>
  <c r="F1488" i="4"/>
  <c r="G1488" i="4"/>
  <c r="F228" i="1"/>
  <c r="F1500" i="4" s="1"/>
  <c r="F1522" i="4"/>
  <c r="G1522" i="4" s="1"/>
  <c r="F229" i="1"/>
  <c r="F1511" i="4" s="1"/>
  <c r="G1511" i="4" s="1"/>
  <c r="F230" i="1"/>
  <c r="F231" i="1"/>
  <c r="F2290" i="4" s="1"/>
  <c r="G2290" i="4"/>
  <c r="F232" i="1"/>
  <c r="F2279" i="4" s="1"/>
  <c r="G2279" i="4" s="1"/>
  <c r="G2281" i="4" s="1"/>
  <c r="G2277" i="4" s="1"/>
  <c r="E216" i="3" s="1"/>
  <c r="A10" i="3"/>
  <c r="D10" i="3" s="1"/>
  <c r="B10" i="3"/>
  <c r="A11" i="3"/>
  <c r="C11" i="3" s="1"/>
  <c r="A12" i="3"/>
  <c r="A13" i="3"/>
  <c r="A14" i="3"/>
  <c r="C14" i="3"/>
  <c r="A15" i="3"/>
  <c r="A16" i="3"/>
  <c r="D16" i="3" s="1"/>
  <c r="A17" i="3"/>
  <c r="A20" i="3"/>
  <c r="B20" i="3" s="1"/>
  <c r="A21" i="3"/>
  <c r="A22" i="3"/>
  <c r="A23" i="3"/>
  <c r="C23" i="3"/>
  <c r="A24" i="3"/>
  <c r="A25" i="3"/>
  <c r="A26" i="3"/>
  <c r="C26" i="3"/>
  <c r="A27" i="3"/>
  <c r="A28" i="3"/>
  <c r="D28" i="3"/>
  <c r="A29" i="3"/>
  <c r="A30" i="3"/>
  <c r="D30" i="3" s="1"/>
  <c r="A31" i="3"/>
  <c r="A32" i="3"/>
  <c r="B32" i="3" s="1"/>
  <c r="A33" i="3"/>
  <c r="A34" i="3"/>
  <c r="C34" i="3" s="1"/>
  <c r="A35" i="3"/>
  <c r="B35" i="3"/>
  <c r="C35" i="3"/>
  <c r="D35" i="3"/>
  <c r="A37" i="3"/>
  <c r="B37" i="3" s="1"/>
  <c r="A38" i="3"/>
  <c r="B38" i="3" s="1"/>
  <c r="A39" i="3"/>
  <c r="D39" i="3" s="1"/>
  <c r="A40" i="3"/>
  <c r="B40" i="3" s="1"/>
  <c r="A41" i="3"/>
  <c r="B41" i="3"/>
  <c r="A42" i="3"/>
  <c r="B42" i="3" s="1"/>
  <c r="A43" i="3"/>
  <c r="D43" i="3" s="1"/>
  <c r="A44" i="3"/>
  <c r="D44" i="3" s="1"/>
  <c r="A45" i="3"/>
  <c r="A46" i="3"/>
  <c r="D46" i="3" s="1"/>
  <c r="A47" i="3"/>
  <c r="D47" i="3" s="1"/>
  <c r="A48" i="3"/>
  <c r="A49" i="3"/>
  <c r="C49" i="3" s="1"/>
  <c r="A50" i="3"/>
  <c r="A51" i="3"/>
  <c r="D51" i="3" s="1"/>
  <c r="B51" i="3"/>
  <c r="C51" i="3"/>
  <c r="A52" i="3"/>
  <c r="A53" i="3"/>
  <c r="D53" i="3" s="1"/>
  <c r="B53" i="3"/>
  <c r="C53" i="3"/>
  <c r="A54" i="3"/>
  <c r="A55" i="3"/>
  <c r="D55" i="3" s="1"/>
  <c r="A56" i="3"/>
  <c r="B56" i="3" s="1"/>
  <c r="A61" i="3"/>
  <c r="B61" i="3" s="1"/>
  <c r="A62" i="3"/>
  <c r="D62" i="3"/>
  <c r="A63" i="3"/>
  <c r="D63" i="3" s="1"/>
  <c r="A64" i="3"/>
  <c r="A65" i="3"/>
  <c r="D65" i="3"/>
  <c r="A66" i="3"/>
  <c r="D66" i="3" s="1"/>
  <c r="A67" i="3"/>
  <c r="B67" i="3"/>
  <c r="A68" i="3"/>
  <c r="B68" i="3" s="1"/>
  <c r="A69" i="3"/>
  <c r="A70" i="3"/>
  <c r="A71" i="3"/>
  <c r="A72" i="3"/>
  <c r="A73" i="3"/>
  <c r="D73" i="3" s="1"/>
  <c r="B73" i="3"/>
  <c r="A74" i="3"/>
  <c r="D74" i="3" s="1"/>
  <c r="A75" i="3"/>
  <c r="B75" i="3" s="1"/>
  <c r="A76" i="3"/>
  <c r="D76" i="3"/>
  <c r="A77" i="3"/>
  <c r="A78" i="3"/>
  <c r="D78" i="3" s="1"/>
  <c r="B78" i="3"/>
  <c r="A79" i="3"/>
  <c r="A80" i="3"/>
  <c r="D80" i="3" s="1"/>
  <c r="B80" i="3"/>
  <c r="A81" i="3"/>
  <c r="A82" i="3"/>
  <c r="D82" i="3" s="1"/>
  <c r="D84" i="3" s="1"/>
  <c r="D85" i="3" s="1"/>
  <c r="D86" i="3" s="1"/>
  <c r="D87" i="3" s="1"/>
  <c r="D88" i="3" s="1"/>
  <c r="D89" i="3" s="1"/>
  <c r="D90" i="3" s="1"/>
  <c r="D91" i="3" s="1"/>
  <c r="A92" i="3"/>
  <c r="A95" i="3"/>
  <c r="D95" i="3" s="1"/>
  <c r="A96" i="3"/>
  <c r="B96" i="3" s="1"/>
  <c r="A97" i="3"/>
  <c r="B97" i="3" s="1"/>
  <c r="A98" i="3"/>
  <c r="D98" i="3" s="1"/>
  <c r="A99" i="3"/>
  <c r="A100" i="3"/>
  <c r="D100" i="3" s="1"/>
  <c r="A101" i="3"/>
  <c r="B101" i="3"/>
  <c r="D101" i="3"/>
  <c r="A102" i="3"/>
  <c r="A103" i="3"/>
  <c r="D103" i="3" s="1"/>
  <c r="A104" i="3"/>
  <c r="D104" i="3" s="1"/>
  <c r="A107" i="3"/>
  <c r="A108" i="3"/>
  <c r="D108" i="3" s="1"/>
  <c r="A109" i="3"/>
  <c r="B109" i="3"/>
  <c r="A110" i="3"/>
  <c r="D110" i="3" s="1"/>
  <c r="C124" i="3"/>
  <c r="A133" i="3"/>
  <c r="C133" i="3"/>
  <c r="A134" i="3"/>
  <c r="D134" i="3" s="1"/>
  <c r="A135" i="3"/>
  <c r="B135" i="3"/>
  <c r="A136" i="3"/>
  <c r="C136" i="3" s="1"/>
  <c r="A137" i="3"/>
  <c r="C137" i="3"/>
  <c r="D137" i="3"/>
  <c r="A138" i="3"/>
  <c r="D138" i="3" s="1"/>
  <c r="A139" i="3"/>
  <c r="D139" i="3" s="1"/>
  <c r="A140" i="3"/>
  <c r="B140" i="3" s="1"/>
  <c r="A141" i="3"/>
  <c r="A142" i="3"/>
  <c r="C142" i="3" s="1"/>
  <c r="A143" i="3"/>
  <c r="A144" i="3"/>
  <c r="A145" i="3"/>
  <c r="D145" i="3" s="1"/>
  <c r="A146" i="3"/>
  <c r="C146" i="3"/>
  <c r="A147" i="3"/>
  <c r="B147" i="3" s="1"/>
  <c r="A148" i="3"/>
  <c r="B149" i="3"/>
  <c r="C149" i="3"/>
  <c r="D149" i="3"/>
  <c r="A150" i="3"/>
  <c r="C150" i="3" s="1"/>
  <c r="A151" i="3"/>
  <c r="A152" i="3"/>
  <c r="A153" i="3"/>
  <c r="A154" i="3"/>
  <c r="B154" i="3"/>
  <c r="C154" i="3"/>
  <c r="D154" i="3"/>
  <c r="A156" i="3"/>
  <c r="A157" i="3"/>
  <c r="A158" i="3"/>
  <c r="B158" i="3" s="1"/>
  <c r="A159" i="3"/>
  <c r="B159" i="3" s="1"/>
  <c r="A160" i="3"/>
  <c r="D160" i="3" s="1"/>
  <c r="A161" i="3"/>
  <c r="D161" i="3" s="1"/>
  <c r="A162" i="3"/>
  <c r="B162" i="3" s="1"/>
  <c r="A163" i="3"/>
  <c r="D163" i="3"/>
  <c r="A164" i="3"/>
  <c r="A165" i="3"/>
  <c r="A166" i="3"/>
  <c r="A167" i="3"/>
  <c r="B167" i="3" s="1"/>
  <c r="A168" i="3"/>
  <c r="A169" i="3"/>
  <c r="A170" i="3"/>
  <c r="B170" i="3" s="1"/>
  <c r="A171" i="3"/>
  <c r="D171" i="3"/>
  <c r="A172" i="3"/>
  <c r="A173" i="3"/>
  <c r="D173" i="3"/>
  <c r="B173" i="3"/>
  <c r="A174" i="3"/>
  <c r="D174" i="3" s="1"/>
  <c r="A175" i="3"/>
  <c r="A176" i="3"/>
  <c r="A177" i="3"/>
  <c r="A178" i="3"/>
  <c r="B178" i="3" s="1"/>
  <c r="A179" i="3"/>
  <c r="A180" i="3"/>
  <c r="D180" i="3" s="1"/>
  <c r="A181" i="3"/>
  <c r="B181" i="3"/>
  <c r="D181" i="3"/>
  <c r="D182" i="3"/>
  <c r="D183" i="3"/>
  <c r="D184" i="3"/>
  <c r="D185" i="3"/>
  <c r="B186" i="3"/>
  <c r="B187" i="3" s="1"/>
  <c r="C186" i="3"/>
  <c r="C187" i="3"/>
  <c r="A190" i="3"/>
  <c r="A191" i="3"/>
  <c r="A192" i="3"/>
  <c r="B192" i="3"/>
  <c r="A193" i="3"/>
  <c r="A194" i="3"/>
  <c r="B194" i="3" s="1"/>
  <c r="A195" i="3"/>
  <c r="D195" i="3" s="1"/>
  <c r="A196" i="3"/>
  <c r="B196" i="3" s="1"/>
  <c r="A197" i="3"/>
  <c r="A198" i="3"/>
  <c r="A199" i="3"/>
  <c r="A200" i="3"/>
  <c r="D200" i="3"/>
  <c r="A201" i="3"/>
  <c r="A202" i="3"/>
  <c r="A203" i="3"/>
  <c r="D203" i="3"/>
  <c r="A204" i="3"/>
  <c r="D204" i="3"/>
  <c r="A205" i="3"/>
  <c r="C205" i="3"/>
  <c r="A206" i="3"/>
  <c r="A207" i="3"/>
  <c r="A208" i="3"/>
  <c r="A209" i="3"/>
  <c r="D209" i="3" s="1"/>
  <c r="A210" i="3"/>
  <c r="D210" i="3" s="1"/>
  <c r="C210" i="3"/>
  <c r="A211" i="3"/>
  <c r="B211" i="3" s="1"/>
  <c r="A212" i="3"/>
  <c r="B212" i="3" s="1"/>
  <c r="A213" i="3"/>
  <c r="A214" i="3"/>
  <c r="C214" i="3"/>
  <c r="A215" i="3"/>
  <c r="D215" i="3"/>
  <c r="A216" i="3"/>
  <c r="A217" i="3"/>
  <c r="A220" i="3"/>
  <c r="B220" i="3"/>
  <c r="A221" i="3"/>
  <c r="B221" i="3"/>
  <c r="A222" i="3"/>
  <c r="A223" i="3"/>
  <c r="A224" i="3"/>
  <c r="B224" i="3" s="1"/>
  <c r="A225" i="3"/>
  <c r="D225" i="3" s="1"/>
  <c r="A226" i="3"/>
  <c r="A227" i="3"/>
  <c r="D227" i="3"/>
  <c r="A228" i="3"/>
  <c r="A229" i="3"/>
  <c r="A230" i="3"/>
  <c r="A231" i="3"/>
  <c r="D231" i="3" s="1"/>
  <c r="A232" i="3"/>
  <c r="A233" i="3"/>
  <c r="A234" i="3"/>
  <c r="C234" i="3" s="1"/>
  <c r="A235" i="3"/>
  <c r="A236" i="3"/>
  <c r="A237" i="3"/>
  <c r="B237" i="3" s="1"/>
  <c r="A238" i="3"/>
  <c r="C238" i="3" s="1"/>
  <c r="A239" i="3"/>
  <c r="B239" i="3"/>
  <c r="A240" i="3"/>
  <c r="A241" i="3"/>
  <c r="C241" i="3"/>
  <c r="A242" i="3"/>
  <c r="D242" i="3" s="1"/>
  <c r="B242" i="3"/>
  <c r="C242" i="3"/>
  <c r="A243" i="3"/>
  <c r="C243" i="3" s="1"/>
  <c r="A244" i="3"/>
  <c r="B244" i="3"/>
  <c r="C244" i="3"/>
  <c r="D244" i="3"/>
  <c r="A245" i="3"/>
  <c r="D245" i="3" s="1"/>
  <c r="A246" i="3"/>
  <c r="B246" i="3" s="1"/>
  <c r="A247" i="3"/>
  <c r="A248" i="3"/>
  <c r="D248" i="3" s="1"/>
  <c r="A249" i="3"/>
  <c r="A250" i="3"/>
  <c r="C250" i="3"/>
  <c r="A251" i="3"/>
  <c r="A252" i="3"/>
  <c r="B252" i="3"/>
  <c r="A253" i="3"/>
  <c r="C253" i="3" s="1"/>
  <c r="A254" i="3"/>
  <c r="A255" i="3"/>
  <c r="A256" i="3"/>
  <c r="C256" i="3" s="1"/>
  <c r="A257" i="3"/>
  <c r="A258" i="3"/>
  <c r="B258" i="3" s="1"/>
  <c r="A259" i="3"/>
  <c r="C259" i="3"/>
  <c r="A260" i="3"/>
  <c r="B260" i="3" s="1"/>
  <c r="A261" i="3"/>
  <c r="A262" i="3"/>
  <c r="A266" i="3"/>
  <c r="A267" i="3"/>
  <c r="A268" i="3"/>
  <c r="C268" i="3"/>
  <c r="A269" i="3"/>
  <c r="A270" i="3"/>
  <c r="A271" i="3"/>
  <c r="B271" i="3"/>
  <c r="A272" i="3"/>
  <c r="B272" i="3" s="1"/>
  <c r="A273" i="3"/>
  <c r="C273" i="3"/>
  <c r="A274" i="3"/>
  <c r="A275" i="3"/>
  <c r="D275" i="3" s="1"/>
  <c r="A276" i="3"/>
  <c r="C276" i="3" s="1"/>
  <c r="A280" i="3"/>
  <c r="B280" i="3"/>
  <c r="A281" i="3"/>
  <c r="D281" i="3"/>
  <c r="A282" i="3"/>
  <c r="A283" i="3"/>
  <c r="D283" i="3" s="1"/>
  <c r="A284" i="3"/>
  <c r="A285" i="3"/>
  <c r="A286" i="3"/>
  <c r="A287" i="3"/>
  <c r="C287" i="3"/>
  <c r="A288" i="3"/>
  <c r="C288" i="3" s="1"/>
  <c r="A289" i="3"/>
  <c r="B289" i="3" s="1"/>
  <c r="A290" i="3"/>
  <c r="A291" i="3"/>
  <c r="D291" i="3" s="1"/>
  <c r="A292" i="3"/>
  <c r="B292" i="3" s="1"/>
  <c r="A293" i="3"/>
  <c r="C293" i="3"/>
  <c r="A294" i="3"/>
  <c r="C294" i="3"/>
  <c r="A295" i="3"/>
  <c r="A296" i="3"/>
  <c r="C296" i="3"/>
  <c r="A297" i="3"/>
  <c r="A298" i="3"/>
  <c r="D298" i="3" s="1"/>
  <c r="A299" i="3"/>
  <c r="A303" i="3"/>
  <c r="D303" i="3"/>
  <c r="A305" i="3"/>
  <c r="A307" i="3"/>
  <c r="C307" i="3" s="1"/>
  <c r="A309" i="3"/>
  <c r="A310" i="3"/>
  <c r="D310" i="3"/>
  <c r="A311" i="3"/>
  <c r="A312" i="3"/>
  <c r="A313" i="3"/>
  <c r="A314" i="3"/>
  <c r="A315" i="3"/>
  <c r="C315" i="3" s="1"/>
  <c r="A316" i="3"/>
  <c r="A317" i="3"/>
  <c r="A318" i="3"/>
  <c r="A319" i="3"/>
  <c r="A320" i="3"/>
  <c r="A321" i="3"/>
  <c r="A322" i="3"/>
  <c r="D322" i="3" s="1"/>
  <c r="A323" i="3"/>
  <c r="A324" i="3"/>
  <c r="A325" i="3"/>
  <c r="C325" i="3"/>
  <c r="A329" i="3"/>
  <c r="A330" i="3"/>
  <c r="C330" i="3" s="1"/>
  <c r="A331" i="3"/>
  <c r="A332" i="3"/>
  <c r="D332" i="3" s="1"/>
  <c r="A333" i="3"/>
  <c r="B337" i="3"/>
  <c r="D337" i="3"/>
  <c r="B338" i="3"/>
  <c r="D338" i="3"/>
  <c r="B339" i="3"/>
  <c r="D339" i="3"/>
  <c r="B340" i="3"/>
  <c r="D340" i="3"/>
  <c r="B341" i="3"/>
  <c r="D341" i="3"/>
  <c r="B342" i="3"/>
  <c r="D342" i="3"/>
  <c r="B343" i="3"/>
  <c r="D343" i="3"/>
  <c r="B344" i="3"/>
  <c r="D344" i="3"/>
  <c r="B345" i="3"/>
  <c r="D345" i="3"/>
  <c r="B346" i="3"/>
  <c r="D346" i="3"/>
  <c r="B347" i="3"/>
  <c r="D347" i="3"/>
  <c r="B348" i="3"/>
  <c r="D348" i="3"/>
  <c r="A349" i="3"/>
  <c r="B349" i="3"/>
  <c r="D349" i="3"/>
  <c r="A350" i="3"/>
  <c r="B350" i="3"/>
  <c r="D350" i="3"/>
  <c r="B351" i="3"/>
  <c r="D351" i="3"/>
  <c r="B352" i="3"/>
  <c r="D352" i="3"/>
  <c r="F1357" i="4"/>
  <c r="G1357" i="4" s="1"/>
  <c r="F1442" i="4"/>
  <c r="G1442" i="4" s="1"/>
  <c r="G121" i="4"/>
  <c r="F1616" i="4"/>
  <c r="G1616" i="4" s="1"/>
  <c r="F1331" i="4"/>
  <c r="F1343" i="4" s="1"/>
  <c r="F1355" i="4" s="1"/>
  <c r="G1331" i="4"/>
  <c r="F488" i="4"/>
  <c r="G488" i="4" s="1"/>
  <c r="F80" i="4"/>
  <c r="G80" i="4" s="1"/>
  <c r="F49" i="4"/>
  <c r="G49" i="4" s="1"/>
  <c r="G50" i="4" s="1"/>
  <c r="F27" i="4"/>
  <c r="G27" i="4" s="1"/>
  <c r="G28" i="4" s="1"/>
  <c r="F88" i="4"/>
  <c r="G88" i="4" s="1"/>
  <c r="F57" i="4"/>
  <c r="G57" i="4" s="1"/>
  <c r="G58" i="4" s="1"/>
  <c r="G59" i="4" s="1"/>
  <c r="G55" i="4"/>
  <c r="F4" i="20"/>
  <c r="F3472" i="4"/>
  <c r="G3472" i="4" s="1"/>
  <c r="C116" i="3"/>
  <c r="F673" i="4"/>
  <c r="F220" i="4"/>
  <c r="G220" i="4" s="1"/>
  <c r="F1941" i="4"/>
  <c r="F104" i="12"/>
  <c r="G104" i="12" s="1"/>
  <c r="F14" i="12"/>
  <c r="G14" i="12" s="1"/>
  <c r="F36" i="12"/>
  <c r="G36" i="12" s="1"/>
  <c r="F383" i="4"/>
  <c r="F1840" i="4"/>
  <c r="G1840" i="4"/>
  <c r="F1458" i="4"/>
  <c r="G1458" i="4" s="1"/>
  <c r="G1572" i="4"/>
  <c r="F1416" i="4"/>
  <c r="G1416" i="4" s="1"/>
  <c r="F1358" i="4"/>
  <c r="G1358" i="4" s="1"/>
  <c r="F2711" i="4"/>
  <c r="G2711" i="4" s="1"/>
  <c r="F655" i="4"/>
  <c r="G655" i="4"/>
  <c r="F868" i="4"/>
  <c r="G868" i="4" s="1"/>
  <c r="F13" i="13"/>
  <c r="G13" i="13" s="1"/>
  <c r="F1986" i="4"/>
  <c r="IP217" i="1"/>
  <c r="F1457" i="4"/>
  <c r="G1457" i="4" s="1"/>
  <c r="F1276" i="4"/>
  <c r="G1276" i="4" s="1"/>
  <c r="F130" i="4"/>
  <c r="G130" i="4" s="1"/>
  <c r="F1164" i="4"/>
  <c r="G1164" i="4" s="1"/>
  <c r="F1924" i="4"/>
  <c r="G1924" i="4" s="1"/>
  <c r="F1619" i="4"/>
  <c r="G1619" i="4" s="1"/>
  <c r="F1734" i="4"/>
  <c r="G1734" i="4" s="1"/>
  <c r="F17" i="13"/>
  <c r="G17" i="13" s="1"/>
  <c r="F382" i="4"/>
  <c r="F395" i="4" s="1"/>
  <c r="F492" i="4"/>
  <c r="F696" i="4"/>
  <c r="G696" i="4" s="1"/>
  <c r="F1573" i="4"/>
  <c r="G1850" i="4"/>
  <c r="F1443" i="4"/>
  <c r="F5" i="12"/>
  <c r="G5" i="12" s="1"/>
  <c r="F3090" i="4"/>
  <c r="G3090" i="4" s="1"/>
  <c r="F106" i="4"/>
  <c r="G106" i="4" s="1"/>
  <c r="F122" i="4"/>
  <c r="F3184" i="4"/>
  <c r="G3184" i="4" s="1"/>
  <c r="F453" i="4"/>
  <c r="G453" i="4" s="1"/>
  <c r="F3196" i="4"/>
  <c r="G3196" i="4" s="1"/>
  <c r="F2524" i="4"/>
  <c r="F1307" i="4"/>
  <c r="G1307" i="4" s="1"/>
  <c r="F2273" i="4"/>
  <c r="G2273" i="4" s="1"/>
  <c r="F103" i="12"/>
  <c r="G103" i="12"/>
  <c r="F2673" i="4"/>
  <c r="F1962" i="4"/>
  <c r="G1962" i="4" s="1"/>
  <c r="F717" i="4"/>
  <c r="G717" i="4"/>
  <c r="G719" i="4" s="1"/>
  <c r="G720" i="4" s="1"/>
  <c r="F1200" i="4"/>
  <c r="G1200" i="4"/>
  <c r="G1077" i="4"/>
  <c r="F1988" i="4"/>
  <c r="F3461" i="4"/>
  <c r="G3461" i="4"/>
  <c r="F1751" i="4"/>
  <c r="G1751" i="4" s="1"/>
  <c r="F2450" i="4"/>
  <c r="F760" i="4"/>
  <c r="G760" i="4" s="1"/>
  <c r="F22" i="12"/>
  <c r="G22" i="12" s="1"/>
  <c r="G28" i="12" s="1"/>
  <c r="F1566" i="4"/>
  <c r="F1583" i="4" s="1"/>
  <c r="G1583" i="4" s="1"/>
  <c r="F1456" i="4"/>
  <c r="G1456" i="4" s="1"/>
  <c r="F175" i="4"/>
  <c r="G175" i="4" s="1"/>
  <c r="F716" i="4"/>
  <c r="G716" i="4" s="1"/>
  <c r="F1288" i="4"/>
  <c r="F1298" i="4" s="1"/>
  <c r="G1298" i="4" s="1"/>
  <c r="F917" i="4"/>
  <c r="F1039" i="4"/>
  <c r="F1052" i="4" s="1"/>
  <c r="D274" i="4"/>
  <c r="F183" i="4"/>
  <c r="G183" i="4" s="1"/>
  <c r="F2610" i="4"/>
  <c r="G2610" i="4" s="1"/>
  <c r="F1618" i="4"/>
  <c r="G1618" i="4" s="1"/>
  <c r="F1040" i="4"/>
  <c r="F1256" i="4"/>
  <c r="G1256" i="4" s="1"/>
  <c r="F2638" i="4"/>
  <c r="F1136" i="4"/>
  <c r="G1136" i="4" s="1"/>
  <c r="F2471" i="4"/>
  <c r="F160" i="4"/>
  <c r="G160" i="4" s="1"/>
  <c r="G161" i="4" s="1"/>
  <c r="F2399" i="4"/>
  <c r="G2399" i="4" s="1"/>
  <c r="F3080" i="4"/>
  <c r="G3080" i="4" s="1"/>
  <c r="F85" i="12"/>
  <c r="G85" i="12" s="1"/>
  <c r="F892" i="4"/>
  <c r="G892" i="4" s="1"/>
  <c r="F3132" i="4"/>
  <c r="G3132" i="4" s="1"/>
  <c r="F1557" i="4"/>
  <c r="G1557" i="4" s="1"/>
  <c r="F3143" i="4"/>
  <c r="G3143" i="4" s="1"/>
  <c r="G3144" i="4" s="1"/>
  <c r="F987" i="4"/>
  <c r="G987" i="4" s="1"/>
  <c r="F914" i="4"/>
  <c r="G914" i="4" s="1"/>
  <c r="F958" i="4"/>
  <c r="G958" i="4" s="1"/>
  <c r="F946" i="4"/>
  <c r="G946" i="4" s="1"/>
  <c r="F3181" i="4"/>
  <c r="G3181" i="4" s="1"/>
  <c r="F3161" i="4"/>
  <c r="G3161" i="4" s="1"/>
  <c r="H3161" i="4" s="1"/>
  <c r="F1569" i="4"/>
  <c r="F1586" i="4" s="1"/>
  <c r="G190" i="4"/>
  <c r="G192" i="4" s="1"/>
  <c r="F657" i="4"/>
  <c r="F585" i="4"/>
  <c r="G198" i="4"/>
  <c r="G182" i="4"/>
  <c r="G206" i="4"/>
  <c r="G174" i="4"/>
  <c r="F1684" i="4"/>
  <c r="F1510" i="4"/>
  <c r="G1510" i="4"/>
  <c r="G2765" i="4"/>
  <c r="G1334" i="4"/>
  <c r="F718" i="4"/>
  <c r="G718" i="4"/>
  <c r="F1477" i="4"/>
  <c r="G1477" i="4" s="1"/>
  <c r="F1163" i="4"/>
  <c r="G1163" i="4" s="1"/>
  <c r="F2351" i="4"/>
  <c r="F1546" i="4"/>
  <c r="G1546" i="4" s="1"/>
  <c r="F1189" i="4"/>
  <c r="G1189" i="4"/>
  <c r="F139" i="4"/>
  <c r="G139" i="4" s="1"/>
  <c r="F1176" i="4"/>
  <c r="G1176" i="4" s="1"/>
  <c r="F1428" i="4"/>
  <c r="G1428" i="4" s="1"/>
  <c r="F384" i="4"/>
  <c r="G384" i="4"/>
  <c r="F15" i="12"/>
  <c r="G15" i="12" s="1"/>
  <c r="F1255" i="4"/>
  <c r="G1255" i="4" s="1"/>
  <c r="F1175" i="4"/>
  <c r="G1175" i="4"/>
  <c r="F3195" i="4"/>
  <c r="G3195" i="4" s="1"/>
  <c r="F1361" i="4"/>
  <c r="F1188" i="4"/>
  <c r="G1188" i="4"/>
  <c r="F3183" i="4"/>
  <c r="G3183" i="4"/>
  <c r="F1460" i="4"/>
  <c r="G1460" i="4" s="1"/>
  <c r="F2400" i="4"/>
  <c r="F2410" i="4"/>
  <c r="G2410" i="4" s="1"/>
  <c r="G2400" i="4"/>
  <c r="G3072" i="4"/>
  <c r="G3073" i="4"/>
  <c r="H3067" i="4" s="1"/>
  <c r="F314" i="3" s="1"/>
  <c r="G3049" i="4"/>
  <c r="G3050" i="4"/>
  <c r="H3045" i="4" s="1"/>
  <c r="G3045" i="4"/>
  <c r="F501" i="4"/>
  <c r="D116" i="3"/>
  <c r="C115" i="3"/>
  <c r="D123" i="3"/>
  <c r="D115" i="3"/>
  <c r="C47" i="3"/>
  <c r="C61" i="3"/>
  <c r="B130" i="3"/>
  <c r="D114" i="3"/>
  <c r="D130" i="3"/>
  <c r="B122" i="3"/>
  <c r="C15" i="3"/>
  <c r="D122" i="3"/>
  <c r="C114" i="3"/>
  <c r="C122" i="3"/>
  <c r="D49" i="3"/>
  <c r="B124" i="3"/>
  <c r="D15" i="3"/>
  <c r="B15" i="3"/>
  <c r="F4" i="13"/>
  <c r="G4" i="13" s="1"/>
  <c r="F1534" i="4"/>
  <c r="G1534" i="4" s="1"/>
  <c r="B47" i="3"/>
  <c r="B65" i="3"/>
  <c r="B49" i="3"/>
  <c r="D41" i="3"/>
  <c r="G2282" i="4"/>
  <c r="G2283" i="4"/>
  <c r="H2277" i="4" s="1"/>
  <c r="G1372" i="4"/>
  <c r="G2543" i="4"/>
  <c r="D11" i="3"/>
  <c r="C351" i="3"/>
  <c r="B11" i="3"/>
  <c r="F1628" i="4"/>
  <c r="F229" i="4"/>
  <c r="C3353" i="4"/>
  <c r="B298" i="3"/>
  <c r="B259" i="3"/>
  <c r="D259" i="3"/>
  <c r="B98" i="3"/>
  <c r="D61" i="3"/>
  <c r="D118" i="3"/>
  <c r="G1500" i="4"/>
  <c r="C289" i="3"/>
  <c r="B214" i="3"/>
  <c r="D296" i="3"/>
  <c r="D214" i="3"/>
  <c r="D289" i="3"/>
  <c r="F1589" i="4"/>
  <c r="C350" i="3"/>
  <c r="G2251" i="4"/>
  <c r="B118" i="3"/>
  <c r="F118" i="3"/>
  <c r="B54" i="3"/>
  <c r="G3417" i="4"/>
  <c r="C346" i="3"/>
  <c r="H3141" i="4"/>
  <c r="B62" i="3"/>
  <c r="D280" i="3"/>
  <c r="D295" i="3"/>
  <c r="G684" i="4"/>
  <c r="G671" i="4"/>
  <c r="C344" i="3"/>
  <c r="G1310" i="4"/>
  <c r="F1429" i="4"/>
  <c r="G1429" i="4" s="1"/>
  <c r="F1245" i="4"/>
  <c r="G1245" i="4" s="1"/>
  <c r="B14" i="3"/>
  <c r="E115" i="3"/>
  <c r="C272" i="3"/>
  <c r="F502" i="4"/>
  <c r="C52" i="3"/>
  <c r="D14" i="3"/>
  <c r="D97" i="3"/>
  <c r="B138" i="3"/>
  <c r="F1342" i="4"/>
  <c r="F3236" i="4"/>
  <c r="G3236" i="4" s="1"/>
  <c r="B225" i="3"/>
  <c r="D250" i="3"/>
  <c r="B148" i="3"/>
  <c r="B103" i="3"/>
  <c r="G1567" i="4"/>
  <c r="C258" i="3"/>
  <c r="G3056" i="4"/>
  <c r="G3057" i="4"/>
  <c r="H3052" i="4" s="1"/>
  <c r="F312" i="3" s="1"/>
  <c r="G3416" i="4"/>
  <c r="H3419" i="4" s="1"/>
  <c r="G477" i="4"/>
  <c r="H477" i="4" s="1"/>
  <c r="F230" i="4"/>
  <c r="B330" i="3"/>
  <c r="B160" i="3"/>
  <c r="C134" i="3"/>
  <c r="D330" i="3"/>
  <c r="B134" i="3"/>
  <c r="G169" i="4"/>
  <c r="B209" i="3"/>
  <c r="G2300" i="4"/>
  <c r="C28" i="3"/>
  <c r="C10" i="3"/>
  <c r="D20" i="3"/>
  <c r="C209" i="3"/>
  <c r="F3237" i="4"/>
  <c r="G2073" i="4"/>
  <c r="B273" i="3"/>
  <c r="D42" i="3"/>
  <c r="B28" i="3"/>
  <c r="C312" i="3"/>
  <c r="F2320" i="4"/>
  <c r="J105" i="4"/>
  <c r="G3064" i="4"/>
  <c r="G3065" i="4" s="1"/>
  <c r="H3059" i="4" s="1"/>
  <c r="G3059" i="4"/>
  <c r="E313" i="3" s="1"/>
  <c r="F1750" i="4"/>
  <c r="F234" i="4"/>
  <c r="G2777" i="4"/>
  <c r="F2789" i="4"/>
  <c r="D211" i="3"/>
  <c r="C211" i="3"/>
  <c r="F3429" i="4"/>
  <c r="G3429" i="4" s="1"/>
  <c r="H3429" i="4" s="1"/>
  <c r="H3434" i="4" s="1"/>
  <c r="H3435" i="4" s="1"/>
  <c r="F1430" i="4"/>
  <c r="G1430" i="4" s="1"/>
  <c r="G3171" i="4"/>
  <c r="F1629" i="4"/>
  <c r="H3153" i="4"/>
  <c r="G60" i="4"/>
  <c r="H55" i="4" s="1"/>
  <c r="F1150" i="4"/>
  <c r="F1683" i="4"/>
  <c r="F1700" i="4" s="1"/>
  <c r="G1700" i="4" s="1"/>
  <c r="C395" i="4"/>
  <c r="C408" i="4" s="1"/>
  <c r="C421" i="4" s="1"/>
  <c r="C432" i="4" s="1"/>
  <c r="C492" i="4" s="1"/>
  <c r="C506" i="4" s="1"/>
  <c r="C528" i="4" s="1"/>
  <c r="C542" i="4" s="1"/>
  <c r="C555" i="4" s="1"/>
  <c r="C569" i="4" s="1"/>
  <c r="C583" i="4" s="1"/>
  <c r="C601" i="4" s="1"/>
  <c r="C382" i="4"/>
  <c r="L3022" i="4"/>
  <c r="F117" i="3"/>
  <c r="F116" i="3"/>
  <c r="F115" i="3"/>
  <c r="B325" i="3"/>
  <c r="C231" i="3"/>
  <c r="B146" i="3"/>
  <c r="D217" i="3"/>
  <c r="D166" i="3"/>
  <c r="D178" i="3"/>
  <c r="C280" i="3"/>
  <c r="D273" i="3"/>
  <c r="D146" i="3"/>
  <c r="C138" i="3"/>
  <c r="C108" i="3"/>
  <c r="D158" i="3"/>
  <c r="B30" i="3"/>
  <c r="B250" i="3"/>
  <c r="C111" i="3"/>
  <c r="B144" i="3"/>
  <c r="D164" i="3"/>
  <c r="B203" i="3"/>
  <c r="B164" i="3"/>
  <c r="D45" i="3"/>
  <c r="D221" i="3"/>
  <c r="C286" i="3"/>
  <c r="C221" i="3"/>
  <c r="B150" i="3"/>
  <c r="D37" i="3"/>
  <c r="D23" i="3"/>
  <c r="B127" i="3"/>
  <c r="C203" i="3"/>
  <c r="D144" i="3"/>
  <c r="B23" i="3"/>
  <c r="D150" i="3"/>
  <c r="C247" i="3"/>
  <c r="C220" i="3"/>
  <c r="B179" i="3"/>
  <c r="B44" i="3"/>
  <c r="C55" i="3"/>
  <c r="B247" i="3"/>
  <c r="D126" i="3"/>
  <c r="D228" i="3"/>
  <c r="C12" i="3"/>
  <c r="D179" i="3"/>
  <c r="C255" i="3"/>
  <c r="D247" i="3"/>
  <c r="B108" i="3"/>
  <c r="C236" i="3"/>
  <c r="D111" i="3"/>
  <c r="B210" i="3"/>
  <c r="D258" i="3"/>
  <c r="C30" i="3"/>
  <c r="B201" i="3"/>
  <c r="D284" i="3"/>
  <c r="B312" i="3"/>
  <c r="B116" i="3"/>
  <c r="D127" i="3"/>
  <c r="C291" i="3"/>
  <c r="C297" i="3"/>
  <c r="C225" i="3"/>
  <c r="B45" i="3"/>
  <c r="D229" i="3"/>
  <c r="B76" i="3"/>
  <c r="D68" i="3"/>
  <c r="D216" i="3"/>
  <c r="D234" i="3"/>
  <c r="D331" i="3"/>
  <c r="C283" i="3"/>
  <c r="D141" i="3"/>
  <c r="D290" i="3"/>
  <c r="D220" i="3"/>
  <c r="B17" i="3"/>
  <c r="D190" i="3"/>
  <c r="C224" i="3"/>
  <c r="B268" i="3"/>
  <c r="D205" i="3"/>
  <c r="C223" i="3"/>
  <c r="C117" i="3"/>
  <c r="D26" i="3"/>
  <c r="E117" i="3"/>
  <c r="D287" i="3"/>
  <c r="B294" i="3"/>
  <c r="B117" i="3"/>
  <c r="D249" i="3"/>
  <c r="C110" i="3"/>
  <c r="B249" i="3"/>
  <c r="C16" i="3"/>
  <c r="B287" i="3"/>
  <c r="D268" i="3"/>
  <c r="D117" i="3"/>
  <c r="D294" i="3"/>
  <c r="B16" i="3"/>
  <c r="D147" i="3"/>
  <c r="B166" i="3"/>
  <c r="C139" i="3"/>
  <c r="C240" i="3"/>
  <c r="D113" i="3"/>
  <c r="D159" i="3"/>
  <c r="B303" i="3"/>
  <c r="D314" i="3"/>
  <c r="D120" i="3"/>
  <c r="B291" i="3"/>
  <c r="C20" i="3"/>
  <c r="D267" i="3"/>
  <c r="C196" i="3"/>
  <c r="B133" i="3"/>
  <c r="D96" i="3"/>
  <c r="B243" i="3"/>
  <c r="D21" i="3"/>
  <c r="C120" i="3"/>
  <c r="B267" i="3"/>
  <c r="C267" i="3"/>
  <c r="C204" i="3"/>
  <c r="D177" i="3"/>
  <c r="C128" i="3"/>
  <c r="D128" i="3"/>
  <c r="B21" i="3"/>
  <c r="C29" i="3"/>
  <c r="B12" i="3"/>
  <c r="C147" i="3"/>
  <c r="D237" i="3"/>
  <c r="B204" i="3"/>
  <c r="D12" i="3"/>
  <c r="C32" i="3"/>
  <c r="D243" i="3"/>
  <c r="C113" i="3"/>
  <c r="D212" i="3"/>
  <c r="B74" i="3"/>
  <c r="D196" i="3"/>
  <c r="B238" i="3"/>
  <c r="C323" i="3"/>
  <c r="D257" i="3"/>
  <c r="B205" i="3"/>
  <c r="B286" i="3"/>
  <c r="B171" i="3"/>
  <c r="B241" i="3"/>
  <c r="B257" i="3"/>
  <c r="D241" i="3"/>
  <c r="C260" i="3"/>
  <c r="B55" i="3"/>
  <c r="B145" i="3"/>
  <c r="D329" i="3"/>
  <c r="C249" i="3"/>
  <c r="B307" i="3"/>
  <c r="C310" i="3"/>
  <c r="D17" i="3"/>
  <c r="C145" i="3"/>
  <c r="B180" i="3"/>
  <c r="D252" i="3"/>
  <c r="D286" i="3"/>
  <c r="D260" i="3"/>
  <c r="B275" i="3"/>
  <c r="C252" i="3"/>
  <c r="C303" i="3"/>
  <c r="D142" i="3"/>
  <c r="D224" i="3"/>
  <c r="D236" i="3"/>
  <c r="C194" i="3"/>
  <c r="C257" i="3"/>
  <c r="B200" i="3"/>
  <c r="C246" i="3"/>
  <c r="C222" i="3"/>
  <c r="B142" i="3"/>
  <c r="B163" i="3"/>
  <c r="B236" i="3"/>
  <c r="D136" i="3"/>
  <c r="D253" i="3"/>
  <c r="B174" i="3"/>
  <c r="B253" i="3"/>
  <c r="C129" i="3"/>
  <c r="C21" i="3"/>
  <c r="D246" i="3"/>
  <c r="D192" i="3"/>
  <c r="B177" i="3"/>
  <c r="B314" i="3"/>
  <c r="D56" i="3"/>
  <c r="C56" i="3"/>
  <c r="B261" i="3"/>
  <c r="B316" i="3"/>
  <c r="D109" i="3"/>
  <c r="C200" i="3"/>
  <c r="D194" i="3"/>
  <c r="C109" i="3"/>
  <c r="B231" i="3"/>
  <c r="D325" i="3"/>
  <c r="D129" i="3"/>
  <c r="C192" i="3"/>
  <c r="B82" i="3"/>
  <c r="B139" i="3"/>
  <c r="D156" i="3"/>
  <c r="C208" i="3"/>
  <c r="B112" i="3"/>
  <c r="D288" i="3"/>
  <c r="C121" i="3"/>
  <c r="C135" i="3"/>
  <c r="D208" i="3"/>
  <c r="C112" i="3"/>
  <c r="D271" i="3"/>
  <c r="D222" i="3"/>
  <c r="B208" i="3"/>
  <c r="D135" i="3"/>
  <c r="B95" i="3"/>
  <c r="B34" i="3"/>
  <c r="C126" i="3"/>
  <c r="D112" i="3"/>
  <c r="B227" i="3"/>
  <c r="C233" i="3"/>
  <c r="B233" i="3"/>
  <c r="D311" i="3"/>
  <c r="C227" i="3"/>
  <c r="C226" i="3"/>
  <c r="D34" i="3"/>
  <c r="C298" i="3"/>
  <c r="D226" i="3"/>
  <c r="C271" i="3"/>
  <c r="D239" i="3"/>
  <c r="C254" i="3"/>
  <c r="B39" i="3"/>
  <c r="B288" i="3"/>
  <c r="B226" i="3"/>
  <c r="C281" i="3"/>
  <c r="E311" i="3"/>
  <c r="C239" i="3"/>
  <c r="D170" i="3"/>
  <c r="B299" i="3"/>
  <c r="D162" i="3"/>
  <c r="C262" i="3"/>
  <c r="B309" i="3"/>
  <c r="B296" i="3"/>
  <c r="B43" i="3"/>
  <c r="B66" i="3"/>
  <c r="D40" i="3"/>
  <c r="D233" i="3"/>
  <c r="B281" i="3"/>
  <c r="B126" i="3"/>
  <c r="D121" i="3"/>
  <c r="B254" i="3"/>
  <c r="B206" i="3"/>
  <c r="B222" i="3"/>
  <c r="C144" i="3"/>
  <c r="C212" i="3"/>
  <c r="C216" i="3"/>
  <c r="D313" i="3"/>
  <c r="D307" i="3"/>
  <c r="C282" i="3"/>
  <c r="D167" i="3"/>
  <c r="D133" i="3"/>
  <c r="D75" i="3"/>
  <c r="D67" i="3"/>
  <c r="B63" i="3"/>
  <c r="B26" i="3"/>
  <c r="C292" i="3"/>
  <c r="D254" i="3"/>
  <c r="B216" i="3"/>
  <c r="B161" i="3"/>
  <c r="B156" i="3"/>
  <c r="D140" i="3"/>
  <c r="D292" i="3"/>
  <c r="C275" i="3"/>
  <c r="C314" i="3"/>
  <c r="B234" i="3"/>
  <c r="B283" i="3"/>
  <c r="C230" i="3"/>
  <c r="D38" i="3"/>
  <c r="B24" i="3"/>
  <c r="B110" i="3"/>
  <c r="D238" i="3"/>
  <c r="B310" i="3"/>
  <c r="D32" i="3"/>
  <c r="F2420" i="4"/>
  <c r="G2420" i="4" s="1"/>
  <c r="G230" i="4"/>
  <c r="F244" i="4"/>
  <c r="F3246" i="4"/>
  <c r="G3246" i="4" s="1"/>
  <c r="G1683" i="4"/>
  <c r="F1124" i="4"/>
  <c r="G1124" i="4" s="1"/>
  <c r="F1078" i="4"/>
  <c r="G1078" i="4" s="1"/>
  <c r="G1052" i="4"/>
  <c r="F1065" i="4"/>
  <c r="G1065" i="4" s="1"/>
  <c r="G1150" i="4"/>
  <c r="F1763" i="4"/>
  <c r="G1763" i="4" s="1"/>
  <c r="G395" i="4"/>
  <c r="F408" i="4"/>
  <c r="G408" i="4" s="1"/>
  <c r="G382" i="4"/>
  <c r="F1630" i="4"/>
  <c r="F2692" i="4"/>
  <c r="G2692" i="4" s="1"/>
  <c r="G2591" i="4"/>
  <c r="F1952" i="4"/>
  <c r="G1940" i="4"/>
  <c r="F397" i="4"/>
  <c r="G397" i="4" s="1"/>
  <c r="F433" i="4"/>
  <c r="F102" i="12"/>
  <c r="G102" i="12" s="1"/>
  <c r="G105" i="12" s="1"/>
  <c r="F1274" i="4"/>
  <c r="G1274" i="4" s="1"/>
  <c r="F83" i="12"/>
  <c r="G83" i="12" s="1"/>
  <c r="F93" i="12"/>
  <c r="G93" i="12" s="1"/>
  <c r="G96" i="12" s="1"/>
  <c r="F2828" i="4"/>
  <c r="G2828" i="4" s="1"/>
  <c r="F739" i="4"/>
  <c r="G739" i="4" s="1"/>
  <c r="F3" i="12"/>
  <c r="G3" i="12" s="1"/>
  <c r="F694" i="4"/>
  <c r="G694" i="4" s="1"/>
  <c r="F3442" i="4"/>
  <c r="G3442" i="4" s="1"/>
  <c r="F1138" i="4"/>
  <c r="G1138" i="4" s="1"/>
  <c r="F218" i="4"/>
  <c r="G2766" i="4"/>
  <c r="F2778" i="4"/>
  <c r="G2778" i="4" s="1"/>
  <c r="G188" i="4"/>
  <c r="E33" i="3" s="1"/>
  <c r="F740" i="4"/>
  <c r="G740" i="4" s="1"/>
  <c r="F24" i="12"/>
  <c r="G24" i="12"/>
  <c r="F2820" i="4"/>
  <c r="G2820" i="4" s="1"/>
  <c r="G2822" i="4" s="1"/>
  <c r="F23" i="12"/>
  <c r="G23" i="12" s="1"/>
  <c r="F14" i="13"/>
  <c r="G14" i="13"/>
  <c r="F881" i="4"/>
  <c r="G881" i="4" s="1"/>
  <c r="F761" i="4"/>
  <c r="G761" i="4" s="1"/>
  <c r="G764" i="4" s="1"/>
  <c r="F65" i="4"/>
  <c r="G65" i="4" s="1"/>
  <c r="F3170" i="4"/>
  <c r="G3170" i="4"/>
  <c r="F3457" i="4"/>
  <c r="G3457" i="4" s="1"/>
  <c r="F84" i="12"/>
  <c r="G84" i="12" s="1"/>
  <c r="G87" i="12" s="1"/>
  <c r="F1455" i="4"/>
  <c r="G1455" i="4" s="1"/>
  <c r="F514" i="4"/>
  <c r="G514" i="4"/>
  <c r="F1972" i="4"/>
  <c r="G1972" i="4" s="1"/>
  <c r="F35" i="12"/>
  <c r="G35" i="12" s="1"/>
  <c r="G37" i="12" s="1"/>
  <c r="F1160" i="4"/>
  <c r="G1160" i="4" s="1"/>
  <c r="F2811" i="4"/>
  <c r="G2811" i="4" s="1"/>
  <c r="F3443" i="4"/>
  <c r="G3443" i="4" s="1"/>
  <c r="F3160" i="4"/>
  <c r="G3160" i="4" s="1"/>
  <c r="H3159" i="4" s="1"/>
  <c r="F695" i="4"/>
  <c r="G695" i="4" s="1"/>
  <c r="F1971" i="4"/>
  <c r="G1971" i="4" s="1"/>
  <c r="F3404" i="4"/>
  <c r="G3404" i="4" s="1"/>
  <c r="G3407" i="4" s="1"/>
  <c r="G3408" i="4" s="1"/>
  <c r="G3409" i="4" s="1"/>
  <c r="F3" i="13"/>
  <c r="G3" i="13" s="1"/>
  <c r="F13" i="12"/>
  <c r="G13" i="12" s="1"/>
  <c r="F2829" i="4"/>
  <c r="G2829" i="4" s="1"/>
  <c r="F505" i="4"/>
  <c r="G505" i="4" s="1"/>
  <c r="G491" i="4"/>
  <c r="F1620" i="4"/>
  <c r="F2734" i="4"/>
  <c r="G2734" i="4" s="1"/>
  <c r="F1318" i="4"/>
  <c r="G1318" i="4" s="1"/>
  <c r="F1713" i="4"/>
  <c r="G1713" i="4" s="1"/>
  <c r="G1696" i="4"/>
  <c r="H3472" i="4"/>
  <c r="F34" i="4"/>
  <c r="G34" i="4" s="1"/>
  <c r="G35" i="4" s="1"/>
  <c r="G13" i="4"/>
  <c r="G14" i="4" s="1"/>
  <c r="G15" i="4" s="1"/>
  <c r="G16" i="4" s="1"/>
  <c r="H11" i="4" s="1"/>
  <c r="F11" i="3" s="1"/>
  <c r="G39" i="4"/>
  <c r="E15" i="3" s="1"/>
  <c r="G43" i="4"/>
  <c r="G44" i="4"/>
  <c r="H39" i="4" s="1"/>
  <c r="F15" i="3" s="1"/>
  <c r="G89" i="4"/>
  <c r="G1343" i="4"/>
  <c r="F504" i="4"/>
  <c r="F525" i="4" s="1"/>
  <c r="F539" i="4" s="1"/>
  <c r="G490" i="4"/>
  <c r="D274" i="3"/>
  <c r="C274" i="3"/>
  <c r="B274" i="3"/>
  <c r="C269" i="3"/>
  <c r="B269" i="3"/>
  <c r="D269" i="3"/>
  <c r="F2683" i="4"/>
  <c r="G2683" i="4" s="1"/>
  <c r="G2674" i="4"/>
  <c r="G1566" i="4"/>
  <c r="B25" i="3"/>
  <c r="D25" i="3"/>
  <c r="C25" i="3"/>
  <c r="F1926" i="4"/>
  <c r="G1926" i="4" s="1"/>
  <c r="F2902" i="4"/>
  <c r="G2902" i="4" s="1"/>
  <c r="F2911" i="4"/>
  <c r="G2911" i="4" s="1"/>
  <c r="F1670" i="4"/>
  <c r="F1736" i="4"/>
  <c r="G1736" i="4" s="1"/>
  <c r="G3154" i="4"/>
  <c r="H3151" i="4"/>
  <c r="B169" i="3"/>
  <c r="D169" i="3"/>
  <c r="B104" i="3"/>
  <c r="D69" i="3"/>
  <c r="B69" i="3"/>
  <c r="F2572" i="4"/>
  <c r="G2572" i="4" s="1"/>
  <c r="G2563" i="4"/>
  <c r="B100" i="3"/>
  <c r="B64" i="3"/>
  <c r="D64" i="3"/>
  <c r="F541" i="4"/>
  <c r="G541" i="4" s="1"/>
  <c r="G527" i="4"/>
  <c r="F588" i="4"/>
  <c r="F855" i="4"/>
  <c r="G855" i="4" s="1"/>
  <c r="F697" i="4"/>
  <c r="G697" i="4" s="1"/>
  <c r="F883" i="4"/>
  <c r="G883" i="4" s="1"/>
  <c r="F763" i="4"/>
  <c r="G763" i="4" s="1"/>
  <c r="F742" i="4"/>
  <c r="G742" i="4" s="1"/>
  <c r="G706" i="4"/>
  <c r="F728" i="4"/>
  <c r="D125" i="3"/>
  <c r="B125" i="3"/>
  <c r="C125" i="3"/>
  <c r="G162" i="4"/>
  <c r="G163" i="4" s="1"/>
  <c r="H158" i="4" s="1"/>
  <c r="F29" i="3" s="1"/>
  <c r="G158" i="4"/>
  <c r="E29" i="3"/>
  <c r="G585" i="4"/>
  <c r="F603" i="4"/>
  <c r="G603" i="4" s="1"/>
  <c r="F1053" i="4"/>
  <c r="F1123" i="4" s="1"/>
  <c r="G1123" i="4" s="1"/>
  <c r="G1040" i="4"/>
  <c r="D168" i="3"/>
  <c r="B168" i="3"/>
  <c r="G1446" i="4"/>
  <c r="G1360" i="4"/>
  <c r="B256" i="3"/>
  <c r="D256" i="3"/>
  <c r="D202" i="3"/>
  <c r="D197" i="3"/>
  <c r="B197" i="3"/>
  <c r="C197" i="3"/>
  <c r="D191" i="3"/>
  <c r="C191" i="3"/>
  <c r="B191" i="3"/>
  <c r="D262" i="3"/>
  <c r="B262" i="3"/>
  <c r="D206" i="3"/>
  <c r="C206" i="3"/>
  <c r="F3247" i="4"/>
  <c r="G3247" i="4" s="1"/>
  <c r="G3237" i="4"/>
  <c r="C270" i="3"/>
  <c r="B270" i="3"/>
  <c r="D270" i="3"/>
  <c r="D261" i="3"/>
  <c r="C261" i="3"/>
  <c r="C217" i="3"/>
  <c r="B217" i="3"/>
  <c r="G1361" i="4"/>
  <c r="F1375" i="4"/>
  <c r="F1389" i="4" s="1"/>
  <c r="F1403" i="4" s="1"/>
  <c r="B282" i="3"/>
  <c r="D282" i="3"/>
  <c r="F3006" i="4"/>
  <c r="G3006" i="4" s="1"/>
  <c r="G3007" i="4" s="1"/>
  <c r="G3008" i="4" s="1"/>
  <c r="F3117" i="4"/>
  <c r="G3117" i="4" s="1"/>
  <c r="F1640" i="4"/>
  <c r="G1640" i="4" s="1"/>
  <c r="G1629" i="4"/>
  <c r="F248" i="4"/>
  <c r="G248" i="4" s="1"/>
  <c r="G234" i="4"/>
  <c r="F2790" i="4"/>
  <c r="G2790" i="4" s="1"/>
  <c r="D77" i="3"/>
  <c r="B77" i="3"/>
  <c r="F1387" i="4"/>
  <c r="G1373" i="4"/>
  <c r="F1090" i="4"/>
  <c r="G1090" i="4" s="1"/>
  <c r="F1388" i="4"/>
  <c r="F1402" i="4" s="1"/>
  <c r="G1402" i="4" s="1"/>
  <c r="G1374" i="4"/>
  <c r="F1627" i="4"/>
  <c r="F1638" i="4" s="1"/>
  <c r="D81" i="3"/>
  <c r="B81" i="3"/>
  <c r="H3436" i="4"/>
  <c r="B3436" i="4" s="1"/>
  <c r="D3436" i="4" s="1"/>
  <c r="G2673" i="4"/>
  <c r="F2682" i="4"/>
  <c r="G2682" i="4" s="1"/>
  <c r="D198" i="3"/>
  <c r="C198" i="3"/>
  <c r="B198" i="3"/>
  <c r="F2901" i="4"/>
  <c r="G2901" i="4"/>
  <c r="F2514" i="4"/>
  <c r="G2514" i="4" s="1"/>
  <c r="F216" i="3"/>
  <c r="F1671" i="4"/>
  <c r="G1671" i="4" s="1"/>
  <c r="F2912" i="4"/>
  <c r="G2912" i="4" s="1"/>
  <c r="F1927" i="4"/>
  <c r="G1927" i="4"/>
  <c r="F14" i="18"/>
  <c r="G14" i="18" s="1"/>
  <c r="F30" i="18"/>
  <c r="G30" i="18" s="1"/>
  <c r="G32" i="18"/>
  <c r="F34" i="18"/>
  <c r="G34" i="18" s="1"/>
  <c r="G36" i="18" s="1"/>
  <c r="G8" i="18"/>
  <c r="G1569" i="4"/>
  <c r="F1669" i="4"/>
  <c r="G1669" i="4" s="1"/>
  <c r="F1735" i="4"/>
  <c r="G1735" i="4" s="1"/>
  <c r="F685" i="4"/>
  <c r="F707" i="4" s="1"/>
  <c r="G672" i="4"/>
  <c r="C1861" i="4"/>
  <c r="C1912" i="4"/>
  <c r="C1924" i="4" s="1"/>
  <c r="C2011" i="4" s="1"/>
  <c r="C2021" i="4" s="1"/>
  <c r="C2032" i="4" s="1"/>
  <c r="C2043" i="4" s="1"/>
  <c r="C2053" i="4" s="1"/>
  <c r="F1773" i="4"/>
  <c r="G1773" i="4" s="1"/>
  <c r="F1521" i="4"/>
  <c r="G1521" i="4" s="1"/>
  <c r="F1473" i="4"/>
  <c r="G1473" i="4" s="1"/>
  <c r="F1532" i="4"/>
  <c r="G1532" i="4"/>
  <c r="F1332" i="4"/>
  <c r="F1889" i="4"/>
  <c r="G1889" i="4"/>
  <c r="F853" i="4"/>
  <c r="G853" i="4" s="1"/>
  <c r="F3257" i="4"/>
  <c r="F3460" i="4"/>
  <c r="G3460" i="4"/>
  <c r="F4" i="12"/>
  <c r="G4" i="12" s="1"/>
  <c r="F1275" i="4"/>
  <c r="G1275" i="4" s="1"/>
  <c r="F3444" i="4"/>
  <c r="G3444" i="4" s="1"/>
  <c r="F3194" i="4"/>
  <c r="G3194" i="4" s="1"/>
  <c r="F3182" i="4"/>
  <c r="G3182" i="4" s="1"/>
  <c r="F2810" i="4"/>
  <c r="G2810" i="4"/>
  <c r="G2813" i="4" s="1"/>
  <c r="F3159" i="4"/>
  <c r="G3159" i="4" s="1"/>
  <c r="F3403" i="4"/>
  <c r="G3403" i="4" s="1"/>
  <c r="F3456" i="4"/>
  <c r="G3456" i="4" s="1"/>
  <c r="F1970" i="4"/>
  <c r="G1970" i="4" s="1"/>
  <c r="F852" i="4"/>
  <c r="G852" i="4" s="1"/>
  <c r="F3169" i="4"/>
  <c r="G3169" i="4" s="1"/>
  <c r="F3256" i="4"/>
  <c r="F3265" i="4" s="1"/>
  <c r="F513" i="4"/>
  <c r="G513" i="4"/>
  <c r="F880" i="4"/>
  <c r="G880" i="4" s="1"/>
  <c r="F64" i="4"/>
  <c r="G64" i="4" s="1"/>
  <c r="F1159" i="4"/>
  <c r="G1159" i="4" s="1"/>
  <c r="F1454" i="4"/>
  <c r="G1454" i="4"/>
  <c r="F42" i="1"/>
  <c r="F1148" i="4"/>
  <c r="G1148" i="4" s="1"/>
  <c r="F43" i="1"/>
  <c r="F1162" i="4"/>
  <c r="G1162" i="4" s="1"/>
  <c r="G7" i="18"/>
  <c r="G10" i="18" s="1"/>
  <c r="G1630" i="4"/>
  <c r="F1641" i="4"/>
  <c r="G1641" i="4" s="1"/>
  <c r="G1952" i="4"/>
  <c r="F1963" i="4"/>
  <c r="G1963" i="4" s="1"/>
  <c r="F443" i="4"/>
  <c r="G433" i="4"/>
  <c r="F232" i="4"/>
  <c r="F246" i="4" s="1"/>
  <c r="G246" i="4" s="1"/>
  <c r="G218" i="4"/>
  <c r="F526" i="4"/>
  <c r="G1620" i="4"/>
  <c r="F1631" i="4"/>
  <c r="G1631" i="4" s="1"/>
  <c r="F1729" i="4"/>
  <c r="G1388" i="4"/>
  <c r="G1375" i="4"/>
  <c r="G588" i="4"/>
  <c r="F606" i="4"/>
  <c r="F1652" i="4"/>
  <c r="G1652" i="4" s="1"/>
  <c r="F1685" i="4"/>
  <c r="G728" i="4"/>
  <c r="F787" i="4"/>
  <c r="G3149" i="4"/>
  <c r="E321" i="3" s="1"/>
  <c r="G3155" i="4"/>
  <c r="G3156" i="4" s="1"/>
  <c r="H3149" i="4" s="1"/>
  <c r="F1687" i="4"/>
  <c r="F1704" i="4" s="1"/>
  <c r="G1704" i="4" s="1"/>
  <c r="F1356" i="4"/>
  <c r="F1371" i="4" s="1"/>
  <c r="G1371" i="4" s="1"/>
  <c r="G1332" i="4"/>
  <c r="F1079" i="4"/>
  <c r="G1053" i="4"/>
  <c r="F1600" i="4"/>
  <c r="G1600" i="4"/>
  <c r="G685" i="4"/>
  <c r="G3257" i="4"/>
  <c r="F3266" i="4"/>
  <c r="F3275" i="4" s="1"/>
  <c r="F1785" i="4"/>
  <c r="F262" i="4"/>
  <c r="G1079" i="4"/>
  <c r="F1091" i="4"/>
  <c r="G1091" i="4" s="1"/>
  <c r="G787" i="4"/>
  <c r="F804" i="4"/>
  <c r="G804" i="4" s="1"/>
  <c r="G3265" i="4"/>
  <c r="F3274" i="4"/>
  <c r="F3283" i="4" s="1"/>
  <c r="F276" i="4"/>
  <c r="G262" i="4"/>
  <c r="G1389" i="4"/>
  <c r="F1720" i="4"/>
  <c r="G1720" i="4" s="1"/>
  <c r="F107" i="4" l="1"/>
  <c r="F345" i="4"/>
  <c r="G698" i="4"/>
  <c r="G1279" i="4"/>
  <c r="G1272" i="4" s="1"/>
  <c r="E126" i="3" s="1"/>
  <c r="F221" i="4"/>
  <c r="G11" i="4"/>
  <c r="E11" i="3" s="1"/>
  <c r="G3283" i="4"/>
  <c r="F3293" i="4"/>
  <c r="G36" i="4"/>
  <c r="G37" i="4" s="1"/>
  <c r="H32" i="4" s="1"/>
  <c r="F14" i="3" s="1"/>
  <c r="G32" i="4"/>
  <c r="E14" i="3" s="1"/>
  <c r="G3139" i="4"/>
  <c r="G3145" i="4"/>
  <c r="G3146" i="4" s="1"/>
  <c r="H3139" i="4" s="1"/>
  <c r="F320" i="3" s="1"/>
  <c r="G3015" i="4"/>
  <c r="G3016" i="4"/>
  <c r="H3011" i="4" s="1"/>
  <c r="G3011" i="4"/>
  <c r="E305" i="3" s="1"/>
  <c r="E306" i="3" s="1"/>
  <c r="G1356" i="4"/>
  <c r="G3274" i="4"/>
  <c r="G1785" i="4"/>
  <c r="F1797" i="4"/>
  <c r="G1797" i="4" s="1"/>
  <c r="F1445" i="4"/>
  <c r="G1403" i="4"/>
  <c r="G884" i="4"/>
  <c r="G5" i="13"/>
  <c r="G657" i="4"/>
  <c r="F791" i="4"/>
  <c r="B319" i="3"/>
  <c r="D319" i="3"/>
  <c r="D172" i="3"/>
  <c r="B172" i="3"/>
  <c r="F2892" i="4"/>
  <c r="F1925" i="4"/>
  <c r="G1925" i="4" s="1"/>
  <c r="F2910" i="4"/>
  <c r="G2910" i="4" s="1"/>
  <c r="F2710" i="4"/>
  <c r="G2710" i="4" s="1"/>
  <c r="F2350" i="4"/>
  <c r="F1879" i="4"/>
  <c r="G1879" i="4" s="1"/>
  <c r="F15" i="13"/>
  <c r="G15" i="13" s="1"/>
  <c r="G19" i="13" s="1"/>
  <c r="F1911" i="4"/>
  <c r="F3459" i="4"/>
  <c r="G3459" i="4" s="1"/>
  <c r="G3462" i="4" s="1"/>
  <c r="F381" i="4"/>
  <c r="F1733" i="4"/>
  <c r="F3473" i="4"/>
  <c r="G3473" i="4" s="1"/>
  <c r="F489" i="4"/>
  <c r="F1851" i="4"/>
  <c r="G1851" i="4" s="1"/>
  <c r="F2721" i="4"/>
  <c r="C3362" i="4"/>
  <c r="C348" i="3"/>
  <c r="C50" i="3"/>
  <c r="B50" i="3"/>
  <c r="D50" i="3"/>
  <c r="G2815" i="4"/>
  <c r="H2808" i="4" s="1"/>
  <c r="F274" i="3" s="1"/>
  <c r="F2802" i="4"/>
  <c r="G2802" i="4" s="1"/>
  <c r="F506" i="4"/>
  <c r="G492" i="4"/>
  <c r="F2768" i="4"/>
  <c r="F2722" i="4"/>
  <c r="F2491" i="4"/>
  <c r="F2657" i="4"/>
  <c r="F260" i="4"/>
  <c r="G260" i="4" s="1"/>
  <c r="G3266" i="4"/>
  <c r="G3268" i="4" s="1"/>
  <c r="G1687" i="4"/>
  <c r="F1642" i="4"/>
  <c r="G3259" i="4"/>
  <c r="G3260" i="4" s="1"/>
  <c r="G3261" i="4" s="1"/>
  <c r="H3254" i="4" s="1"/>
  <c r="F337" i="3" s="1"/>
  <c r="F1066" i="4"/>
  <c r="G1066" i="4" s="1"/>
  <c r="F1149" i="4"/>
  <c r="G1149" i="4" s="1"/>
  <c r="G3256" i="4"/>
  <c r="F2746" i="4"/>
  <c r="G2746" i="4" s="1"/>
  <c r="G2814" i="4"/>
  <c r="F2701" i="4"/>
  <c r="G2701" i="4" s="1"/>
  <c r="F421" i="4"/>
  <c r="H3143" i="4"/>
  <c r="B195" i="3"/>
  <c r="G7" i="12"/>
  <c r="G1" i="12" s="1"/>
  <c r="B332" i="3"/>
  <c r="B46" i="3"/>
  <c r="C46" i="3"/>
  <c r="C753" i="4"/>
  <c r="C775" i="4" s="1"/>
  <c r="C789" i="4" s="1"/>
  <c r="C806" i="4" s="1"/>
  <c r="C824" i="4" s="1"/>
  <c r="C841" i="4" s="1"/>
  <c r="C319" i="3"/>
  <c r="F1701" i="4"/>
  <c r="G1701" i="4" s="1"/>
  <c r="G1684" i="4"/>
  <c r="F219" i="4"/>
  <c r="F1444" i="4"/>
  <c r="G1444" i="4" s="1"/>
  <c r="B297" i="3"/>
  <c r="D297" i="3"/>
  <c r="D148" i="3"/>
  <c r="C148" i="3"/>
  <c r="B141" i="3"/>
  <c r="C141" i="3"/>
  <c r="B79" i="3"/>
  <c r="D79" i="3"/>
  <c r="B70" i="3"/>
  <c r="D70" i="3"/>
  <c r="G1230" i="4"/>
  <c r="F1242" i="4"/>
  <c r="G1242" i="4" s="1"/>
  <c r="G1464" i="4"/>
  <c r="G1452" i="4" s="1"/>
  <c r="E142" i="3" s="1"/>
  <c r="G2471" i="4"/>
  <c r="F2481" i="4"/>
  <c r="G2481" i="4" s="1"/>
  <c r="G2450" i="4"/>
  <c r="F2460" i="4"/>
  <c r="G2460" i="4" s="1"/>
  <c r="F2534" i="4"/>
  <c r="G2534" i="4" s="1"/>
  <c r="G2524" i="4"/>
  <c r="G525" i="4"/>
  <c r="G232" i="4"/>
  <c r="G504" i="4"/>
  <c r="G1288" i="4"/>
  <c r="B322" i="3"/>
  <c r="C322" i="3"/>
  <c r="E322" i="3"/>
  <c r="C332" i="3"/>
  <c r="F322" i="3"/>
  <c r="C195" i="3"/>
  <c r="C352" i="3"/>
  <c r="G2638" i="4"/>
  <c r="F2647" i="4"/>
  <c r="G2647" i="4" s="1"/>
  <c r="F1590" i="4"/>
  <c r="G1573" i="4"/>
  <c r="C316" i="3"/>
  <c r="D316" i="3"/>
  <c r="D312" i="3"/>
  <c r="E312" i="3"/>
  <c r="C229" i="3"/>
  <c r="B229" i="3"/>
  <c r="B153" i="3"/>
  <c r="C153" i="3"/>
  <c r="D153" i="3"/>
  <c r="G1417" i="4"/>
  <c r="F1431" i="4"/>
  <c r="G1431" i="4" s="1"/>
  <c r="C3336" i="4"/>
  <c r="C345" i="3"/>
  <c r="C3315" i="4"/>
  <c r="C343" i="3"/>
  <c r="G1584" i="4"/>
  <c r="F1601" i="4"/>
  <c r="G1601" i="4" s="1"/>
  <c r="G1039" i="4"/>
  <c r="D272" i="3"/>
  <c r="F2620" i="4"/>
  <c r="G2620" i="4" s="1"/>
  <c r="G1941" i="4"/>
  <c r="F1964" i="4"/>
  <c r="C237" i="3"/>
  <c r="C123" i="3"/>
  <c r="G3198" i="4"/>
  <c r="G16" i="12"/>
  <c r="F1939" i="4"/>
  <c r="G1939" i="4" s="1"/>
  <c r="B190" i="3"/>
  <c r="C190" i="3"/>
  <c r="E17" i="3"/>
  <c r="H3475" i="4"/>
  <c r="H3476" i="4" s="1"/>
  <c r="G1232" i="4"/>
  <c r="G2074" i="4"/>
  <c r="F1697" i="4"/>
  <c r="G1387" i="4"/>
  <c r="F1401" i="4"/>
  <c r="G1401" i="4" s="1"/>
  <c r="H3477" i="4"/>
  <c r="H3478" i="4"/>
  <c r="B3478" i="4" s="1"/>
  <c r="D3478" i="4" s="1"/>
  <c r="G916" i="4"/>
  <c r="F948" i="4"/>
  <c r="G112" i="4"/>
  <c r="E24" i="3" s="1"/>
  <c r="G116" i="4"/>
  <c r="G117" i="4" s="1"/>
  <c r="H112" i="4" s="1"/>
  <c r="F24" i="3" s="1"/>
  <c r="F604" i="4"/>
  <c r="G586" i="4"/>
  <c r="C2063" i="4"/>
  <c r="C2098" i="4"/>
  <c r="G2767" i="4"/>
  <c r="F2779" i="4"/>
  <c r="F1231" i="4"/>
  <c r="F989" i="4"/>
  <c r="G989" i="4" s="1"/>
  <c r="G3042" i="4"/>
  <c r="G3043" i="4" s="1"/>
  <c r="H3038" i="4" s="1"/>
  <c r="F310" i="3" s="1"/>
  <c r="G3038" i="4"/>
  <c r="E310" i="3" s="1"/>
  <c r="G22" i="4"/>
  <c r="G23" i="4"/>
  <c r="H18" i="4" s="1"/>
  <c r="F12" i="3" s="1"/>
  <c r="G18" i="4"/>
  <c r="E12" i="3" s="1"/>
  <c r="C119" i="3"/>
  <c r="D119" i="3"/>
  <c r="B119" i="3"/>
  <c r="G8" i="12"/>
  <c r="G9" i="12"/>
  <c r="H1" i="12" s="1"/>
  <c r="G91" i="12"/>
  <c r="G98" i="12"/>
  <c r="H91" i="12" s="1"/>
  <c r="G97" i="12"/>
  <c r="G1280" i="4"/>
  <c r="G1281" i="4" s="1"/>
  <c r="H1272" i="4" s="1"/>
  <c r="F126" i="3" s="1"/>
  <c r="G38" i="12"/>
  <c r="G39" i="12" s="1"/>
  <c r="H32" i="12" s="1"/>
  <c r="G32" i="12"/>
  <c r="G88" i="12"/>
  <c r="G89" i="12" s="1"/>
  <c r="H81" i="12" s="1"/>
  <c r="G81" i="12"/>
  <c r="G766" i="4"/>
  <c r="H758" i="4" s="1"/>
  <c r="G765" i="4"/>
  <c r="G758" i="4"/>
  <c r="F1385" i="4"/>
  <c r="G885" i="4"/>
  <c r="G886" i="4" s="1"/>
  <c r="H878" i="4" s="1"/>
  <c r="G878" i="4"/>
  <c r="G1685" i="4"/>
  <c r="F1702" i="4"/>
  <c r="F623" i="4"/>
  <c r="G606" i="4"/>
  <c r="F1686" i="4"/>
  <c r="G1670" i="4"/>
  <c r="F3284" i="4"/>
  <c r="G3275" i="4"/>
  <c r="G3277" i="4" s="1"/>
  <c r="G1466" i="4"/>
  <c r="H1452" i="4" s="1"/>
  <c r="F142" i="3" s="1"/>
  <c r="G1465" i="4"/>
  <c r="F553" i="4"/>
  <c r="G539" i="4"/>
  <c r="F1603" i="4"/>
  <c r="G1603" i="4" s="1"/>
  <c r="G1586" i="4"/>
  <c r="G3269" i="4"/>
  <c r="G3270" i="4" s="1"/>
  <c r="H3263" i="4" s="1"/>
  <c r="F338" i="3" s="1"/>
  <c r="F1819" i="4"/>
  <c r="G1819" i="4" s="1"/>
  <c r="F1808" i="4"/>
  <c r="G3172" i="4"/>
  <c r="F1650" i="4"/>
  <c r="G1638" i="4"/>
  <c r="G743" i="4"/>
  <c r="D318" i="3"/>
  <c r="C318" i="3"/>
  <c r="B318" i="3"/>
  <c r="F274" i="4"/>
  <c r="F287" i="4" s="1"/>
  <c r="F301" i="4" s="1"/>
  <c r="F315" i="4" s="1"/>
  <c r="F329" i="4" s="1"/>
  <c r="F343" i="4" s="1"/>
  <c r="F356" i="4" s="1"/>
  <c r="F369" i="4" s="1"/>
  <c r="G29" i="12"/>
  <c r="G20" i="12"/>
  <c r="G30" i="12"/>
  <c r="H20" i="12" s="1"/>
  <c r="G707" i="4"/>
  <c r="F729" i="4"/>
  <c r="G2817" i="4"/>
  <c r="E275" i="3" s="1"/>
  <c r="G2823" i="4"/>
  <c r="G2824" i="4" s="1"/>
  <c r="H2817" i="4" s="1"/>
  <c r="F275" i="3" s="1"/>
  <c r="G3448" i="4"/>
  <c r="C618" i="4"/>
  <c r="C636" i="4"/>
  <c r="C653" i="4" s="1"/>
  <c r="G468" i="4"/>
  <c r="E57" i="3" s="1"/>
  <c r="H478" i="4"/>
  <c r="H479" i="4" s="1"/>
  <c r="H468" i="4" s="1"/>
  <c r="F57" i="3" s="1"/>
  <c r="F344" i="4"/>
  <c r="G122" i="4"/>
  <c r="G123" i="4" s="1"/>
  <c r="D333" i="3"/>
  <c r="C333" i="3"/>
  <c r="B333" i="3"/>
  <c r="D321" i="3"/>
  <c r="B321" i="3"/>
  <c r="C321" i="3"/>
  <c r="F321" i="3"/>
  <c r="D305" i="3"/>
  <c r="C305" i="3"/>
  <c r="F305" i="3"/>
  <c r="F306" i="3" s="1"/>
  <c r="B305" i="3"/>
  <c r="B290" i="3"/>
  <c r="C290" i="3"/>
  <c r="D235" i="3"/>
  <c r="B235" i="3"/>
  <c r="C235" i="3"/>
  <c r="C232" i="3"/>
  <c r="B232" i="3"/>
  <c r="D232" i="3"/>
  <c r="C193" i="3"/>
  <c r="B193" i="3"/>
  <c r="D193" i="3"/>
  <c r="B175" i="3"/>
  <c r="D175" i="3"/>
  <c r="D165" i="3"/>
  <c r="B165" i="3"/>
  <c r="B157" i="3"/>
  <c r="D157" i="3"/>
  <c r="D151" i="3"/>
  <c r="B151" i="3"/>
  <c r="C151" i="3"/>
  <c r="B92" i="3"/>
  <c r="D92" i="3"/>
  <c r="B48" i="3"/>
  <c r="C48" i="3"/>
  <c r="D48" i="3"/>
  <c r="C33" i="3"/>
  <c r="D33" i="3"/>
  <c r="B33" i="3"/>
  <c r="D22" i="3"/>
  <c r="C22" i="3"/>
  <c r="E22" i="3"/>
  <c r="B22" i="3"/>
  <c r="C13" i="3"/>
  <c r="B13" i="3"/>
  <c r="D13" i="3"/>
  <c r="G2301" i="4"/>
  <c r="F2310" i="4"/>
  <c r="G1400" i="4"/>
  <c r="F1487" i="4"/>
  <c r="G1487" i="4" s="1"/>
  <c r="F2380" i="4"/>
  <c r="G2380" i="4" s="1"/>
  <c r="G2371" i="4"/>
  <c r="F1320" i="4"/>
  <c r="G1320" i="4" s="1"/>
  <c r="F1309" i="4"/>
  <c r="G1309" i="4" s="1"/>
  <c r="F1672" i="4"/>
  <c r="F2893" i="4"/>
  <c r="G2893" i="4" s="1"/>
  <c r="F1928" i="4"/>
  <c r="G1928" i="4" s="1"/>
  <c r="F2913" i="4"/>
  <c r="G2913" i="4" s="1"/>
  <c r="F1738" i="4"/>
  <c r="G1738" i="4" s="1"/>
  <c r="F1721" i="4"/>
  <c r="G1721" i="4" s="1"/>
  <c r="F1257" i="4"/>
  <c r="G1257" i="4" s="1"/>
  <c r="F1054" i="4"/>
  <c r="G217" i="4"/>
  <c r="F231" i="4"/>
  <c r="G95" i="4"/>
  <c r="G99" i="4"/>
  <c r="G100" i="4" s="1"/>
  <c r="H95" i="4" s="1"/>
  <c r="F22" i="3" s="1"/>
  <c r="G7" i="4"/>
  <c r="G8" i="4" s="1"/>
  <c r="H3" i="4" s="1"/>
  <c r="F10" i="3" s="1"/>
  <c r="F1345" i="4"/>
  <c r="G1345" i="4" s="1"/>
  <c r="G1333" i="4"/>
  <c r="F903" i="4"/>
  <c r="F1544" i="4"/>
  <c r="G1544" i="4" s="1"/>
  <c r="F1344" i="4"/>
  <c r="G1344" i="4" s="1"/>
  <c r="G144" i="4"/>
  <c r="G149" i="4"/>
  <c r="H144" i="4" s="1"/>
  <c r="G148" i="4"/>
  <c r="G3263" i="4"/>
  <c r="E338" i="3" s="1"/>
  <c r="F289" i="4"/>
  <c r="G276" i="4"/>
  <c r="G2808" i="4"/>
  <c r="E274" i="3" s="1"/>
  <c r="F1653" i="4"/>
  <c r="G1627" i="4"/>
  <c r="G1729" i="4"/>
  <c r="F1746" i="4"/>
  <c r="G72" i="4"/>
  <c r="G516" i="4"/>
  <c r="G856" i="4"/>
  <c r="G3009" i="4"/>
  <c r="H3004" i="4" s="1"/>
  <c r="F303" i="3" s="1"/>
  <c r="F304" i="3" s="1"/>
  <c r="G3004" i="4"/>
  <c r="E303" i="3" s="1"/>
  <c r="E304" i="3" s="1"/>
  <c r="G708" i="4"/>
  <c r="G3" i="4"/>
  <c r="E10" i="3" s="1"/>
  <c r="G6" i="13"/>
  <c r="G7" i="13" s="1"/>
  <c r="H1" i="13" s="1"/>
  <c r="G1" i="13"/>
  <c r="F927" i="4"/>
  <c r="G917" i="4"/>
  <c r="F528" i="4"/>
  <c r="G506" i="4"/>
  <c r="G1621" i="4"/>
  <c r="G29" i="4"/>
  <c r="G30" i="4" s="1"/>
  <c r="H25" i="4" s="1"/>
  <c r="F13" i="3" s="1"/>
  <c r="G25" i="4"/>
  <c r="E13" i="3" s="1"/>
  <c r="G81" i="4"/>
  <c r="G82" i="4"/>
  <c r="G1335" i="4"/>
  <c r="G700" i="4"/>
  <c r="H692" i="4" s="1"/>
  <c r="G692" i="4"/>
  <c r="G699" i="4"/>
  <c r="F540" i="4"/>
  <c r="G526" i="4"/>
  <c r="G443" i="4"/>
  <c r="F452" i="4"/>
  <c r="F1762" i="4"/>
  <c r="G1750" i="4"/>
  <c r="D287" i="4"/>
  <c r="G1988" i="4"/>
  <c r="F2000" i="4"/>
  <c r="G2000" i="4" s="1"/>
  <c r="G721" i="4"/>
  <c r="H714" i="4" s="1"/>
  <c r="G714" i="4"/>
  <c r="F1474" i="4"/>
  <c r="G1443" i="4"/>
  <c r="G106" i="12"/>
  <c r="G107" i="12" s="1"/>
  <c r="H100" i="12" s="1"/>
  <c r="G100" i="12"/>
  <c r="H3420" i="4"/>
  <c r="G1342" i="4"/>
  <c r="F1354" i="4"/>
  <c r="G502" i="4"/>
  <c r="F523" i="4"/>
  <c r="F1606" i="4"/>
  <c r="G1606" i="4" s="1"/>
  <c r="G1589" i="4"/>
  <c r="F243" i="4"/>
  <c r="G229" i="4"/>
  <c r="G193" i="4"/>
  <c r="G194" i="4" s="1"/>
  <c r="H188" i="4" s="1"/>
  <c r="F33" i="3" s="1"/>
  <c r="F686" i="4"/>
  <c r="G673" i="4"/>
  <c r="G51" i="4"/>
  <c r="G52" i="4" s="1"/>
  <c r="H47" i="4" s="1"/>
  <c r="F16" i="3" s="1"/>
  <c r="G47" i="4"/>
  <c r="E16" i="3" s="1"/>
  <c r="G1355" i="4"/>
  <c r="F1370" i="4"/>
  <c r="B324" i="3"/>
  <c r="C324" i="3"/>
  <c r="D324" i="3"/>
  <c r="B320" i="3"/>
  <c r="C320" i="3"/>
  <c r="E320" i="3"/>
  <c r="D317" i="3"/>
  <c r="B317" i="3"/>
  <c r="C317" i="3"/>
  <c r="D315" i="3"/>
  <c r="B315" i="3"/>
  <c r="D309" i="3"/>
  <c r="C309" i="3"/>
  <c r="B295" i="3"/>
  <c r="C295" i="3"/>
  <c r="D251" i="3"/>
  <c r="B251" i="3"/>
  <c r="C251" i="3"/>
  <c r="D240" i="3"/>
  <c r="B240" i="3"/>
  <c r="D223" i="3"/>
  <c r="B223" i="3"/>
  <c r="C213" i="3"/>
  <c r="D213" i="3"/>
  <c r="B213" i="3"/>
  <c r="D207" i="3"/>
  <c r="B207" i="3"/>
  <c r="C207" i="3"/>
  <c r="B202" i="3"/>
  <c r="C202" i="3"/>
  <c r="C199" i="3"/>
  <c r="D199" i="3"/>
  <c r="B199" i="3"/>
  <c r="D102" i="3"/>
  <c r="B102" i="3"/>
  <c r="F3115" i="4"/>
  <c r="F3032" i="4"/>
  <c r="G3032" i="4" s="1"/>
  <c r="F3116" i="4"/>
  <c r="G3116" i="4" s="1"/>
  <c r="F207" i="4"/>
  <c r="G207" i="4" s="1"/>
  <c r="G208" i="4" s="1"/>
  <c r="F199" i="4"/>
  <c r="G199" i="4" s="1"/>
  <c r="G200" i="4" s="1"/>
  <c r="F1664" i="4"/>
  <c r="F620" i="4"/>
  <c r="F2360" i="4"/>
  <c r="G2360" i="4" s="1"/>
  <c r="G2350" i="4"/>
  <c r="G155" i="4"/>
  <c r="G156" i="4" s="1"/>
  <c r="G151" i="4" s="1"/>
  <c r="F396" i="4"/>
  <c r="G383" i="4"/>
  <c r="G2831" i="4"/>
  <c r="F1639" i="4"/>
  <c r="G1628" i="4"/>
  <c r="G501" i="4"/>
  <c r="F522" i="4"/>
  <c r="G184" i="4"/>
  <c r="F2732" i="4"/>
  <c r="G2721" i="4"/>
  <c r="F1998" i="4"/>
  <c r="G1998" i="4" s="1"/>
  <c r="G1986" i="4"/>
  <c r="F2010" i="4"/>
  <c r="G90" i="4"/>
  <c r="C329" i="3"/>
  <c r="B329" i="3"/>
  <c r="B323" i="3"/>
  <c r="D323" i="3"/>
  <c r="C311" i="3"/>
  <c r="F311" i="3"/>
  <c r="B311" i="3"/>
  <c r="D285" i="3"/>
  <c r="B285" i="3"/>
  <c r="C285" i="3"/>
  <c r="B266" i="3"/>
  <c r="D266" i="3"/>
  <c r="C266" i="3"/>
  <c r="B248" i="3"/>
  <c r="C248" i="3"/>
  <c r="B245" i="3"/>
  <c r="C245" i="3"/>
  <c r="B228" i="3"/>
  <c r="C228" i="3"/>
  <c r="B215" i="3"/>
  <c r="C215" i="3"/>
  <c r="D201" i="3"/>
  <c r="C201" i="3"/>
  <c r="G2430" i="4"/>
  <c r="F2440" i="4"/>
  <c r="G2440" i="4" s="1"/>
  <c r="G221" i="4"/>
  <c r="F235" i="4"/>
  <c r="G2075" i="4"/>
  <c r="F2087" i="4"/>
  <c r="G2087" i="4" s="1"/>
  <c r="G244" i="4"/>
  <c r="F258" i="4"/>
  <c r="F2801" i="4"/>
  <c r="G2801" i="4" s="1"/>
  <c r="G2789" i="4"/>
  <c r="F2361" i="4"/>
  <c r="G2361" i="4" s="1"/>
  <c r="G2351" i="4"/>
  <c r="F2665" i="4"/>
  <c r="G2665" i="4" s="1"/>
  <c r="G2657" i="4"/>
  <c r="C313" i="3"/>
  <c r="F313" i="3"/>
  <c r="B313" i="3"/>
  <c r="D299" i="3"/>
  <c r="C299" i="3"/>
  <c r="B31" i="3"/>
  <c r="C31" i="3"/>
  <c r="D31" i="3"/>
  <c r="C17" i="3"/>
  <c r="F17" i="3"/>
  <c r="G3114" i="4"/>
  <c r="F3129" i="4"/>
  <c r="G3129" i="4" s="1"/>
  <c r="G2320" i="4"/>
  <c r="F2330" i="4"/>
  <c r="G176" i="4"/>
  <c r="B331" i="3"/>
  <c r="C331" i="3"/>
  <c r="C284" i="3"/>
  <c r="B284" i="3"/>
  <c r="B276" i="3"/>
  <c r="D276" i="3"/>
  <c r="D255" i="3"/>
  <c r="B255" i="3"/>
  <c r="D230" i="3"/>
  <c r="B230" i="3"/>
  <c r="B176" i="3"/>
  <c r="D176" i="3"/>
  <c r="D152" i="3"/>
  <c r="B152" i="3"/>
  <c r="C152" i="3"/>
  <c r="C143" i="3"/>
  <c r="B143" i="3"/>
  <c r="D143" i="3"/>
  <c r="C140" i="3"/>
  <c r="B107" i="3"/>
  <c r="D107" i="3"/>
  <c r="C107" i="3"/>
  <c r="B99" i="3"/>
  <c r="D99" i="3"/>
  <c r="B72" i="3"/>
  <c r="D72" i="3"/>
  <c r="C54" i="3"/>
  <c r="D54" i="3"/>
  <c r="D52" i="3"/>
  <c r="B52" i="3"/>
  <c r="D27" i="3"/>
  <c r="B27" i="3"/>
  <c r="C27" i="3"/>
  <c r="C24" i="3"/>
  <c r="D24" i="3"/>
  <c r="G2723" i="4"/>
  <c r="F2735" i="4"/>
  <c r="G587" i="4"/>
  <c r="F605" i="4"/>
  <c r="F2480" i="4"/>
  <c r="G2470" i="4"/>
  <c r="B71" i="3"/>
  <c r="D71" i="3"/>
  <c r="B29" i="3"/>
  <c r="D29" i="3"/>
  <c r="G170" i="4"/>
  <c r="H164" i="4" s="1"/>
  <c r="F30" i="3" s="1"/>
  <c r="F1585" i="4"/>
  <c r="G1568" i="4"/>
  <c r="G2892" i="4"/>
  <c r="H3415" i="4"/>
  <c r="G140" i="4"/>
  <c r="F1064" i="4"/>
  <c r="G1064" i="4" s="1"/>
  <c r="F1135" i="4"/>
  <c r="G1135" i="4" s="1"/>
  <c r="G20" i="13" l="1"/>
  <c r="G21" i="13" s="1"/>
  <c r="H11" i="13" s="1"/>
  <c r="G11" i="13"/>
  <c r="F358" i="4"/>
  <c r="G345" i="4"/>
  <c r="G107" i="4"/>
  <c r="F131" i="4"/>
  <c r="G131" i="4" s="1"/>
  <c r="G132" i="4" s="1"/>
  <c r="G3463" i="4"/>
  <c r="G3464" i="4" s="1"/>
  <c r="H3454" i="4" s="1"/>
  <c r="G3454" i="4"/>
  <c r="F1714" i="4"/>
  <c r="G1697" i="4"/>
  <c r="G1964" i="4"/>
  <c r="F1987" i="4"/>
  <c r="F1953" i="4"/>
  <c r="G1953" i="4" s="1"/>
  <c r="F1975" i="4"/>
  <c r="G1445" i="4"/>
  <c r="F1475" i="4"/>
  <c r="G1475" i="4" s="1"/>
  <c r="F1476" i="4"/>
  <c r="G1476" i="4" s="1"/>
  <c r="G2768" i="4"/>
  <c r="F2780" i="4"/>
  <c r="G381" i="4"/>
  <c r="F394" i="4"/>
  <c r="G1632" i="4"/>
  <c r="G3254" i="4"/>
  <c r="E337" i="3" s="1"/>
  <c r="G3190" i="4"/>
  <c r="E325" i="3" s="1"/>
  <c r="G3200" i="4"/>
  <c r="H3190" i="4" s="1"/>
  <c r="F325" i="3" s="1"/>
  <c r="G3199" i="4"/>
  <c r="G219" i="4"/>
  <c r="F233" i="4"/>
  <c r="C1277" i="4"/>
  <c r="C866" i="4"/>
  <c r="F432" i="4"/>
  <c r="G432" i="4" s="1"/>
  <c r="G421" i="4"/>
  <c r="F1654" i="4"/>
  <c r="G1654" i="4" s="1"/>
  <c r="G1642" i="4"/>
  <c r="G489" i="4"/>
  <c r="F503" i="4"/>
  <c r="G11" i="12"/>
  <c r="G17" i="12"/>
  <c r="G18" i="12" s="1"/>
  <c r="H11" i="12" s="1"/>
  <c r="G2491" i="4"/>
  <c r="F2502" i="4"/>
  <c r="G2502" i="4" s="1"/>
  <c r="F1923" i="4"/>
  <c r="G1923" i="4" s="1"/>
  <c r="G1911" i="4"/>
  <c r="F3303" i="4"/>
  <c r="G3293" i="4"/>
  <c r="G1347" i="4"/>
  <c r="F1607" i="4"/>
  <c r="G1607" i="4" s="1"/>
  <c r="G1590" i="4"/>
  <c r="F2733" i="4"/>
  <c r="G2722" i="4"/>
  <c r="G1733" i="4"/>
  <c r="F1749" i="4"/>
  <c r="G791" i="4"/>
  <c r="F808" i="4"/>
  <c r="E28" i="3"/>
  <c r="F28" i="3" s="1"/>
  <c r="H151" i="4"/>
  <c r="G3278" i="4"/>
  <c r="G3279" i="4" s="1"/>
  <c r="H3272" i="4" s="1"/>
  <c r="F339" i="3" s="1"/>
  <c r="G3272" i="4"/>
  <c r="E339" i="3" s="1"/>
  <c r="G2735" i="4"/>
  <c r="F2747" i="4"/>
  <c r="G2747" i="4" s="1"/>
  <c r="G2826" i="4"/>
  <c r="E276" i="3" s="1"/>
  <c r="G2832" i="4"/>
  <c r="G2833" i="4" s="1"/>
  <c r="H2826" i="4" s="1"/>
  <c r="F276" i="3" s="1"/>
  <c r="G523" i="4"/>
  <c r="F537" i="4"/>
  <c r="G540" i="4"/>
  <c r="F554" i="4"/>
  <c r="G1650" i="4"/>
  <c r="F1662" i="4"/>
  <c r="G1662" i="4" s="1"/>
  <c r="G177" i="4"/>
  <c r="G178" i="4" s="1"/>
  <c r="H172" i="4" s="1"/>
  <c r="F31" i="3" s="1"/>
  <c r="G172" i="4"/>
  <c r="E31" i="3" s="1"/>
  <c r="G91" i="4"/>
  <c r="G92" i="4" s="1"/>
  <c r="H86" i="4" s="1"/>
  <c r="F21" i="3" s="1"/>
  <c r="G86" i="4"/>
  <c r="E21" i="3" s="1"/>
  <c r="G686" i="4"/>
  <c r="F709" i="4"/>
  <c r="F257" i="4"/>
  <c r="G243" i="4"/>
  <c r="G83" i="4"/>
  <c r="G84" i="4" s="1"/>
  <c r="H78" i="4" s="1"/>
  <c r="F20" i="3" s="1"/>
  <c r="G78" i="4"/>
  <c r="E20" i="3" s="1"/>
  <c r="G73" i="4"/>
  <c r="G74" i="4" s="1"/>
  <c r="H62" i="4" s="1"/>
  <c r="G62" i="4"/>
  <c r="G1653" i="4"/>
  <c r="F1665" i="4"/>
  <c r="F303" i="4"/>
  <c r="G289" i="4"/>
  <c r="G1054" i="4"/>
  <c r="F1125" i="4"/>
  <c r="G1125" i="4" s="1"/>
  <c r="F1080" i="4"/>
  <c r="F1067" i="4"/>
  <c r="G1067" i="4" s="1"/>
  <c r="G3173" i="4"/>
  <c r="G3174" i="4" s="1"/>
  <c r="H3167" i="4" s="1"/>
  <c r="F323" i="3" s="1"/>
  <c r="G3167" i="4"/>
  <c r="E323" i="3" s="1"/>
  <c r="F567" i="4"/>
  <c r="G553" i="4"/>
  <c r="G3284" i="4"/>
  <c r="G3286" i="4" s="1"/>
  <c r="F3294" i="4"/>
  <c r="F641" i="4"/>
  <c r="G623" i="4"/>
  <c r="G204" i="4"/>
  <c r="E35" i="3" s="1"/>
  <c r="G209" i="4"/>
  <c r="G210" i="4" s="1"/>
  <c r="H204" i="4" s="1"/>
  <c r="F35" i="3" s="1"/>
  <c r="G1336" i="4"/>
  <c r="G1337" i="4" s="1"/>
  <c r="H1328" i="4" s="1"/>
  <c r="F133" i="3" s="1"/>
  <c r="G1328" i="4"/>
  <c r="E133" i="3" s="1"/>
  <c r="G517" i="4"/>
  <c r="G518" i="4" s="1"/>
  <c r="H511" i="4" s="1"/>
  <c r="G511" i="4"/>
  <c r="G222" i="4"/>
  <c r="G223" i="4"/>
  <c r="F1688" i="4"/>
  <c r="G1672" i="4"/>
  <c r="G3440" i="4"/>
  <c r="G3449" i="4"/>
  <c r="G3450" i="4" s="1"/>
  <c r="H3440" i="4" s="1"/>
  <c r="G744" i="4"/>
  <c r="G737" i="4"/>
  <c r="G745" i="4"/>
  <c r="H737" i="4" s="1"/>
  <c r="G1686" i="4"/>
  <c r="F1703" i="4"/>
  <c r="G1585" i="4"/>
  <c r="F1602" i="4"/>
  <c r="G1602" i="4" s="1"/>
  <c r="G605" i="4"/>
  <c r="F622" i="4"/>
  <c r="F2340" i="4"/>
  <c r="G2340" i="4" s="1"/>
  <c r="G2330" i="4"/>
  <c r="F272" i="4"/>
  <c r="G258" i="4"/>
  <c r="G235" i="4"/>
  <c r="F249" i="4"/>
  <c r="G2010" i="4"/>
  <c r="F2020" i="4"/>
  <c r="F2744" i="4"/>
  <c r="G2744" i="4" s="1"/>
  <c r="G2732" i="4"/>
  <c r="F409" i="4"/>
  <c r="G396" i="4"/>
  <c r="F638" i="4"/>
  <c r="G638" i="4" s="1"/>
  <c r="G620" i="4"/>
  <c r="G201" i="4"/>
  <c r="G202" i="4"/>
  <c r="H196" i="4" s="1"/>
  <c r="F34" i="3" s="1"/>
  <c r="G196" i="4"/>
  <c r="E34" i="3" s="1"/>
  <c r="F3130" i="4"/>
  <c r="G3130" i="4" s="1"/>
  <c r="H3129" i="4" s="1"/>
  <c r="G3133" i="4" s="1"/>
  <c r="G3115" i="4"/>
  <c r="H3114" i="4" s="1"/>
  <c r="G3119" i="4" s="1"/>
  <c r="G1354" i="4"/>
  <c r="G1363" i="4" s="1"/>
  <c r="F1369" i="4"/>
  <c r="G1474" i="4"/>
  <c r="F1571" i="4"/>
  <c r="F1775" i="4"/>
  <c r="G1762" i="4"/>
  <c r="G1623" i="4"/>
  <c r="H1614" i="4" s="1"/>
  <c r="F156" i="3" s="1"/>
  <c r="G1614" i="4"/>
  <c r="E156" i="3" s="1"/>
  <c r="G1622" i="4"/>
  <c r="G927" i="4"/>
  <c r="F937" i="4"/>
  <c r="G1746" i="4"/>
  <c r="F1758" i="4"/>
  <c r="G119" i="4"/>
  <c r="E25" i="3" s="1"/>
  <c r="G124" i="4"/>
  <c r="G125" i="4" s="1"/>
  <c r="H119" i="4" s="1"/>
  <c r="F25" i="3" s="1"/>
  <c r="F1830" i="4"/>
  <c r="G1808" i="4"/>
  <c r="F1718" i="4"/>
  <c r="G1718" i="4" s="1"/>
  <c r="G1702" i="4"/>
  <c r="F536" i="4"/>
  <c r="G522" i="4"/>
  <c r="G1664" i="4"/>
  <c r="F1681" i="4"/>
  <c r="H3422" i="4"/>
  <c r="B3422" i="4" s="1"/>
  <c r="D3422" i="4" s="1"/>
  <c r="H3421" i="4"/>
  <c r="D301" i="4"/>
  <c r="G287" i="4"/>
  <c r="G528" i="4"/>
  <c r="F542" i="4"/>
  <c r="G1633" i="4"/>
  <c r="G1634" i="4" s="1"/>
  <c r="H1625" i="4" s="1"/>
  <c r="F157" i="3" s="1"/>
  <c r="G1625" i="4"/>
  <c r="E157" i="3" s="1"/>
  <c r="G2779" i="4"/>
  <c r="F2791" i="4"/>
  <c r="C2108" i="4"/>
  <c r="C2118" i="4" s="1"/>
  <c r="C2128" i="4" s="1"/>
  <c r="C2138" i="4" s="1"/>
  <c r="C2148" i="4" s="1"/>
  <c r="C2158" i="4" s="1"/>
  <c r="C2169" i="4" s="1"/>
  <c r="C2179" i="4" s="1"/>
  <c r="C2189" i="4" s="1"/>
  <c r="C2200" i="4" s="1"/>
  <c r="C2210" i="4" s="1"/>
  <c r="C2220" i="4" s="1"/>
  <c r="C2230" i="4" s="1"/>
  <c r="C2241" i="4" s="1"/>
  <c r="C2272" i="4" s="1"/>
  <c r="C2722" i="4"/>
  <c r="C2733" i="4" s="1"/>
  <c r="C2745" i="4" s="1"/>
  <c r="C2768" i="4" s="1"/>
  <c r="C2780" i="4" s="1"/>
  <c r="C2792" i="4" s="1"/>
  <c r="C2804" i="4" s="1"/>
  <c r="G141" i="4"/>
  <c r="G142" i="4" s="1"/>
  <c r="H136" i="4" s="1"/>
  <c r="F27" i="3" s="1"/>
  <c r="G136" i="4"/>
  <c r="E27" i="3" s="1"/>
  <c r="G2480" i="4"/>
  <c r="F2490" i="4"/>
  <c r="G185" i="4"/>
  <c r="G186" i="4" s="1"/>
  <c r="H180" i="4" s="1"/>
  <c r="F32" i="3" s="1"/>
  <c r="G180" i="4"/>
  <c r="E32" i="3" s="1"/>
  <c r="F1651" i="4"/>
  <c r="G1639" i="4"/>
  <c r="G1643" i="4" s="1"/>
  <c r="F1384" i="4"/>
  <c r="G1370" i="4"/>
  <c r="G1340" i="4"/>
  <c r="E134" i="3" s="1"/>
  <c r="G1348" i="4"/>
  <c r="G1349" i="4" s="1"/>
  <c r="H1340" i="4" s="1"/>
  <c r="F134" i="3" s="1"/>
  <c r="G274" i="4"/>
  <c r="G452" i="4"/>
  <c r="F463" i="4"/>
  <c r="G463" i="4" s="1"/>
  <c r="G857" i="4"/>
  <c r="G858" i="4" s="1"/>
  <c r="H850" i="4" s="1"/>
  <c r="G850" i="4"/>
  <c r="F915" i="4"/>
  <c r="G903" i="4"/>
  <c r="G231" i="4"/>
  <c r="G236" i="4" s="1"/>
  <c r="F245" i="4"/>
  <c r="F2321" i="4"/>
  <c r="G2310" i="4"/>
  <c r="G344" i="4"/>
  <c r="F357" i="4"/>
  <c r="F751" i="4"/>
  <c r="G729" i="4"/>
  <c r="F752" i="4"/>
  <c r="F1413" i="4"/>
  <c r="G1385" i="4"/>
  <c r="G1231" i="4"/>
  <c r="F1243" i="4"/>
  <c r="G1243" i="4" s="1"/>
  <c r="F621" i="4"/>
  <c r="G604" i="4"/>
  <c r="G948" i="4"/>
  <c r="F960" i="4"/>
  <c r="G960" i="4" s="1"/>
  <c r="F371" i="4" l="1"/>
  <c r="G358" i="4"/>
  <c r="G127" i="4"/>
  <c r="E26" i="3" s="1"/>
  <c r="G133" i="4"/>
  <c r="G134" i="4" s="1"/>
  <c r="H127" i="4" s="1"/>
  <c r="F26" i="3" s="1"/>
  <c r="J107" i="4"/>
  <c r="G108" i="4"/>
  <c r="F1761" i="4"/>
  <c r="G1749" i="4"/>
  <c r="G3303" i="4"/>
  <c r="F3313" i="4"/>
  <c r="F407" i="4"/>
  <c r="G394" i="4"/>
  <c r="F1730" i="4"/>
  <c r="G1714" i="4"/>
  <c r="F247" i="4"/>
  <c r="G233" i="4"/>
  <c r="G237" i="4" s="1"/>
  <c r="G1987" i="4"/>
  <c r="F2011" i="4"/>
  <c r="F1999" i="4"/>
  <c r="G1999" i="4" s="1"/>
  <c r="F826" i="4"/>
  <c r="G808" i="4"/>
  <c r="G2780" i="4"/>
  <c r="F2792" i="4"/>
  <c r="G2733" i="4"/>
  <c r="F2745" i="4"/>
  <c r="G2745" i="4" s="1"/>
  <c r="G503" i="4"/>
  <c r="F524" i="4"/>
  <c r="F1974" i="4"/>
  <c r="G1974" i="4" s="1"/>
  <c r="G1976" i="4" s="1"/>
  <c r="G1975" i="4"/>
  <c r="G245" i="4"/>
  <c r="G250" i="4" s="1"/>
  <c r="F259" i="4"/>
  <c r="F2803" i="4"/>
  <c r="G2803" i="4" s="1"/>
  <c r="G2791" i="4"/>
  <c r="D315" i="4"/>
  <c r="G301" i="4"/>
  <c r="G937" i="4"/>
  <c r="F949" i="4"/>
  <c r="F731" i="4"/>
  <c r="G709" i="4"/>
  <c r="G752" i="4"/>
  <c r="F774" i="4"/>
  <c r="F1663" i="4"/>
  <c r="G1663" i="4" s="1"/>
  <c r="G1651" i="4"/>
  <c r="G2490" i="4"/>
  <c r="F2501" i="4"/>
  <c r="G542" i="4"/>
  <c r="F555" i="4"/>
  <c r="G1571" i="4"/>
  <c r="F1588" i="4"/>
  <c r="G409" i="4"/>
  <c r="F422" i="4"/>
  <c r="F285" i="4"/>
  <c r="G272" i="4"/>
  <c r="G3294" i="4"/>
  <c r="G3296" i="4" s="1"/>
  <c r="F3304" i="4"/>
  <c r="F1092" i="4"/>
  <c r="G1080" i="4"/>
  <c r="F317" i="4"/>
  <c r="G303" i="4"/>
  <c r="F568" i="4"/>
  <c r="G554" i="4"/>
  <c r="F1787" i="4"/>
  <c r="G1775" i="4"/>
  <c r="F2031" i="4"/>
  <c r="G2020" i="4"/>
  <c r="G224" i="4"/>
  <c r="G225" i="4" s="1"/>
  <c r="H213" i="4" s="1"/>
  <c r="F37" i="3" s="1"/>
  <c r="G213" i="4"/>
  <c r="E37" i="3" s="1"/>
  <c r="G641" i="4"/>
  <c r="F660" i="4"/>
  <c r="G567" i="4"/>
  <c r="F581" i="4"/>
  <c r="G1655" i="4"/>
  <c r="G1830" i="4"/>
  <c r="F1869" i="4"/>
  <c r="G1869" i="4" s="1"/>
  <c r="G1758" i="4"/>
  <c r="F1771" i="4"/>
  <c r="F263" i="4"/>
  <c r="G249" i="4"/>
  <c r="G1703" i="4"/>
  <c r="F1719" i="4"/>
  <c r="G1719" i="4" s="1"/>
  <c r="G3287" i="4"/>
  <c r="G3288" i="4" s="1"/>
  <c r="H3281" i="4" s="1"/>
  <c r="F340" i="3" s="1"/>
  <c r="G3281" i="4"/>
  <c r="E340" i="3" s="1"/>
  <c r="F1682" i="4"/>
  <c r="G1665" i="4"/>
  <c r="G537" i="4"/>
  <c r="F551" i="4"/>
  <c r="G1636" i="4"/>
  <c r="E158" i="3" s="1"/>
  <c r="G1644" i="4"/>
  <c r="G1645" i="4" s="1"/>
  <c r="H1636" i="4" s="1"/>
  <c r="F158" i="3" s="1"/>
  <c r="G357" i="4"/>
  <c r="F370" i="4"/>
  <c r="G370" i="4" s="1"/>
  <c r="G536" i="4"/>
  <c r="F550" i="4"/>
  <c r="G1364" i="4"/>
  <c r="G1365" i="4" s="1"/>
  <c r="H1352" i="4" s="1"/>
  <c r="F135" i="3" s="1"/>
  <c r="G1352" i="4"/>
  <c r="E135" i="3" s="1"/>
  <c r="F640" i="4"/>
  <c r="G622" i="4"/>
  <c r="F639" i="4"/>
  <c r="G621" i="4"/>
  <c r="G1413" i="4"/>
  <c r="F1427" i="4"/>
  <c r="G751" i="4"/>
  <c r="F773" i="4"/>
  <c r="G773" i="4" s="1"/>
  <c r="F2331" i="4"/>
  <c r="G2321" i="4"/>
  <c r="F926" i="4"/>
  <c r="G915" i="4"/>
  <c r="G1384" i="4"/>
  <c r="F1398" i="4"/>
  <c r="F1698" i="4"/>
  <c r="G1681" i="4"/>
  <c r="G1369" i="4"/>
  <c r="G1377" i="4" s="1"/>
  <c r="F1383" i="4"/>
  <c r="G1688" i="4"/>
  <c r="F1705" i="4"/>
  <c r="G1705" i="4" s="1"/>
  <c r="F271" i="4"/>
  <c r="G257" i="4"/>
  <c r="G1673" i="4"/>
  <c r="G103" i="4" l="1"/>
  <c r="E23" i="3" s="1"/>
  <c r="G109" i="4"/>
  <c r="G110" i="4" s="1"/>
  <c r="H103" i="4" s="1"/>
  <c r="F23" i="3" s="1"/>
  <c r="F385" i="4"/>
  <c r="G371" i="4"/>
  <c r="G238" i="4"/>
  <c r="G239" i="4" s="1"/>
  <c r="H227" i="4" s="1"/>
  <c r="F38" i="3" s="1"/>
  <c r="G227" i="4"/>
  <c r="E38" i="3" s="1"/>
  <c r="G1968" i="4"/>
  <c r="E185" i="3" s="1"/>
  <c r="G1977" i="4"/>
  <c r="G1978" i="4" s="1"/>
  <c r="H1968" i="4" s="1"/>
  <c r="F185" i="3" s="1"/>
  <c r="F843" i="4"/>
  <c r="G826" i="4"/>
  <c r="F538" i="4"/>
  <c r="G524" i="4"/>
  <c r="G2792" i="4"/>
  <c r="F2804" i="4"/>
  <c r="G2804" i="4" s="1"/>
  <c r="F261" i="4"/>
  <c r="G247" i="4"/>
  <c r="G251" i="4" s="1"/>
  <c r="G252" i="4" s="1"/>
  <c r="G253" i="4" s="1"/>
  <c r="H241" i="4" s="1"/>
  <c r="F39" i="3" s="1"/>
  <c r="G1730" i="4"/>
  <c r="F1747" i="4"/>
  <c r="F1731" i="4"/>
  <c r="G1731" i="4" s="1"/>
  <c r="G2011" i="4"/>
  <c r="F2021" i="4"/>
  <c r="G407" i="4"/>
  <c r="F420" i="4"/>
  <c r="G1761" i="4"/>
  <c r="F1774" i="4"/>
  <c r="F3324" i="4"/>
  <c r="G3313" i="4"/>
  <c r="G1771" i="4"/>
  <c r="F1783" i="4"/>
  <c r="G1657" i="4"/>
  <c r="H1648" i="4" s="1"/>
  <c r="F159" i="3" s="1"/>
  <c r="G1656" i="4"/>
  <c r="G1648" i="4"/>
  <c r="E159" i="3" s="1"/>
  <c r="F2512" i="4"/>
  <c r="G2512" i="4" s="1"/>
  <c r="G2501" i="4"/>
  <c r="G774" i="4"/>
  <c r="F788" i="4"/>
  <c r="F1397" i="4"/>
  <c r="G1383" i="4"/>
  <c r="G1391" i="4" s="1"/>
  <c r="F1412" i="4"/>
  <c r="G1398" i="4"/>
  <c r="F599" i="4"/>
  <c r="G581" i="4"/>
  <c r="G1787" i="4"/>
  <c r="F1798" i="4"/>
  <c r="G317" i="4"/>
  <c r="F331" i="4"/>
  <c r="G331" i="4" s="1"/>
  <c r="G3291" i="4"/>
  <c r="E341" i="3" s="1"/>
  <c r="G3297" i="4"/>
  <c r="G3298" i="4"/>
  <c r="H3291" i="4" s="1"/>
  <c r="F341" i="3" s="1"/>
  <c r="F299" i="4"/>
  <c r="G285" i="4"/>
  <c r="G949" i="4"/>
  <c r="F961" i="4"/>
  <c r="F273" i="4"/>
  <c r="G259" i="4"/>
  <c r="G264" i="4" s="1"/>
  <c r="G551" i="4"/>
  <c r="F565" i="4"/>
  <c r="G1682" i="4"/>
  <c r="F1699" i="4"/>
  <c r="F3314" i="4"/>
  <c r="G3304" i="4"/>
  <c r="G3306" i="4" s="1"/>
  <c r="G1588" i="4"/>
  <c r="F1605" i="4"/>
  <c r="G1605" i="4" s="1"/>
  <c r="G271" i="4"/>
  <c r="F284" i="4"/>
  <c r="G1427" i="4"/>
  <c r="F1441" i="4"/>
  <c r="G1367" i="4"/>
  <c r="E136" i="3" s="1"/>
  <c r="G1378" i="4"/>
  <c r="G1379" i="4" s="1"/>
  <c r="H1367" i="4" s="1"/>
  <c r="F136" i="3" s="1"/>
  <c r="F2341" i="4"/>
  <c r="G2341" i="4" s="1"/>
  <c r="G2331" i="4"/>
  <c r="G640" i="4"/>
  <c r="F659" i="4"/>
  <c r="F564" i="4"/>
  <c r="G550" i="4"/>
  <c r="G241" i="4"/>
  <c r="E39" i="3" s="1"/>
  <c r="G422" i="4"/>
  <c r="F442" i="4"/>
  <c r="G555" i="4"/>
  <c r="F569" i="4"/>
  <c r="G731" i="4"/>
  <c r="F753" i="4"/>
  <c r="D329" i="4"/>
  <c r="G315" i="4"/>
  <c r="F1716" i="4"/>
  <c r="G1716" i="4" s="1"/>
  <c r="G1698" i="4"/>
  <c r="F936" i="4"/>
  <c r="G926" i="4"/>
  <c r="F658" i="4"/>
  <c r="G639" i="4"/>
  <c r="G1660" i="4"/>
  <c r="E160" i="3" s="1"/>
  <c r="G1674" i="4"/>
  <c r="G1675" i="4" s="1"/>
  <c r="H1660" i="4" s="1"/>
  <c r="F160" i="3" s="1"/>
  <c r="G1689" i="4"/>
  <c r="F277" i="4"/>
  <c r="G263" i="4"/>
  <c r="F794" i="4"/>
  <c r="G660" i="4"/>
  <c r="F2042" i="4"/>
  <c r="G2031" i="4"/>
  <c r="F582" i="4"/>
  <c r="G568" i="4"/>
  <c r="G1092" i="4"/>
  <c r="F1151" i="4"/>
  <c r="G385" i="4" l="1"/>
  <c r="F398" i="4"/>
  <c r="F275" i="4"/>
  <c r="G261" i="4"/>
  <c r="F552" i="4"/>
  <c r="G538" i="4"/>
  <c r="G1774" i="4"/>
  <c r="F1786" i="4"/>
  <c r="G1786" i="4" s="1"/>
  <c r="F2032" i="4"/>
  <c r="G2021" i="4"/>
  <c r="G1747" i="4"/>
  <c r="G1752" i="4" s="1"/>
  <c r="F1759" i="4"/>
  <c r="G1739" i="4"/>
  <c r="F870" i="4"/>
  <c r="G870" i="4" s="1"/>
  <c r="G843" i="4"/>
  <c r="F3334" i="4"/>
  <c r="G3324" i="4"/>
  <c r="F431" i="4"/>
  <c r="G431" i="4" s="1"/>
  <c r="G420" i="4"/>
  <c r="D343" i="4"/>
  <c r="G329" i="4"/>
  <c r="F290" i="4"/>
  <c r="G277" i="4"/>
  <c r="G753" i="4"/>
  <c r="F775" i="4"/>
  <c r="F3325" i="4"/>
  <c r="G3314" i="4"/>
  <c r="G3316" i="4" s="1"/>
  <c r="F1809" i="4"/>
  <c r="G1798" i="4"/>
  <c r="G1397" i="4"/>
  <c r="G1405" i="4" s="1"/>
  <c r="F1411" i="4"/>
  <c r="G1783" i="4"/>
  <c r="F1795" i="4"/>
  <c r="F1177" i="4"/>
  <c r="G1151" i="4"/>
  <c r="G936" i="4"/>
  <c r="F947" i="4"/>
  <c r="G3307" i="4"/>
  <c r="G3308" i="4" s="1"/>
  <c r="H3301" i="4" s="1"/>
  <c r="F342" i="3" s="1"/>
  <c r="G3301" i="4"/>
  <c r="E342" i="3" s="1"/>
  <c r="G565" i="4"/>
  <c r="F579" i="4"/>
  <c r="F990" i="4"/>
  <c r="G990" i="4" s="1"/>
  <c r="G961" i="4"/>
  <c r="G1381" i="4"/>
  <c r="E137" i="3" s="1"/>
  <c r="G1392" i="4"/>
  <c r="G1393" i="4" s="1"/>
  <c r="H1381" i="4" s="1"/>
  <c r="F137" i="3" s="1"/>
  <c r="F792" i="4"/>
  <c r="G658" i="4"/>
  <c r="G564" i="4"/>
  <c r="F578" i="4"/>
  <c r="F1472" i="4"/>
  <c r="G1472" i="4" s="1"/>
  <c r="G1441" i="4"/>
  <c r="F1717" i="4"/>
  <c r="G1717" i="4" s="1"/>
  <c r="G1722" i="4" s="1"/>
  <c r="G1699" i="4"/>
  <c r="G1706" i="4" s="1"/>
  <c r="G599" i="4"/>
  <c r="F616" i="4"/>
  <c r="G788" i="4"/>
  <c r="F805" i="4"/>
  <c r="G284" i="4"/>
  <c r="F298" i="4"/>
  <c r="F2052" i="4"/>
  <c r="G2042" i="4"/>
  <c r="F600" i="4"/>
  <c r="G582" i="4"/>
  <c r="F811" i="4"/>
  <c r="G794" i="4"/>
  <c r="G1677" i="4"/>
  <c r="E161" i="3" s="1"/>
  <c r="G1690" i="4"/>
  <c r="G1691" i="4" s="1"/>
  <c r="H1677" i="4" s="1"/>
  <c r="F161" i="3" s="1"/>
  <c r="G569" i="4"/>
  <c r="F583" i="4"/>
  <c r="F451" i="4"/>
  <c r="G442" i="4"/>
  <c r="G659" i="4"/>
  <c r="F793" i="4"/>
  <c r="G273" i="4"/>
  <c r="G278" i="4" s="1"/>
  <c r="F286" i="4"/>
  <c r="G299" i="4"/>
  <c r="F313" i="4"/>
  <c r="F1426" i="4"/>
  <c r="G1412" i="4"/>
  <c r="G265" i="4"/>
  <c r="G398" i="4" l="1"/>
  <c r="F411" i="4"/>
  <c r="G1740" i="4"/>
  <c r="G1741" i="4"/>
  <c r="H1727" i="4" s="1"/>
  <c r="F164" i="3" s="1"/>
  <c r="G1727" i="4"/>
  <c r="E164" i="3" s="1"/>
  <c r="F2043" i="4"/>
  <c r="G2032" i="4"/>
  <c r="G552" i="4"/>
  <c r="F566" i="4"/>
  <c r="G3334" i="4"/>
  <c r="F3342" i="4"/>
  <c r="G1759" i="4"/>
  <c r="G1764" i="4" s="1"/>
  <c r="F1772" i="4"/>
  <c r="G1744" i="4"/>
  <c r="E165" i="3" s="1"/>
  <c r="G1753" i="4"/>
  <c r="G1754" i="4" s="1"/>
  <c r="H1744" i="4" s="1"/>
  <c r="F165" i="3" s="1"/>
  <c r="F288" i="4"/>
  <c r="G275" i="4"/>
  <c r="G279" i="4" s="1"/>
  <c r="G3311" i="4"/>
  <c r="E343" i="3" s="1"/>
  <c r="G3317" i="4"/>
  <c r="G3318" i="4" s="1"/>
  <c r="H3311" i="4" s="1"/>
  <c r="F343" i="3" s="1"/>
  <c r="F601" i="4"/>
  <c r="G583" i="4"/>
  <c r="G1711" i="4"/>
  <c r="E163" i="3" s="1"/>
  <c r="G1723" i="4"/>
  <c r="G1724" i="4" s="1"/>
  <c r="H1711" i="4" s="1"/>
  <c r="F163" i="3" s="1"/>
  <c r="F1190" i="4"/>
  <c r="G1190" i="4" s="1"/>
  <c r="G1177" i="4"/>
  <c r="F3335" i="4"/>
  <c r="G3325" i="4"/>
  <c r="G3327" i="4" s="1"/>
  <c r="G947" i="4"/>
  <c r="F959" i="4"/>
  <c r="F1806" i="4"/>
  <c r="G1795" i="4"/>
  <c r="G775" i="4"/>
  <c r="F789" i="4"/>
  <c r="G290" i="4"/>
  <c r="F304" i="4"/>
  <c r="D356" i="4"/>
  <c r="G343" i="4"/>
  <c r="F462" i="4"/>
  <c r="G462" i="4" s="1"/>
  <c r="G451" i="4"/>
  <c r="F312" i="4"/>
  <c r="G298" i="4"/>
  <c r="G1411" i="4"/>
  <c r="G1419" i="4" s="1"/>
  <c r="F1425" i="4"/>
  <c r="G266" i="4"/>
  <c r="G255" i="4"/>
  <c r="E40" i="3" s="1"/>
  <c r="G267" i="4"/>
  <c r="H255" i="4" s="1"/>
  <c r="F40" i="3" s="1"/>
  <c r="F327" i="4"/>
  <c r="G313" i="4"/>
  <c r="F810" i="4"/>
  <c r="G793" i="4"/>
  <c r="F617" i="4"/>
  <c r="G600" i="4"/>
  <c r="F634" i="4"/>
  <c r="G616" i="4"/>
  <c r="F597" i="4"/>
  <c r="G579" i="4"/>
  <c r="G1395" i="4"/>
  <c r="E138" i="3" s="1"/>
  <c r="G1406" i="4"/>
  <c r="G1407" i="4"/>
  <c r="H1395" i="4" s="1"/>
  <c r="F138" i="3" s="1"/>
  <c r="F1440" i="4"/>
  <c r="G1426" i="4"/>
  <c r="F300" i="4"/>
  <c r="G286" i="4"/>
  <c r="G291" i="4" s="1"/>
  <c r="F829" i="4"/>
  <c r="G811" i="4"/>
  <c r="G2052" i="4"/>
  <c r="F2062" i="4"/>
  <c r="F822" i="4"/>
  <c r="F823" i="4"/>
  <c r="G805" i="4"/>
  <c r="F596" i="4"/>
  <c r="G578" i="4"/>
  <c r="F809" i="4"/>
  <c r="G792" i="4"/>
  <c r="F1820" i="4"/>
  <c r="G1809" i="4"/>
  <c r="G1694" i="4"/>
  <c r="E162" i="3" s="1"/>
  <c r="G1707" i="4"/>
  <c r="G1708" i="4" s="1"/>
  <c r="H1694" i="4" s="1"/>
  <c r="F162" i="3" s="1"/>
  <c r="F423" i="4" l="1"/>
  <c r="G411" i="4"/>
  <c r="F302" i="4"/>
  <c r="G288" i="4"/>
  <c r="F1784" i="4"/>
  <c r="G1772" i="4"/>
  <c r="G1776" i="4" s="1"/>
  <c r="G566" i="4"/>
  <c r="F580" i="4"/>
  <c r="G1766" i="4"/>
  <c r="H1756" i="4" s="1"/>
  <c r="F166" i="3" s="1"/>
  <c r="G1765" i="4"/>
  <c r="G1756" i="4"/>
  <c r="E166" i="3" s="1"/>
  <c r="G2043" i="4"/>
  <c r="F2053" i="4"/>
  <c r="G3342" i="4"/>
  <c r="F3351" i="4"/>
  <c r="G596" i="4"/>
  <c r="F613" i="4"/>
  <c r="F2097" i="4"/>
  <c r="G2062" i="4"/>
  <c r="G1820" i="4"/>
  <c r="F1831" i="4"/>
  <c r="G1806" i="4"/>
  <c r="F1817" i="4"/>
  <c r="F326" i="4"/>
  <c r="G312" i="4"/>
  <c r="D369" i="4"/>
  <c r="G369" i="4" s="1"/>
  <c r="G356" i="4"/>
  <c r="G959" i="4"/>
  <c r="F988" i="4"/>
  <c r="G3328" i="4"/>
  <c r="G3329" i="4" s="1"/>
  <c r="H3322" i="4" s="1"/>
  <c r="F344" i="3" s="1"/>
  <c r="G3322" i="4"/>
  <c r="E344" i="3" s="1"/>
  <c r="F314" i="4"/>
  <c r="G300" i="4"/>
  <c r="G305" i="4" s="1"/>
  <c r="G292" i="4"/>
  <c r="G810" i="4"/>
  <c r="F828" i="4"/>
  <c r="F806" i="4"/>
  <c r="G789" i="4"/>
  <c r="G809" i="4"/>
  <c r="F827" i="4"/>
  <c r="F840" i="4"/>
  <c r="G840" i="4" s="1"/>
  <c r="G823" i="4"/>
  <c r="G822" i="4"/>
  <c r="F839" i="4"/>
  <c r="G829" i="4"/>
  <c r="F846" i="4"/>
  <c r="F1471" i="4"/>
  <c r="G1440" i="4"/>
  <c r="F635" i="4"/>
  <c r="G635" i="4" s="1"/>
  <c r="G617" i="4"/>
  <c r="G327" i="4"/>
  <c r="F341" i="4"/>
  <c r="F1439" i="4"/>
  <c r="G1425" i="4"/>
  <c r="G1433" i="4" s="1"/>
  <c r="G304" i="4"/>
  <c r="F318" i="4"/>
  <c r="G280" i="4"/>
  <c r="G281" i="4" s="1"/>
  <c r="H269" i="4" s="1"/>
  <c r="F41" i="3" s="1"/>
  <c r="G269" i="4"/>
  <c r="E41" i="3" s="1"/>
  <c r="F3343" i="4"/>
  <c r="G3335" i="4"/>
  <c r="G3337" i="4" s="1"/>
  <c r="G597" i="4"/>
  <c r="F614" i="4"/>
  <c r="F652" i="4"/>
  <c r="G652" i="4" s="1"/>
  <c r="G634" i="4"/>
  <c r="G1420" i="4"/>
  <c r="G1421" i="4"/>
  <c r="H1409" i="4" s="1"/>
  <c r="F139" i="3" s="1"/>
  <c r="G1409" i="4"/>
  <c r="E139" i="3" s="1"/>
  <c r="G601" i="4"/>
  <c r="F618" i="4"/>
  <c r="F434" i="4" l="1"/>
  <c r="G423" i="4"/>
  <c r="F2063" i="4"/>
  <c r="G2053" i="4"/>
  <c r="G1784" i="4"/>
  <c r="G1788" i="4" s="1"/>
  <c r="F1796" i="4"/>
  <c r="G580" i="4"/>
  <c r="F598" i="4"/>
  <c r="G1769" i="4"/>
  <c r="E167" i="3" s="1"/>
  <c r="G1777" i="4"/>
  <c r="G1778" i="4" s="1"/>
  <c r="H1769" i="4" s="1"/>
  <c r="F167" i="3" s="1"/>
  <c r="G3351" i="4"/>
  <c r="F3360" i="4"/>
  <c r="G302" i="4"/>
  <c r="G306" i="4" s="1"/>
  <c r="F316" i="4"/>
  <c r="F340" i="4"/>
  <c r="G326" i="4"/>
  <c r="F2107" i="4"/>
  <c r="G2097" i="4"/>
  <c r="G614" i="4"/>
  <c r="F632" i="4"/>
  <c r="G318" i="4"/>
  <c r="F332" i="4"/>
  <c r="G332" i="4" s="1"/>
  <c r="F354" i="4"/>
  <c r="G341" i="4"/>
  <c r="G1817" i="4"/>
  <c r="F1828" i="4"/>
  <c r="G1471" i="4"/>
  <c r="F1486" i="4"/>
  <c r="F636" i="4"/>
  <c r="G618" i="4"/>
  <c r="G1434" i="4"/>
  <c r="G1435" i="4" s="1"/>
  <c r="H1423" i="4" s="1"/>
  <c r="F140" i="3" s="1"/>
  <c r="G1423" i="4"/>
  <c r="E140" i="3" s="1"/>
  <c r="G846" i="4"/>
  <c r="F873" i="4"/>
  <c r="G873" i="4" s="1"/>
  <c r="F845" i="4"/>
  <c r="G828" i="4"/>
  <c r="F328" i="4"/>
  <c r="G314" i="4"/>
  <c r="G319" i="4" s="1"/>
  <c r="G1831" i="4"/>
  <c r="F1841" i="4"/>
  <c r="G613" i="4"/>
  <c r="F631" i="4"/>
  <c r="F3352" i="4"/>
  <c r="G3343" i="4"/>
  <c r="G3345" i="4" s="1"/>
  <c r="F865" i="4"/>
  <c r="G865" i="4" s="1"/>
  <c r="G839" i="4"/>
  <c r="G806" i="4"/>
  <c r="F824" i="4"/>
  <c r="G293" i="4"/>
  <c r="G294" i="4" s="1"/>
  <c r="H282" i="4" s="1"/>
  <c r="F42" i="3" s="1"/>
  <c r="G282" i="4"/>
  <c r="E42" i="3" s="1"/>
  <c r="F1005" i="4"/>
  <c r="G988" i="4"/>
  <c r="G3332" i="4"/>
  <c r="E345" i="3" s="1"/>
  <c r="G3338" i="4"/>
  <c r="G3339" i="4" s="1"/>
  <c r="H3332" i="4" s="1"/>
  <c r="F345" i="3" s="1"/>
  <c r="G1439" i="4"/>
  <c r="G1448" i="4" s="1"/>
  <c r="F1470" i="4"/>
  <c r="G827" i="4"/>
  <c r="F844" i="4"/>
  <c r="F454" i="4" l="1"/>
  <c r="G434" i="4"/>
  <c r="G296" i="4"/>
  <c r="E43" i="3" s="1"/>
  <c r="G307" i="4"/>
  <c r="G308" i="4" s="1"/>
  <c r="H296" i="4" s="1"/>
  <c r="F43" i="3" s="1"/>
  <c r="G1796" i="4"/>
  <c r="G1799" i="4" s="1"/>
  <c r="F1807" i="4"/>
  <c r="G1781" i="4"/>
  <c r="E168" i="3" s="1"/>
  <c r="G1789" i="4"/>
  <c r="G1790" i="4" s="1"/>
  <c r="H1781" i="4" s="1"/>
  <c r="F168" i="3" s="1"/>
  <c r="G316" i="4"/>
  <c r="F330" i="4"/>
  <c r="G330" i="4" s="1"/>
  <c r="F615" i="4"/>
  <c r="G598" i="4"/>
  <c r="F3369" i="4"/>
  <c r="G3360" i="4"/>
  <c r="G2063" i="4"/>
  <c r="F2098" i="4"/>
  <c r="F342" i="4"/>
  <c r="G328" i="4"/>
  <c r="G333" i="4" s="1"/>
  <c r="F653" i="4"/>
  <c r="G653" i="4" s="1"/>
  <c r="G636" i="4"/>
  <c r="F650" i="4"/>
  <c r="G632" i="4"/>
  <c r="G844" i="4"/>
  <c r="F871" i="4"/>
  <c r="G871" i="4" s="1"/>
  <c r="G3340" i="4"/>
  <c r="E346" i="3" s="1"/>
  <c r="G3346" i="4"/>
  <c r="G3347" i="4" s="1"/>
  <c r="H3340" i="4" s="1"/>
  <c r="F346" i="3" s="1"/>
  <c r="F1852" i="4"/>
  <c r="G1841" i="4"/>
  <c r="F1838" i="4"/>
  <c r="G1828" i="4"/>
  <c r="F367" i="4"/>
  <c r="G354" i="4"/>
  <c r="G1437" i="4"/>
  <c r="E141" i="3" s="1"/>
  <c r="G1449" i="4"/>
  <c r="G1450" i="4" s="1"/>
  <c r="H1437" i="4" s="1"/>
  <c r="F141" i="3" s="1"/>
  <c r="G3352" i="4"/>
  <c r="G3354" i="4" s="1"/>
  <c r="F3361" i="4"/>
  <c r="G845" i="4"/>
  <c r="F872" i="4"/>
  <c r="G872" i="4" s="1"/>
  <c r="G2107" i="4"/>
  <c r="F2117" i="4"/>
  <c r="G334" i="4"/>
  <c r="F1485" i="4"/>
  <c r="G1470" i="4"/>
  <c r="G1479" i="4" s="1"/>
  <c r="F1015" i="4"/>
  <c r="G1005" i="4"/>
  <c r="F1006" i="4"/>
  <c r="F841" i="4"/>
  <c r="G824" i="4"/>
  <c r="F649" i="4"/>
  <c r="G631" i="4"/>
  <c r="F1498" i="4"/>
  <c r="G1486" i="4"/>
  <c r="G320" i="4"/>
  <c r="F353" i="4"/>
  <c r="G340" i="4"/>
  <c r="F493" i="4" l="1"/>
  <c r="G454" i="4"/>
  <c r="F2108" i="4"/>
  <c r="G2098" i="4"/>
  <c r="G1793" i="4"/>
  <c r="E169" i="3" s="1"/>
  <c r="G1800" i="4"/>
  <c r="G1801" i="4" s="1"/>
  <c r="F633" i="4"/>
  <c r="G615" i="4"/>
  <c r="F3377" i="4"/>
  <c r="G3369" i="4"/>
  <c r="F1818" i="4"/>
  <c r="G1807" i="4"/>
  <c r="G1810" i="4" s="1"/>
  <c r="G1498" i="4"/>
  <c r="F1509" i="4"/>
  <c r="F866" i="4"/>
  <c r="G866" i="4" s="1"/>
  <c r="G841" i="4"/>
  <c r="F1848" i="4"/>
  <c r="G1838" i="4"/>
  <c r="F1861" i="4"/>
  <c r="G1852" i="4"/>
  <c r="G321" i="4"/>
  <c r="G322" i="4" s="1"/>
  <c r="H310" i="4" s="1"/>
  <c r="F44" i="3" s="1"/>
  <c r="G310" i="4"/>
  <c r="E44" i="3" s="1"/>
  <c r="F668" i="4"/>
  <c r="G649" i="4"/>
  <c r="G3355" i="4"/>
  <c r="G3356" i="4" s="1"/>
  <c r="H3349" i="4" s="1"/>
  <c r="F347" i="3" s="1"/>
  <c r="G3349" i="4"/>
  <c r="E347" i="3" s="1"/>
  <c r="G1015" i="4"/>
  <c r="F1025" i="4"/>
  <c r="G1025" i="4" s="1"/>
  <c r="G335" i="4"/>
  <c r="G336" i="4" s="1"/>
  <c r="H324" i="4" s="1"/>
  <c r="F45" i="3" s="1"/>
  <c r="G324" i="4"/>
  <c r="E45" i="3" s="1"/>
  <c r="F669" i="4"/>
  <c r="G650" i="4"/>
  <c r="G1468" i="4"/>
  <c r="E143" i="3" s="1"/>
  <c r="G1480" i="4"/>
  <c r="G1481" i="4" s="1"/>
  <c r="H1468" i="4" s="1"/>
  <c r="F143" i="3" s="1"/>
  <c r="F2127" i="4"/>
  <c r="G2117" i="4"/>
  <c r="F366" i="4"/>
  <c r="G353" i="4"/>
  <c r="F1016" i="4"/>
  <c r="G1006" i="4"/>
  <c r="F1497" i="4"/>
  <c r="G1485" i="4"/>
  <c r="G1490" i="4" s="1"/>
  <c r="G3361" i="4"/>
  <c r="G3363" i="4" s="1"/>
  <c r="F3370" i="4"/>
  <c r="F355" i="4"/>
  <c r="G342" i="4"/>
  <c r="G346" i="4" s="1"/>
  <c r="F380" i="4"/>
  <c r="G367" i="4"/>
  <c r="G493" i="4" l="1"/>
  <c r="G494" i="4" s="1"/>
  <c r="F507" i="4"/>
  <c r="I1793" i="4"/>
  <c r="H1793" i="4"/>
  <c r="F169" i="3" s="1"/>
  <c r="F1829" i="4"/>
  <c r="G1818" i="4"/>
  <c r="G1821" i="4" s="1"/>
  <c r="G633" i="4"/>
  <c r="F651" i="4"/>
  <c r="G1804" i="4"/>
  <c r="E170" i="3" s="1"/>
  <c r="G1812" i="4"/>
  <c r="H1804" i="4" s="1"/>
  <c r="F170" i="3" s="1"/>
  <c r="G1811" i="4"/>
  <c r="F3386" i="4"/>
  <c r="G3377" i="4"/>
  <c r="F2118" i="4"/>
  <c r="G2108" i="4"/>
  <c r="G1491" i="4"/>
  <c r="G1492" i="4" s="1"/>
  <c r="H1483" i="4" s="1"/>
  <c r="F144" i="3" s="1"/>
  <c r="G1483" i="4"/>
  <c r="E144" i="3" s="1"/>
  <c r="G380" i="4"/>
  <c r="F393" i="4"/>
  <c r="F1508" i="4"/>
  <c r="G1497" i="4"/>
  <c r="G1502" i="4" s="1"/>
  <c r="G1861" i="4"/>
  <c r="F1912" i="4"/>
  <c r="G1912" i="4" s="1"/>
  <c r="G347" i="4"/>
  <c r="F681" i="4"/>
  <c r="G668" i="4"/>
  <c r="F3378" i="4"/>
  <c r="G3370" i="4"/>
  <c r="G3372" i="4" s="1"/>
  <c r="F379" i="4"/>
  <c r="G366" i="4"/>
  <c r="F2137" i="4"/>
  <c r="G2127" i="4"/>
  <c r="G355" i="4"/>
  <c r="G359" i="4" s="1"/>
  <c r="F368" i="4"/>
  <c r="G368" i="4" s="1"/>
  <c r="G372" i="4" s="1"/>
  <c r="G3358" i="4"/>
  <c r="E348" i="3" s="1"/>
  <c r="G3364" i="4"/>
  <c r="G3365" i="4"/>
  <c r="H3358" i="4" s="1"/>
  <c r="F348" i="3" s="1"/>
  <c r="G1016" i="4"/>
  <c r="F1026" i="4"/>
  <c r="G1026" i="4" s="1"/>
  <c r="F682" i="4"/>
  <c r="G669" i="4"/>
  <c r="F1860" i="4"/>
  <c r="G1848" i="4"/>
  <c r="G1509" i="4"/>
  <c r="F1520" i="4"/>
  <c r="F529" i="4" l="1"/>
  <c r="G507" i="4"/>
  <c r="G508" i="4" s="1"/>
  <c r="G495" i="4"/>
  <c r="G496" i="4" s="1"/>
  <c r="H485" i="4" s="1"/>
  <c r="F61" i="3" s="1"/>
  <c r="G485" i="4"/>
  <c r="E61" i="3" s="1"/>
  <c r="F2128" i="4"/>
  <c r="G2118" i="4"/>
  <c r="G1822" i="4"/>
  <c r="G1823" i="4"/>
  <c r="H1815" i="4" s="1"/>
  <c r="F171" i="3" s="1"/>
  <c r="G1815" i="4"/>
  <c r="E171" i="3" s="1"/>
  <c r="F1839" i="4"/>
  <c r="G1829" i="4"/>
  <c r="G1832" i="4" s="1"/>
  <c r="G373" i="4"/>
  <c r="G374" i="4" s="1"/>
  <c r="G375" i="4" s="1"/>
  <c r="H364" i="4" s="1"/>
  <c r="F48" i="3" s="1"/>
  <c r="G3386" i="4"/>
  <c r="F3395" i="4"/>
  <c r="G3395" i="4" s="1"/>
  <c r="F670" i="4"/>
  <c r="G651" i="4"/>
  <c r="G3373" i="4"/>
  <c r="G3374" i="4" s="1"/>
  <c r="H3367" i="4" s="1"/>
  <c r="F349" i="3" s="1"/>
  <c r="G3367" i="4"/>
  <c r="E349" i="3" s="1"/>
  <c r="G360" i="4"/>
  <c r="F703" i="4"/>
  <c r="G681" i="4"/>
  <c r="G1503" i="4"/>
  <c r="G1504" i="4" s="1"/>
  <c r="H1495" i="4" s="1"/>
  <c r="F145" i="3" s="1"/>
  <c r="G1495" i="4"/>
  <c r="E145" i="3" s="1"/>
  <c r="F704" i="4"/>
  <c r="G682" i="4"/>
  <c r="G2137" i="4"/>
  <c r="F2147" i="4"/>
  <c r="G3378" i="4"/>
  <c r="G3380" i="4" s="1"/>
  <c r="F3387" i="4"/>
  <c r="G348" i="4"/>
  <c r="G349" i="4" s="1"/>
  <c r="H338" i="4" s="1"/>
  <c r="F46" i="3" s="1"/>
  <c r="G338" i="4"/>
  <c r="E46" i="3" s="1"/>
  <c r="F1519" i="4"/>
  <c r="G1508" i="4"/>
  <c r="G1513" i="4" s="1"/>
  <c r="F1868" i="4"/>
  <c r="G1860" i="4"/>
  <c r="G1862" i="4" s="1"/>
  <c r="F406" i="4"/>
  <c r="G393" i="4"/>
  <c r="G1520" i="4"/>
  <c r="F1531" i="4"/>
  <c r="F392" i="4"/>
  <c r="G379" i="4"/>
  <c r="G386" i="4" s="1"/>
  <c r="G364" i="4" l="1"/>
  <c r="E48" i="3" s="1"/>
  <c r="G509" i="4"/>
  <c r="G510" i="4" s="1"/>
  <c r="H499" i="4" s="1"/>
  <c r="F62" i="3" s="1"/>
  <c r="G499" i="4"/>
  <c r="E62" i="3" s="1"/>
  <c r="F543" i="4"/>
  <c r="G529" i="4"/>
  <c r="G530" i="4" s="1"/>
  <c r="G670" i="4"/>
  <c r="F683" i="4"/>
  <c r="G1826" i="4"/>
  <c r="E172" i="3" s="1"/>
  <c r="G1833" i="4"/>
  <c r="G1834" i="4" s="1"/>
  <c r="H1826" i="4" s="1"/>
  <c r="F172" i="3" s="1"/>
  <c r="G1839" i="4"/>
  <c r="G1842" i="4" s="1"/>
  <c r="F1849" i="4"/>
  <c r="F2138" i="4"/>
  <c r="G2128" i="4"/>
  <c r="G3381" i="4"/>
  <c r="G3382" i="4" s="1"/>
  <c r="H3375" i="4" s="1"/>
  <c r="F350" i="3" s="1"/>
  <c r="G3375" i="4"/>
  <c r="E350" i="3" s="1"/>
  <c r="F1877" i="4"/>
  <c r="G1868" i="4"/>
  <c r="G1870" i="4" s="1"/>
  <c r="F2157" i="4"/>
  <c r="G2147" i="4"/>
  <c r="G361" i="4"/>
  <c r="G362" i="4" s="1"/>
  <c r="H351" i="4" s="1"/>
  <c r="F47" i="3" s="1"/>
  <c r="G351" i="4"/>
  <c r="E47" i="3" s="1"/>
  <c r="G387" i="4"/>
  <c r="G388" i="4" s="1"/>
  <c r="H377" i="4" s="1"/>
  <c r="F49" i="3" s="1"/>
  <c r="G377" i="4"/>
  <c r="E49" i="3" s="1"/>
  <c r="F405" i="4"/>
  <c r="G392" i="4"/>
  <c r="G399" i="4" s="1"/>
  <c r="F1543" i="4"/>
  <c r="G1531" i="4"/>
  <c r="F419" i="4"/>
  <c r="G406" i="4"/>
  <c r="G1506" i="4"/>
  <c r="E146" i="3" s="1"/>
  <c r="G1514" i="4"/>
  <c r="G1515" i="4" s="1"/>
  <c r="H1506" i="4" s="1"/>
  <c r="F146" i="3" s="1"/>
  <c r="F726" i="4"/>
  <c r="G704" i="4"/>
  <c r="G1519" i="4"/>
  <c r="G1524" i="4" s="1"/>
  <c r="F1530" i="4"/>
  <c r="G3387" i="4"/>
  <c r="G3389" i="4" s="1"/>
  <c r="F3396" i="4"/>
  <c r="G3396" i="4" s="1"/>
  <c r="G3398" i="4" s="1"/>
  <c r="G1863" i="4"/>
  <c r="G1864" i="4" s="1"/>
  <c r="H1858" i="4" s="1"/>
  <c r="F175" i="3" s="1"/>
  <c r="G1858" i="4"/>
  <c r="E175" i="3" s="1"/>
  <c r="G703" i="4"/>
  <c r="F725" i="4"/>
  <c r="G543" i="4" l="1"/>
  <c r="G544" i="4" s="1"/>
  <c r="F556" i="4"/>
  <c r="G531" i="4"/>
  <c r="G532" i="4" s="1"/>
  <c r="H520" i="4" s="1"/>
  <c r="F63" i="3" s="1"/>
  <c r="G520" i="4"/>
  <c r="E63" i="3" s="1"/>
  <c r="G2138" i="4"/>
  <c r="F2148" i="4"/>
  <c r="F1878" i="4"/>
  <c r="G1849" i="4"/>
  <c r="G1853" i="4" s="1"/>
  <c r="F705" i="4"/>
  <c r="G683" i="4"/>
  <c r="G1843" i="4"/>
  <c r="G1844" i="4" s="1"/>
  <c r="H1836" i="4" s="1"/>
  <c r="F173" i="3" s="1"/>
  <c r="G1836" i="4"/>
  <c r="E173" i="3" s="1"/>
  <c r="G726" i="4"/>
  <c r="F749" i="4"/>
  <c r="G1530" i="4"/>
  <c r="G1536" i="4" s="1"/>
  <c r="F1542" i="4"/>
  <c r="G419" i="4"/>
  <c r="F430" i="4"/>
  <c r="F418" i="4"/>
  <c r="G418" i="4" s="1"/>
  <c r="G405" i="4"/>
  <c r="G412" i="4" s="1"/>
  <c r="F429" i="4"/>
  <c r="F2168" i="4"/>
  <c r="G2157" i="4"/>
  <c r="G1866" i="4"/>
  <c r="E176" i="3" s="1"/>
  <c r="G1871" i="4"/>
  <c r="G1872" i="4" s="1"/>
  <c r="H1866" i="4" s="1"/>
  <c r="F176" i="3" s="1"/>
  <c r="G1543" i="4"/>
  <c r="F1556" i="4"/>
  <c r="F1887" i="4"/>
  <c r="G1877" i="4"/>
  <c r="G1517" i="4"/>
  <c r="E147" i="3" s="1"/>
  <c r="G1525" i="4"/>
  <c r="G1526" i="4" s="1"/>
  <c r="H1517" i="4" s="1"/>
  <c r="F147" i="3" s="1"/>
  <c r="G3399" i="4"/>
  <c r="G3400" i="4" s="1"/>
  <c r="H3393" i="4" s="1"/>
  <c r="F352" i="3" s="1"/>
  <c r="G3393" i="4"/>
  <c r="E352" i="3" s="1"/>
  <c r="F748" i="4"/>
  <c r="G725" i="4"/>
  <c r="G3384" i="4"/>
  <c r="E351" i="3" s="1"/>
  <c r="G3390" i="4"/>
  <c r="G3391" i="4" s="1"/>
  <c r="H3384" i="4" s="1"/>
  <c r="F351" i="3" s="1"/>
  <c r="G400" i="4"/>
  <c r="G401" i="4" s="1"/>
  <c r="H390" i="4" s="1"/>
  <c r="F50" i="3" s="1"/>
  <c r="G390" i="4"/>
  <c r="E50" i="3" s="1"/>
  <c r="F570" i="4" l="1"/>
  <c r="G556" i="4"/>
  <c r="G557" i="4" s="1"/>
  <c r="G545" i="4"/>
  <c r="G546" i="4" s="1"/>
  <c r="H534" i="4" s="1"/>
  <c r="F64" i="3" s="1"/>
  <c r="G534" i="4"/>
  <c r="E64" i="3" s="1"/>
  <c r="G1846" i="4"/>
  <c r="E174" i="3" s="1"/>
  <c r="G1854" i="4"/>
  <c r="G1855" i="4"/>
  <c r="H1846" i="4" s="1"/>
  <c r="F174" i="3" s="1"/>
  <c r="G1880" i="4"/>
  <c r="G1881" i="4" s="1"/>
  <c r="G1882" i="4" s="1"/>
  <c r="H1875" i="4" s="1"/>
  <c r="F177" i="3" s="1"/>
  <c r="G1878" i="4"/>
  <c r="F1888" i="4"/>
  <c r="G2148" i="4"/>
  <c r="F2158" i="4"/>
  <c r="F727" i="4"/>
  <c r="G705" i="4"/>
  <c r="G748" i="4"/>
  <c r="F770" i="4"/>
  <c r="G1887" i="4"/>
  <c r="F1898" i="4"/>
  <c r="G1528" i="4"/>
  <c r="G1537" i="4"/>
  <c r="G1538" i="4"/>
  <c r="H1528" i="4" s="1"/>
  <c r="G2168" i="4"/>
  <c r="F2178" i="4"/>
  <c r="F441" i="4"/>
  <c r="G430" i="4"/>
  <c r="G429" i="4"/>
  <c r="F440" i="4"/>
  <c r="F771" i="4"/>
  <c r="G749" i="4"/>
  <c r="G1556" i="4"/>
  <c r="F1565" i="4"/>
  <c r="G413" i="4"/>
  <c r="G414" i="4" s="1"/>
  <c r="H403" i="4" s="1"/>
  <c r="F52" i="3" s="1"/>
  <c r="G403" i="4"/>
  <c r="E52" i="3" s="1"/>
  <c r="F1555" i="4"/>
  <c r="G1542" i="4"/>
  <c r="G1548" i="4" s="1"/>
  <c r="G548" i="4" l="1"/>
  <c r="E65" i="3" s="1"/>
  <c r="G558" i="4"/>
  <c r="G559" i="4" s="1"/>
  <c r="H548" i="4" s="1"/>
  <c r="F65" i="3" s="1"/>
  <c r="F584" i="4"/>
  <c r="G570" i="4"/>
  <c r="G571" i="4" s="1"/>
  <c r="F2169" i="4"/>
  <c r="G2158" i="4"/>
  <c r="G1891" i="4"/>
  <c r="G1875" i="4"/>
  <c r="E177" i="3" s="1"/>
  <c r="F1899" i="4"/>
  <c r="G1888" i="4"/>
  <c r="G727" i="4"/>
  <c r="F750" i="4"/>
  <c r="F450" i="4"/>
  <c r="G441" i="4"/>
  <c r="F784" i="4"/>
  <c r="G770" i="4"/>
  <c r="G1565" i="4"/>
  <c r="F1582" i="4"/>
  <c r="G1549" i="4"/>
  <c r="G1550" i="4" s="1"/>
  <c r="H1540" i="4" s="1"/>
  <c r="F150" i="3" s="1"/>
  <c r="G1540" i="4"/>
  <c r="E150" i="3" s="1"/>
  <c r="G435" i="4"/>
  <c r="G2178" i="4"/>
  <c r="F2188" i="4"/>
  <c r="E149" i="3"/>
  <c r="E148" i="3"/>
  <c r="G771" i="4"/>
  <c r="F785" i="4"/>
  <c r="G440" i="4"/>
  <c r="G444" i="4" s="1"/>
  <c r="F449" i="4"/>
  <c r="G449" i="4" s="1"/>
  <c r="G1555" i="4"/>
  <c r="G1558" i="4" s="1"/>
  <c r="F1564" i="4"/>
  <c r="F1908" i="4"/>
  <c r="G1898" i="4"/>
  <c r="F148" i="3"/>
  <c r="F149" i="3"/>
  <c r="G1885" i="4"/>
  <c r="E178" i="3" s="1"/>
  <c r="G584" i="4" l="1"/>
  <c r="G589" i="4" s="1"/>
  <c r="F602" i="4"/>
  <c r="G562" i="4"/>
  <c r="E66" i="3" s="1"/>
  <c r="G572" i="4"/>
  <c r="G573" i="4" s="1"/>
  <c r="H562" i="4" s="1"/>
  <c r="F66" i="3" s="1"/>
  <c r="G1892" i="4"/>
  <c r="G1893" i="4" s="1"/>
  <c r="H1885" i="4" s="1"/>
  <c r="F178" i="3" s="1"/>
  <c r="G750" i="4"/>
  <c r="F772" i="4"/>
  <c r="F1909" i="4"/>
  <c r="G1899" i="4"/>
  <c r="G1901" i="4" s="1"/>
  <c r="F2179" i="4"/>
  <c r="G2169" i="4"/>
  <c r="F1581" i="4"/>
  <c r="G1564" i="4"/>
  <c r="G1575" i="4" s="1"/>
  <c r="G785" i="4"/>
  <c r="F802" i="4"/>
  <c r="F2199" i="4"/>
  <c r="G2188" i="4"/>
  <c r="F1920" i="4"/>
  <c r="G1908" i="4"/>
  <c r="G1553" i="4"/>
  <c r="E151" i="3" s="1"/>
  <c r="G1559" i="4"/>
  <c r="G1560" i="4" s="1"/>
  <c r="H1553" i="4" s="1"/>
  <c r="F151" i="3" s="1"/>
  <c r="F801" i="4"/>
  <c r="G784" i="4"/>
  <c r="G436" i="4"/>
  <c r="G437" i="4" s="1"/>
  <c r="H427" i="4" s="1"/>
  <c r="F53" i="3" s="1"/>
  <c r="G427" i="4"/>
  <c r="E53" i="3" s="1"/>
  <c r="G1582" i="4"/>
  <c r="F1599" i="4"/>
  <c r="G1599" i="4" s="1"/>
  <c r="G445" i="4"/>
  <c r="G446" i="4" s="1"/>
  <c r="H438" i="4" s="1"/>
  <c r="F54" i="3" s="1"/>
  <c r="G438" i="4"/>
  <c r="E54" i="3" s="1"/>
  <c r="F461" i="4"/>
  <c r="G461" i="4" s="1"/>
  <c r="G464" i="4" s="1"/>
  <c r="G450" i="4"/>
  <c r="G455" i="4" s="1"/>
  <c r="G602" i="4" l="1"/>
  <c r="G607" i="4" s="1"/>
  <c r="F619" i="4"/>
  <c r="G590" i="4"/>
  <c r="G591" i="4" s="1"/>
  <c r="H576" i="4" s="1"/>
  <c r="F67" i="3" s="1"/>
  <c r="G576" i="4"/>
  <c r="E67" i="3" s="1"/>
  <c r="G1896" i="4"/>
  <c r="E179" i="3" s="1"/>
  <c r="G1902" i="4"/>
  <c r="G1903" i="4" s="1"/>
  <c r="H1896" i="4" s="1"/>
  <c r="F179" i="3" s="1"/>
  <c r="G1909" i="4"/>
  <c r="G1913" i="4" s="1"/>
  <c r="F1921" i="4"/>
  <c r="G2179" i="4"/>
  <c r="F2189" i="4"/>
  <c r="F786" i="4"/>
  <c r="G772" i="4"/>
  <c r="G447" i="4"/>
  <c r="E55" i="3" s="1"/>
  <c r="G456" i="4"/>
  <c r="G457" i="4" s="1"/>
  <c r="H447" i="4" s="1"/>
  <c r="F55" i="3" s="1"/>
  <c r="G459" i="4"/>
  <c r="E56" i="3" s="1"/>
  <c r="G465" i="4"/>
  <c r="G466" i="4" s="1"/>
  <c r="H459" i="4" s="1"/>
  <c r="F56" i="3" s="1"/>
  <c r="G1576" i="4"/>
  <c r="G1577" i="4" s="1"/>
  <c r="H1562" i="4" s="1"/>
  <c r="F152" i="3" s="1"/>
  <c r="G1562" i="4"/>
  <c r="E152" i="3" s="1"/>
  <c r="G801" i="4"/>
  <c r="F819" i="4"/>
  <c r="G2199" i="4"/>
  <c r="F2209" i="4"/>
  <c r="G1581" i="4"/>
  <c r="G1592" i="4" s="1"/>
  <c r="F1598" i="4"/>
  <c r="G1598" i="4" s="1"/>
  <c r="G1609" i="4" s="1"/>
  <c r="G1920" i="4"/>
  <c r="F1936" i="4"/>
  <c r="G802" i="4"/>
  <c r="F820" i="4"/>
  <c r="G619" i="4" l="1"/>
  <c r="G624" i="4" s="1"/>
  <c r="F637" i="4"/>
  <c r="G594" i="4"/>
  <c r="E68" i="3" s="1"/>
  <c r="G608" i="4"/>
  <c r="G609" i="4" s="1"/>
  <c r="H594" i="4" s="1"/>
  <c r="F68" i="3" s="1"/>
  <c r="G1906" i="4"/>
  <c r="E180" i="3" s="1"/>
  <c r="G1914" i="4"/>
  <c r="G1915" i="4" s="1"/>
  <c r="H1906" i="4" s="1"/>
  <c r="F180" i="3" s="1"/>
  <c r="G786" i="4"/>
  <c r="F803" i="4"/>
  <c r="G2189" i="4"/>
  <c r="F2200" i="4"/>
  <c r="F1929" i="4"/>
  <c r="G1929" i="4" s="1"/>
  <c r="F1937" i="4"/>
  <c r="G1921" i="4"/>
  <c r="G1930" i="4" s="1"/>
  <c r="G820" i="4"/>
  <c r="F837" i="4"/>
  <c r="G1610" i="4"/>
  <c r="G1611" i="4" s="1"/>
  <c r="H1596" i="4" s="1"/>
  <c r="F154" i="3" s="1"/>
  <c r="G1596" i="4"/>
  <c r="E154" i="3" s="1"/>
  <c r="G1936" i="4"/>
  <c r="F1948" i="4"/>
  <c r="G1579" i="4"/>
  <c r="E153" i="3" s="1"/>
  <c r="G1593" i="4"/>
  <c r="G1594" i="4" s="1"/>
  <c r="H1579" i="4" s="1"/>
  <c r="F153" i="3" s="1"/>
  <c r="G2209" i="4"/>
  <c r="F2219" i="4"/>
  <c r="F836" i="4"/>
  <c r="G819" i="4"/>
  <c r="G637" i="4" l="1"/>
  <c r="G642" i="4" s="1"/>
  <c r="F656" i="4"/>
  <c r="G656" i="4" s="1"/>
  <c r="G661" i="4" s="1"/>
  <c r="F674" i="4"/>
  <c r="G611" i="4"/>
  <c r="E69" i="3" s="1"/>
  <c r="G625" i="4"/>
  <c r="G626" i="4" s="1"/>
  <c r="H611" i="4" s="1"/>
  <c r="F69" i="3" s="1"/>
  <c r="G1931" i="4"/>
  <c r="G1932" i="4" s="1"/>
  <c r="H1918" i="4" s="1"/>
  <c r="F181" i="3" s="1"/>
  <c r="G1918" i="4"/>
  <c r="E181" i="3" s="1"/>
  <c r="G803" i="4"/>
  <c r="F821" i="4"/>
  <c r="F2210" i="4"/>
  <c r="G2200" i="4"/>
  <c r="F1938" i="4"/>
  <c r="G1938" i="4" s="1"/>
  <c r="G1937" i="4"/>
  <c r="G1942" i="4" s="1"/>
  <c r="F1949" i="4"/>
  <c r="G836" i="4"/>
  <c r="F862" i="4"/>
  <c r="F1959" i="4"/>
  <c r="G1948" i="4"/>
  <c r="G837" i="4"/>
  <c r="F863" i="4"/>
  <c r="F2229" i="4"/>
  <c r="G2219" i="4"/>
  <c r="G674" i="4" l="1"/>
  <c r="G675" i="4" s="1"/>
  <c r="F687" i="4"/>
  <c r="G647" i="4"/>
  <c r="E71" i="3" s="1"/>
  <c r="G662" i="4"/>
  <c r="G663" i="4" s="1"/>
  <c r="H647" i="4" s="1"/>
  <c r="F71" i="3" s="1"/>
  <c r="G629" i="4"/>
  <c r="E70" i="3" s="1"/>
  <c r="G643" i="4"/>
  <c r="G644" i="4" s="1"/>
  <c r="H629" i="4" s="1"/>
  <c r="F70" i="3" s="1"/>
  <c r="G1943" i="4"/>
  <c r="G1944" i="4" s="1"/>
  <c r="H1934" i="4" s="1"/>
  <c r="F182" i="3" s="1"/>
  <c r="G1934" i="4"/>
  <c r="E182" i="3" s="1"/>
  <c r="F838" i="4"/>
  <c r="G821" i="4"/>
  <c r="G1954" i="4"/>
  <c r="G1955" i="4" s="1"/>
  <c r="G1956" i="4" s="1"/>
  <c r="H1946" i="4" s="1"/>
  <c r="F183" i="3" s="1"/>
  <c r="G1949" i="4"/>
  <c r="F1960" i="4"/>
  <c r="F1950" i="4"/>
  <c r="G1950" i="4" s="1"/>
  <c r="G2210" i="4"/>
  <c r="F2220" i="4"/>
  <c r="G863" i="4"/>
  <c r="F891" i="4"/>
  <c r="F1983" i="4"/>
  <c r="G1959" i="4"/>
  <c r="F2008" i="4"/>
  <c r="G2229" i="4"/>
  <c r="F2240" i="4"/>
  <c r="G1946" i="4"/>
  <c r="E183" i="3" s="1"/>
  <c r="F890" i="4"/>
  <c r="G862" i="4"/>
  <c r="G687" i="4" l="1"/>
  <c r="G688" i="4" s="1"/>
  <c r="F710" i="4"/>
  <c r="G676" i="4"/>
  <c r="G677" i="4" s="1"/>
  <c r="H666" i="4" s="1"/>
  <c r="F72" i="3" s="1"/>
  <c r="G666" i="4"/>
  <c r="E72" i="3" s="1"/>
  <c r="F1984" i="4"/>
  <c r="F1961" i="4"/>
  <c r="G1961" i="4" s="1"/>
  <c r="G1960" i="4"/>
  <c r="G1965" i="4" s="1"/>
  <c r="F864" i="4"/>
  <c r="G864" i="4" s="1"/>
  <c r="G838" i="4"/>
  <c r="F2230" i="4"/>
  <c r="G2220" i="4"/>
  <c r="F1995" i="4"/>
  <c r="G1995" i="4" s="1"/>
  <c r="G1983" i="4"/>
  <c r="F901" i="4"/>
  <c r="G890" i="4"/>
  <c r="G2240" i="4"/>
  <c r="F2261" i="4"/>
  <c r="F902" i="4"/>
  <c r="G891" i="4"/>
  <c r="F2018" i="4"/>
  <c r="G2008" i="4"/>
  <c r="F732" i="4" l="1"/>
  <c r="G710" i="4"/>
  <c r="G711" i="4" s="1"/>
  <c r="G679" i="4"/>
  <c r="E73" i="3" s="1"/>
  <c r="G689" i="4"/>
  <c r="G690" i="4" s="1"/>
  <c r="H679" i="4" s="1"/>
  <c r="F73" i="3" s="1"/>
  <c r="G1966" i="4"/>
  <c r="G1967" i="4" s="1"/>
  <c r="H1957" i="4" s="1"/>
  <c r="F184" i="3" s="1"/>
  <c r="G1957" i="4"/>
  <c r="E184" i="3" s="1"/>
  <c r="F2241" i="4"/>
  <c r="G2230" i="4"/>
  <c r="G1984" i="4"/>
  <c r="G1989" i="4" s="1"/>
  <c r="F1996" i="4"/>
  <c r="G901" i="4"/>
  <c r="F912" i="4"/>
  <c r="F2029" i="4"/>
  <c r="G2018" i="4"/>
  <c r="G2261" i="4"/>
  <c r="F2271" i="4"/>
  <c r="G2271" i="4" s="1"/>
  <c r="G902" i="4"/>
  <c r="F913" i="4"/>
  <c r="G894" i="4"/>
  <c r="G712" i="4" l="1"/>
  <c r="G713" i="4" s="1"/>
  <c r="H701" i="4" s="1"/>
  <c r="F74" i="3" s="1"/>
  <c r="G701" i="4"/>
  <c r="E74" i="3" s="1"/>
  <c r="G732" i="4"/>
  <c r="G733" i="4" s="1"/>
  <c r="F754" i="4"/>
  <c r="G1991" i="4"/>
  <c r="H1981" i="4" s="1"/>
  <c r="F186" i="3" s="1"/>
  <c r="G1981" i="4"/>
  <c r="E186" i="3" s="1"/>
  <c r="G1990" i="4"/>
  <c r="G2241" i="4"/>
  <c r="F2272" i="4"/>
  <c r="G2272" i="4" s="1"/>
  <c r="G1996" i="4"/>
  <c r="G2001" i="4" s="1"/>
  <c r="F2009" i="4"/>
  <c r="F925" i="4"/>
  <c r="G913" i="4"/>
  <c r="G2029" i="4"/>
  <c r="F2040" i="4"/>
  <c r="G888" i="4"/>
  <c r="E92" i="3" s="1"/>
  <c r="G895" i="4"/>
  <c r="G896" i="4" s="1"/>
  <c r="H888" i="4" s="1"/>
  <c r="F92" i="3" s="1"/>
  <c r="F924" i="4"/>
  <c r="G912" i="4"/>
  <c r="G905" i="4"/>
  <c r="F776" i="4" l="1"/>
  <c r="G754" i="4"/>
  <c r="G755" i="4" s="1"/>
  <c r="G734" i="4"/>
  <c r="G735" i="4" s="1"/>
  <c r="H723" i="4" s="1"/>
  <c r="F75" i="3" s="1"/>
  <c r="G723" i="4"/>
  <c r="E75" i="3" s="1"/>
  <c r="G2009" i="4"/>
  <c r="G2012" i="4" s="1"/>
  <c r="F2019" i="4"/>
  <c r="G1993" i="4"/>
  <c r="E187" i="3" s="1"/>
  <c r="G2002" i="4"/>
  <c r="G2003" i="4"/>
  <c r="H1993" i="4" s="1"/>
  <c r="F187" i="3" s="1"/>
  <c r="G906" i="4"/>
  <c r="G907" i="4" s="1"/>
  <c r="H899" i="4" s="1"/>
  <c r="F95" i="3" s="1"/>
  <c r="G899" i="4"/>
  <c r="E95" i="3" s="1"/>
  <c r="F935" i="4"/>
  <c r="G925" i="4"/>
  <c r="G918" i="4"/>
  <c r="F2050" i="4"/>
  <c r="G2040" i="4"/>
  <c r="G924" i="4"/>
  <c r="G928" i="4" s="1"/>
  <c r="F934" i="4"/>
  <c r="G757" i="4" l="1"/>
  <c r="H746" i="4" s="1"/>
  <c r="F76" i="3" s="1"/>
  <c r="G746" i="4"/>
  <c r="E76" i="3" s="1"/>
  <c r="G756" i="4"/>
  <c r="F790" i="4"/>
  <c r="G776" i="4"/>
  <c r="G777" i="4" s="1"/>
  <c r="F2030" i="4"/>
  <c r="G2019" i="4"/>
  <c r="G2022" i="4" s="1"/>
  <c r="G2006" i="4"/>
  <c r="E190" i="3" s="1"/>
  <c r="G2014" i="4"/>
  <c r="H2006" i="4" s="1"/>
  <c r="F190" i="3" s="1"/>
  <c r="G2013" i="4"/>
  <c r="G2050" i="4"/>
  <c r="F2060" i="4"/>
  <c r="G934" i="4"/>
  <c r="F944" i="4"/>
  <c r="G910" i="4"/>
  <c r="E96" i="3" s="1"/>
  <c r="G919" i="4"/>
  <c r="G920" i="4" s="1"/>
  <c r="H910" i="4" s="1"/>
  <c r="F96" i="3" s="1"/>
  <c r="G935" i="4"/>
  <c r="F945" i="4"/>
  <c r="G929" i="4"/>
  <c r="G930" i="4" s="1"/>
  <c r="H922" i="4" s="1"/>
  <c r="F97" i="3" s="1"/>
  <c r="G922" i="4"/>
  <c r="E97" i="3" s="1"/>
  <c r="G768" i="4" l="1"/>
  <c r="E77" i="3" s="1"/>
  <c r="G778" i="4"/>
  <c r="G779" i="4" s="1"/>
  <c r="H768" i="4" s="1"/>
  <c r="F77" i="3" s="1"/>
  <c r="G790" i="4"/>
  <c r="G795" i="4" s="1"/>
  <c r="F807" i="4"/>
  <c r="G2016" i="4"/>
  <c r="E191" i="3" s="1"/>
  <c r="G2023" i="4"/>
  <c r="G2024" i="4" s="1"/>
  <c r="H2016" i="4" s="1"/>
  <c r="F191" i="3" s="1"/>
  <c r="G2030" i="4"/>
  <c r="G2033" i="4" s="1"/>
  <c r="F2041" i="4"/>
  <c r="G945" i="4"/>
  <c r="F957" i="4"/>
  <c r="G944" i="4"/>
  <c r="G950" i="4" s="1"/>
  <c r="F956" i="4"/>
  <c r="G938" i="4"/>
  <c r="F2071" i="4"/>
  <c r="G2060" i="4"/>
  <c r="F825" i="4" l="1"/>
  <c r="G807" i="4"/>
  <c r="G812" i="4" s="1"/>
  <c r="G796" i="4"/>
  <c r="G797" i="4"/>
  <c r="H782" i="4" s="1"/>
  <c r="F78" i="3" s="1"/>
  <c r="G782" i="4"/>
  <c r="E78" i="3" s="1"/>
  <c r="G2027" i="4"/>
  <c r="E192" i="3" s="1"/>
  <c r="G2034" i="4"/>
  <c r="G2035" i="4" s="1"/>
  <c r="H2027" i="4" s="1"/>
  <c r="F192" i="3" s="1"/>
  <c r="F2051" i="4"/>
  <c r="G2041" i="4"/>
  <c r="G2044" i="4" s="1"/>
  <c r="G956" i="4"/>
  <c r="F985" i="4"/>
  <c r="G942" i="4"/>
  <c r="E99" i="3" s="1"/>
  <c r="G951" i="4"/>
  <c r="G952" i="4"/>
  <c r="H942" i="4" s="1"/>
  <c r="F99" i="3" s="1"/>
  <c r="F2083" i="4"/>
  <c r="G2071" i="4"/>
  <c r="G957" i="4"/>
  <c r="F986" i="4"/>
  <c r="G932" i="4"/>
  <c r="E98" i="3" s="1"/>
  <c r="G939" i="4"/>
  <c r="G940" i="4" s="1"/>
  <c r="H932" i="4" s="1"/>
  <c r="F98" i="3" s="1"/>
  <c r="G799" i="4" l="1"/>
  <c r="E79" i="3" s="1"/>
  <c r="G813" i="4"/>
  <c r="G814" i="4" s="1"/>
  <c r="H799" i="4" s="1"/>
  <c r="F79" i="3" s="1"/>
  <c r="F842" i="4"/>
  <c r="G825" i="4"/>
  <c r="G830" i="4" s="1"/>
  <c r="G2045" i="4"/>
  <c r="G2046" i="4" s="1"/>
  <c r="H2038" i="4" s="1"/>
  <c r="F193" i="3" s="1"/>
  <c r="G2038" i="4"/>
  <c r="E193" i="3" s="1"/>
  <c r="F2061" i="4"/>
  <c r="G2051" i="4"/>
  <c r="G2054" i="4" s="1"/>
  <c r="G2083" i="4"/>
  <c r="F2095" i="4"/>
  <c r="F1004" i="4"/>
  <c r="G986" i="4"/>
  <c r="G985" i="4"/>
  <c r="G991" i="4" s="1"/>
  <c r="F1003" i="4"/>
  <c r="G962" i="4"/>
  <c r="G831" i="4" l="1"/>
  <c r="G832" i="4" s="1"/>
  <c r="H817" i="4" s="1"/>
  <c r="F80" i="3" s="1"/>
  <c r="G817" i="4"/>
  <c r="E80" i="3" s="1"/>
  <c r="F869" i="4"/>
  <c r="G869" i="4" s="1"/>
  <c r="G874" i="4" s="1"/>
  <c r="G842" i="4"/>
  <c r="G847" i="4" s="1"/>
  <c r="G2055" i="4"/>
  <c r="G2048" i="4"/>
  <c r="E194" i="3" s="1"/>
  <c r="G2056" i="4"/>
  <c r="H2048" i="4" s="1"/>
  <c r="F194" i="3" s="1"/>
  <c r="F2072" i="4"/>
  <c r="G2061" i="4"/>
  <c r="G2064" i="4" s="1"/>
  <c r="G992" i="4"/>
  <c r="G993" i="4" s="1"/>
  <c r="H983" i="4" s="1"/>
  <c r="F101" i="3" s="1"/>
  <c r="G983" i="4"/>
  <c r="E101" i="3" s="1"/>
  <c r="G1004" i="4"/>
  <c r="F1014" i="4"/>
  <c r="G2095" i="4"/>
  <c r="F2105" i="4"/>
  <c r="G954" i="4"/>
  <c r="E100" i="3" s="1"/>
  <c r="G963" i="4"/>
  <c r="G964" i="4" s="1"/>
  <c r="H954" i="4" s="1"/>
  <c r="F100" i="3" s="1"/>
  <c r="F1013" i="4"/>
  <c r="G1003" i="4"/>
  <c r="G834" i="4" l="1"/>
  <c r="E81" i="3" s="1"/>
  <c r="G848" i="4"/>
  <c r="G849" i="4" s="1"/>
  <c r="H834" i="4" s="1"/>
  <c r="F81" i="3" s="1"/>
  <c r="G860" i="4"/>
  <c r="E82" i="3" s="1"/>
  <c r="G875" i="4"/>
  <c r="G876" i="4" s="1"/>
  <c r="H860" i="4" s="1"/>
  <c r="F82" i="3" s="1"/>
  <c r="G2058" i="4"/>
  <c r="E195" i="3" s="1"/>
  <c r="G2065" i="4"/>
  <c r="G2066" i="4" s="1"/>
  <c r="H2058" i="4" s="1"/>
  <c r="F195" i="3" s="1"/>
  <c r="G2072" i="4"/>
  <c r="G2076" i="4" s="1"/>
  <c r="F2084" i="4"/>
  <c r="G1013" i="4"/>
  <c r="F1023" i="4"/>
  <c r="G1007" i="4"/>
  <c r="F2115" i="4"/>
  <c r="G2105" i="4"/>
  <c r="G1014" i="4"/>
  <c r="F1024" i="4"/>
  <c r="G2069" i="4" l="1"/>
  <c r="E196" i="3" s="1"/>
  <c r="G2077" i="4"/>
  <c r="G2078" i="4" s="1"/>
  <c r="H2069" i="4" s="1"/>
  <c r="F196" i="3" s="1"/>
  <c r="F2096" i="4"/>
  <c r="G2084" i="4"/>
  <c r="G2088" i="4" s="1"/>
  <c r="G1009" i="4"/>
  <c r="H1001" i="4" s="1"/>
  <c r="F102" i="3" s="1"/>
  <c r="G1001" i="4"/>
  <c r="E102" i="3" s="1"/>
  <c r="G1008" i="4"/>
  <c r="F1036" i="4"/>
  <c r="G1023" i="4"/>
  <c r="F1037" i="4"/>
  <c r="G1024" i="4"/>
  <c r="G2115" i="4"/>
  <c r="F2125" i="4"/>
  <c r="G1017" i="4"/>
  <c r="G2096" i="4" l="1"/>
  <c r="G2099" i="4" s="1"/>
  <c r="F2106" i="4"/>
  <c r="G2089" i="4"/>
  <c r="G2090" i="4" s="1"/>
  <c r="H2081" i="4" s="1"/>
  <c r="F197" i="3" s="1"/>
  <c r="G2081" i="4"/>
  <c r="E197" i="3" s="1"/>
  <c r="G1018" i="4"/>
  <c r="G1019" i="4" s="1"/>
  <c r="H1011" i="4" s="1"/>
  <c r="F103" i="3" s="1"/>
  <c r="G1011" i="4"/>
  <c r="E103" i="3" s="1"/>
  <c r="F1050" i="4"/>
  <c r="G1037" i="4"/>
  <c r="G1027" i="4"/>
  <c r="G2125" i="4"/>
  <c r="F2135" i="4"/>
  <c r="G1036" i="4"/>
  <c r="F1049" i="4"/>
  <c r="G2106" i="4" l="1"/>
  <c r="G2109" i="4" s="1"/>
  <c r="F2116" i="4"/>
  <c r="G2100" i="4"/>
  <c r="G2101" i="4" s="1"/>
  <c r="H2093" i="4" s="1"/>
  <c r="F198" i="3" s="1"/>
  <c r="G2093" i="4"/>
  <c r="E198" i="3" s="1"/>
  <c r="F1121" i="4"/>
  <c r="G1121" i="4" s="1"/>
  <c r="F1063" i="4"/>
  <c r="G1063" i="4" s="1"/>
  <c r="F1076" i="4"/>
  <c r="G1050" i="4"/>
  <c r="G1049" i="4"/>
  <c r="F1075" i="4"/>
  <c r="F1120" i="4"/>
  <c r="G1120" i="4" s="1"/>
  <c r="F1062" i="4"/>
  <c r="G1062" i="4" s="1"/>
  <c r="G1042" i="4"/>
  <c r="F2145" i="4"/>
  <c r="G2135" i="4"/>
  <c r="G1021" i="4"/>
  <c r="E104" i="3" s="1"/>
  <c r="G1028" i="4"/>
  <c r="G1029" i="4" s="1"/>
  <c r="H1021" i="4" s="1"/>
  <c r="F104" i="3" s="1"/>
  <c r="G1055" i="4" l="1"/>
  <c r="G1057" i="4" s="1"/>
  <c r="H1047" i="4" s="1"/>
  <c r="F108" i="3" s="1"/>
  <c r="G2116" i="4"/>
  <c r="G2119" i="4" s="1"/>
  <c r="F2126" i="4"/>
  <c r="G1068" i="4"/>
  <c r="G1126" i="4"/>
  <c r="G2103" i="4"/>
  <c r="E199" i="3" s="1"/>
  <c r="G2110" i="4"/>
  <c r="G2111" i="4"/>
  <c r="H2103" i="4" s="1"/>
  <c r="F199" i="3" s="1"/>
  <c r="G2145" i="4"/>
  <c r="F2155" i="4"/>
  <c r="G1075" i="4"/>
  <c r="F1087" i="4"/>
  <c r="G1043" i="4"/>
  <c r="G1044" i="4" s="1"/>
  <c r="H1034" i="4" s="1"/>
  <c r="F107" i="3" s="1"/>
  <c r="G1034" i="4"/>
  <c r="E107" i="3" s="1"/>
  <c r="G1047" i="4"/>
  <c r="E108" i="3" s="1"/>
  <c r="G1056" i="4"/>
  <c r="G1069" i="4"/>
  <c r="G1070" i="4" s="1"/>
  <c r="H1060" i="4" s="1"/>
  <c r="F109" i="3" s="1"/>
  <c r="G1060" i="4"/>
  <c r="E109" i="3" s="1"/>
  <c r="G1127" i="4"/>
  <c r="G1128" i="4" s="1"/>
  <c r="H1118" i="4" s="1"/>
  <c r="F113" i="3" s="1"/>
  <c r="G1118" i="4"/>
  <c r="E113" i="3" s="1"/>
  <c r="G1076" i="4"/>
  <c r="F1088" i="4"/>
  <c r="F2136" i="4" l="1"/>
  <c r="G2126" i="4"/>
  <c r="G2129" i="4" s="1"/>
  <c r="G2120" i="4"/>
  <c r="G2121" i="4" s="1"/>
  <c r="H2113" i="4" s="1"/>
  <c r="F200" i="3" s="1"/>
  <c r="G2113" i="4"/>
  <c r="E200" i="3" s="1"/>
  <c r="F1100" i="4"/>
  <c r="G1088" i="4"/>
  <c r="F2166" i="4"/>
  <c r="G2155" i="4"/>
  <c r="G1087" i="4"/>
  <c r="G1093" i="4" s="1"/>
  <c r="F1099" i="4"/>
  <c r="G1081" i="4"/>
  <c r="G2136" i="4" l="1"/>
  <c r="G2139" i="4" s="1"/>
  <c r="F2146" i="4"/>
  <c r="G2130" i="4"/>
  <c r="G2131" i="4"/>
  <c r="G2123" i="4"/>
  <c r="E201" i="3" s="1"/>
  <c r="G1094" i="4"/>
  <c r="G1095" i="4" s="1"/>
  <c r="H1085" i="4" s="1"/>
  <c r="G1085" i="4"/>
  <c r="G1073" i="4"/>
  <c r="E110" i="3" s="1"/>
  <c r="G1082" i="4"/>
  <c r="G1083" i="4" s="1"/>
  <c r="H1073" i="4" s="1"/>
  <c r="F110" i="3" s="1"/>
  <c r="F1109" i="4"/>
  <c r="G1099" i="4"/>
  <c r="F2176" i="4"/>
  <c r="G2166" i="4"/>
  <c r="F1110" i="4"/>
  <c r="G1100" i="4"/>
  <c r="E2123" i="4" l="1"/>
  <c r="H2123" i="4"/>
  <c r="F201" i="3" s="1"/>
  <c r="G2146" i="4"/>
  <c r="G2149" i="4" s="1"/>
  <c r="F2156" i="4"/>
  <c r="G2140" i="4"/>
  <c r="G2141" i="4" s="1"/>
  <c r="H2133" i="4" s="1"/>
  <c r="F202" i="3" s="1"/>
  <c r="G2133" i="4"/>
  <c r="E202" i="3" s="1"/>
  <c r="F1134" i="4"/>
  <c r="G1110" i="4"/>
  <c r="F1147" i="4"/>
  <c r="G1147" i="4" s="1"/>
  <c r="G1109" i="4"/>
  <c r="F1133" i="4"/>
  <c r="F1146" i="4"/>
  <c r="G1146" i="4" s="1"/>
  <c r="G2176" i="4"/>
  <c r="F2186" i="4"/>
  <c r="G1103" i="4"/>
  <c r="F2167" i="4" l="1"/>
  <c r="G2156" i="4"/>
  <c r="G2159" i="4" s="1"/>
  <c r="G1113" i="4"/>
  <c r="G2150" i="4"/>
  <c r="G2151" i="4" s="1"/>
  <c r="H2143" i="4" s="1"/>
  <c r="F203" i="3" s="1"/>
  <c r="G2143" i="4"/>
  <c r="E203" i="3" s="1"/>
  <c r="G1104" i="4"/>
  <c r="G1105" i="4" s="1"/>
  <c r="H1097" i="4" s="1"/>
  <c r="F111" i="3" s="1"/>
  <c r="G1097" i="4"/>
  <c r="E111" i="3" s="1"/>
  <c r="G2186" i="4"/>
  <c r="F2197" i="4"/>
  <c r="F1172" i="4"/>
  <c r="G1133" i="4"/>
  <c r="F1173" i="4"/>
  <c r="G1134" i="4"/>
  <c r="G1107" i="4"/>
  <c r="E112" i="3" s="1"/>
  <c r="G1114" i="4"/>
  <c r="G1115" i="4" s="1"/>
  <c r="H1107" i="4" s="1"/>
  <c r="F112" i="3" s="1"/>
  <c r="G1139" i="4" l="1"/>
  <c r="G2160" i="4"/>
  <c r="G2161" i="4" s="1"/>
  <c r="H2153" i="4" s="1"/>
  <c r="F204" i="3" s="1"/>
  <c r="G2153" i="4"/>
  <c r="E204" i="3" s="1"/>
  <c r="F2177" i="4"/>
  <c r="G2167" i="4"/>
  <c r="G2170" i="4" s="1"/>
  <c r="F1186" i="4"/>
  <c r="G1173" i="4"/>
  <c r="F1185" i="4"/>
  <c r="G1172" i="4"/>
  <c r="G2197" i="4"/>
  <c r="F2207" i="4"/>
  <c r="G1140" i="4" l="1"/>
  <c r="G1141" i="4" s="1"/>
  <c r="H1131" i="4" s="1"/>
  <c r="F114" i="3" s="1"/>
  <c r="G1131" i="4"/>
  <c r="E114" i="3" s="1"/>
  <c r="G2164" i="4"/>
  <c r="E205" i="3" s="1"/>
  <c r="G2171" i="4"/>
  <c r="G2172" i="4" s="1"/>
  <c r="H2164" i="4" s="1"/>
  <c r="F205" i="3" s="1"/>
  <c r="F2187" i="4"/>
  <c r="G2177" i="4"/>
  <c r="G2180" i="4" s="1"/>
  <c r="G2207" i="4"/>
  <c r="F2217" i="4"/>
  <c r="F1198" i="4"/>
  <c r="G1185" i="4"/>
  <c r="F1199" i="4"/>
  <c r="G1186" i="4"/>
  <c r="G2187" i="4" l="1"/>
  <c r="G2190" i="4" s="1"/>
  <c r="F2198" i="4"/>
  <c r="G2181" i="4"/>
  <c r="G2182" i="4" s="1"/>
  <c r="H2174" i="4" s="1"/>
  <c r="F206" i="3" s="1"/>
  <c r="G2174" i="4"/>
  <c r="E206" i="3" s="1"/>
  <c r="F1207" i="4"/>
  <c r="G1198" i="4"/>
  <c r="F2227" i="4"/>
  <c r="G2217" i="4"/>
  <c r="G1199" i="4"/>
  <c r="F1208" i="4"/>
  <c r="G2191" i="4" l="1"/>
  <c r="G2192" i="4" s="1"/>
  <c r="H2184" i="4" s="1"/>
  <c r="F207" i="3" s="1"/>
  <c r="G2184" i="4"/>
  <c r="E207" i="3" s="1"/>
  <c r="F2208" i="4"/>
  <c r="G2198" i="4"/>
  <c r="G2201" i="4" s="1"/>
  <c r="G1208" i="4"/>
  <c r="F1218" i="4"/>
  <c r="G1201" i="4"/>
  <c r="F2238" i="4"/>
  <c r="G2227" i="4"/>
  <c r="G1207" i="4"/>
  <c r="F1217" i="4"/>
  <c r="G1210" i="4" l="1"/>
  <c r="G2202" i="4"/>
  <c r="G2203" i="4" s="1"/>
  <c r="H2195" i="4" s="1"/>
  <c r="F208" i="3" s="1"/>
  <c r="G2195" i="4"/>
  <c r="E208" i="3" s="1"/>
  <c r="F2218" i="4"/>
  <c r="G2208" i="4"/>
  <c r="G2211" i="4" s="1"/>
  <c r="F2259" i="4"/>
  <c r="G2238" i="4"/>
  <c r="F2249" i="4"/>
  <c r="G2249" i="4" s="1"/>
  <c r="G1202" i="4"/>
  <c r="G1203" i="4" s="1"/>
  <c r="H1196" i="4" s="1"/>
  <c r="F119" i="3" s="1"/>
  <c r="G1196" i="4"/>
  <c r="E119" i="3" s="1"/>
  <c r="F1229" i="4"/>
  <c r="G1218" i="4"/>
  <c r="G1211" i="4"/>
  <c r="G1212" i="4" s="1"/>
  <c r="H1205" i="4" s="1"/>
  <c r="F120" i="3" s="1"/>
  <c r="G1205" i="4"/>
  <c r="E120" i="3" s="1"/>
  <c r="F1228" i="4"/>
  <c r="G1217" i="4"/>
  <c r="F2228" i="4" l="1"/>
  <c r="G2218" i="4"/>
  <c r="G2221" i="4" s="1"/>
  <c r="G2205" i="4"/>
  <c r="E209" i="3" s="1"/>
  <c r="G2212" i="4"/>
  <c r="G2213" i="4"/>
  <c r="H2205" i="4" s="1"/>
  <c r="F209" i="3" s="1"/>
  <c r="F2269" i="4"/>
  <c r="G2259" i="4"/>
  <c r="G1229" i="4"/>
  <c r="F1241" i="4"/>
  <c r="F1240" i="4"/>
  <c r="G1228" i="4"/>
  <c r="G1234" i="4" s="1"/>
  <c r="G1222" i="4"/>
  <c r="F2239" i="4" l="1"/>
  <c r="G2228" i="4"/>
  <c r="G2231" i="4" s="1"/>
  <c r="G2215" i="4"/>
  <c r="E210" i="3" s="1"/>
  <c r="G2222" i="4"/>
  <c r="G2223" i="4"/>
  <c r="H2215" i="4" s="1"/>
  <c r="F210" i="3" s="1"/>
  <c r="G1235" i="4"/>
  <c r="G1236" i="4" s="1"/>
  <c r="H1226" i="4" s="1"/>
  <c r="F122" i="3" s="1"/>
  <c r="G1226" i="4"/>
  <c r="E122" i="3" s="1"/>
  <c r="G2269" i="4"/>
  <c r="F2288" i="4"/>
  <c r="F1252" i="4"/>
  <c r="G1240" i="4"/>
  <c r="G1241" i="4"/>
  <c r="F1253" i="4"/>
  <c r="G1215" i="4"/>
  <c r="E121" i="3" s="1"/>
  <c r="G1223" i="4"/>
  <c r="G1224" i="4" s="1"/>
  <c r="H1215" i="4" s="1"/>
  <c r="F121" i="3" s="1"/>
  <c r="F2260" i="4" l="1"/>
  <c r="G2239" i="4"/>
  <c r="G2242" i="4" s="1"/>
  <c r="F2250" i="4"/>
  <c r="G2250" i="4" s="1"/>
  <c r="G2252" i="4" s="1"/>
  <c r="G2232" i="4"/>
  <c r="G2233" i="4" s="1"/>
  <c r="H2225" i="4" s="1"/>
  <c r="F211" i="3" s="1"/>
  <c r="G2225" i="4"/>
  <c r="E211" i="3" s="1"/>
  <c r="G1253" i="4"/>
  <c r="F1265" i="4"/>
  <c r="F2298" i="4"/>
  <c r="G2288" i="4"/>
  <c r="G1246" i="4"/>
  <c r="F1264" i="4"/>
  <c r="G1252" i="4"/>
  <c r="G1258" i="4" s="1"/>
  <c r="G2253" i="4" l="1"/>
  <c r="G2254" i="4" s="1"/>
  <c r="H2247" i="4" s="1"/>
  <c r="F213" i="3" s="1"/>
  <c r="G2247" i="4"/>
  <c r="E213" i="3" s="1"/>
  <c r="G2236" i="4"/>
  <c r="E212" i="3" s="1"/>
  <c r="G2243" i="4"/>
  <c r="G2244" i="4" s="1"/>
  <c r="H2236" i="4" s="1"/>
  <c r="F212" i="3" s="1"/>
  <c r="G2260" i="4"/>
  <c r="G2262" i="4" s="1"/>
  <c r="F2270" i="4"/>
  <c r="F2307" i="4"/>
  <c r="G2298" i="4"/>
  <c r="G1259" i="4"/>
  <c r="G1260" i="4" s="1"/>
  <c r="H1250" i="4" s="1"/>
  <c r="F124" i="3" s="1"/>
  <c r="G1250" i="4"/>
  <c r="E124" i="3" s="1"/>
  <c r="G1264" i="4"/>
  <c r="G1268" i="4" s="1"/>
  <c r="F1286" i="4"/>
  <c r="F1287" i="4"/>
  <c r="G1265" i="4"/>
  <c r="G1247" i="4"/>
  <c r="G1248" i="4" s="1"/>
  <c r="H1238" i="4" s="1"/>
  <c r="F123" i="3" s="1"/>
  <c r="G1238" i="4"/>
  <c r="E123" i="3" s="1"/>
  <c r="G2263" i="4" l="1"/>
  <c r="G2264" i="4"/>
  <c r="H2257" i="4" s="1"/>
  <c r="F214" i="3" s="1"/>
  <c r="G2257" i="4"/>
  <c r="E214" i="3" s="1"/>
  <c r="G2270" i="4"/>
  <c r="G2274" i="4" s="1"/>
  <c r="F2289" i="4"/>
  <c r="F2318" i="4"/>
  <c r="G2307" i="4"/>
  <c r="G1287" i="4"/>
  <c r="F1297" i="4"/>
  <c r="G1297" i="4" s="1"/>
  <c r="G1262" i="4"/>
  <c r="E125" i="3" s="1"/>
  <c r="G1269" i="4"/>
  <c r="G1270" i="4"/>
  <c r="H1262" i="4" s="1"/>
  <c r="F125" i="3" s="1"/>
  <c r="G1286" i="4"/>
  <c r="F1296" i="4"/>
  <c r="G2289" i="4" l="1"/>
  <c r="G2291" i="4" s="1"/>
  <c r="F2299" i="4"/>
  <c r="G1290" i="4"/>
  <c r="G2275" i="4"/>
  <c r="G2276" i="4" s="1"/>
  <c r="H2267" i="4" s="1"/>
  <c r="F215" i="3" s="1"/>
  <c r="G2267" i="4"/>
  <c r="E215" i="3" s="1"/>
  <c r="G1284" i="4"/>
  <c r="E127" i="3" s="1"/>
  <c r="G1291" i="4"/>
  <c r="G1292" i="4" s="1"/>
  <c r="H1284" i="4" s="1"/>
  <c r="F127" i="3" s="1"/>
  <c r="F1306" i="4"/>
  <c r="G1296" i="4"/>
  <c r="G1300" i="4" s="1"/>
  <c r="G2318" i="4"/>
  <c r="F2328" i="4"/>
  <c r="F2308" i="4" l="1"/>
  <c r="G2299" i="4"/>
  <c r="G2302" i="4" s="1"/>
  <c r="G2292" i="4"/>
  <c r="G2293" i="4" s="1"/>
  <c r="H2286" i="4" s="1"/>
  <c r="F217" i="3" s="1"/>
  <c r="G2286" i="4"/>
  <c r="E217" i="3" s="1"/>
  <c r="G1301" i="4"/>
  <c r="G1302" i="4" s="1"/>
  <c r="H1294" i="4" s="1"/>
  <c r="F128" i="3" s="1"/>
  <c r="G1294" i="4"/>
  <c r="E128" i="3" s="1"/>
  <c r="F1317" i="4"/>
  <c r="G1317" i="4" s="1"/>
  <c r="G1322" i="4" s="1"/>
  <c r="G1306" i="4"/>
  <c r="G1311" i="4" s="1"/>
  <c r="G2328" i="4"/>
  <c r="F2338" i="4"/>
  <c r="G2296" i="4" l="1"/>
  <c r="E220" i="3" s="1"/>
  <c r="G2303" i="4"/>
  <c r="G2304" i="4" s="1"/>
  <c r="H2296" i="4" s="1"/>
  <c r="F220" i="3" s="1"/>
  <c r="G2308" i="4"/>
  <c r="G2311" i="4" s="1"/>
  <c r="F2319" i="4"/>
  <c r="G1315" i="4"/>
  <c r="E130" i="3" s="1"/>
  <c r="G1323" i="4"/>
  <c r="G1324" i="4" s="1"/>
  <c r="H1315" i="4" s="1"/>
  <c r="F130" i="3" s="1"/>
  <c r="F2348" i="4"/>
  <c r="G2338" i="4"/>
  <c r="G1312" i="4"/>
  <c r="G1313" i="4" s="1"/>
  <c r="H1304" i="4" s="1"/>
  <c r="F129" i="3" s="1"/>
  <c r="G1304" i="4"/>
  <c r="E129" i="3" s="1"/>
  <c r="G2313" i="4" l="1"/>
  <c r="H2305" i="4" s="1"/>
  <c r="F221" i="3" s="1"/>
  <c r="G2312" i="4"/>
  <c r="G2305" i="4"/>
  <c r="E221" i="3" s="1"/>
  <c r="F2329" i="4"/>
  <c r="G2319" i="4"/>
  <c r="G2322" i="4" s="1"/>
  <c r="F2358" i="4"/>
  <c r="G2348" i="4"/>
  <c r="G2329" i="4" l="1"/>
  <c r="G2332" i="4" s="1"/>
  <c r="F2339" i="4"/>
  <c r="G2316" i="4"/>
  <c r="E222" i="3" s="1"/>
  <c r="G2323" i="4"/>
  <c r="G2324" i="4" s="1"/>
  <c r="H2316" i="4" s="1"/>
  <c r="F222" i="3" s="1"/>
  <c r="G2358" i="4"/>
  <c r="F2369" i="4"/>
  <c r="G2326" i="4" l="1"/>
  <c r="E223" i="3" s="1"/>
  <c r="G2333" i="4"/>
  <c r="G2334" i="4" s="1"/>
  <c r="H2326" i="4" s="1"/>
  <c r="F223" i="3" s="1"/>
  <c r="F2349" i="4"/>
  <c r="G2339" i="4"/>
  <c r="G2342" i="4" s="1"/>
  <c r="F2378" i="4"/>
  <c r="G2369" i="4"/>
  <c r="G2343" i="4" l="1"/>
  <c r="G2344" i="4" s="1"/>
  <c r="H2336" i="4" s="1"/>
  <c r="F224" i="3" s="1"/>
  <c r="G2336" i="4"/>
  <c r="E224" i="3" s="1"/>
  <c r="F2359" i="4"/>
  <c r="G2349" i="4"/>
  <c r="G2352" i="4" s="1"/>
  <c r="G2378" i="4"/>
  <c r="F2387" i="4"/>
  <c r="F2370" i="4" l="1"/>
  <c r="G2359" i="4"/>
  <c r="G2362" i="4" s="1"/>
  <c r="G2353" i="4"/>
  <c r="G2354" i="4" s="1"/>
  <c r="H2346" i="4" s="1"/>
  <c r="F225" i="3" s="1"/>
  <c r="G2346" i="4"/>
  <c r="E225" i="3" s="1"/>
  <c r="G2387" i="4"/>
  <c r="F2397" i="4"/>
  <c r="G2356" i="4" l="1"/>
  <c r="E226" i="3" s="1"/>
  <c r="G2363" i="4"/>
  <c r="G2364" i="4" s="1"/>
  <c r="H2356" i="4" s="1"/>
  <c r="F226" i="3" s="1"/>
  <c r="F2379" i="4"/>
  <c r="G2370" i="4"/>
  <c r="G2372" i="4" s="1"/>
  <c r="G2397" i="4"/>
  <c r="F2408" i="4"/>
  <c r="G2373" i="4" l="1"/>
  <c r="G2374" i="4" s="1"/>
  <c r="H2367" i="4" s="1"/>
  <c r="F227" i="3" s="1"/>
  <c r="G2367" i="4"/>
  <c r="E227" i="3" s="1"/>
  <c r="G2379" i="4"/>
  <c r="G2381" i="4" s="1"/>
  <c r="F2388" i="4"/>
  <c r="G2408" i="4"/>
  <c r="F2418" i="4"/>
  <c r="G2388" i="4" l="1"/>
  <c r="G2391" i="4" s="1"/>
  <c r="F2398" i="4"/>
  <c r="G2376" i="4"/>
  <c r="E228" i="3" s="1"/>
  <c r="G2382" i="4"/>
  <c r="G2383" i="4" s="1"/>
  <c r="H2376" i="4" s="1"/>
  <c r="F228" i="3" s="1"/>
  <c r="G2418" i="4"/>
  <c r="F2428" i="4"/>
  <c r="G2398" i="4" l="1"/>
  <c r="G2401" i="4" s="1"/>
  <c r="F2409" i="4"/>
  <c r="G2385" i="4"/>
  <c r="E229" i="3" s="1"/>
  <c r="G2392" i="4"/>
  <c r="G2393" i="4" s="1"/>
  <c r="H2385" i="4" s="1"/>
  <c r="F229" i="3" s="1"/>
  <c r="G2428" i="4"/>
  <c r="F2438" i="4"/>
  <c r="G2395" i="4" l="1"/>
  <c r="E230" i="3" s="1"/>
  <c r="G2402" i="4"/>
  <c r="G2403" i="4"/>
  <c r="H2395" i="4" s="1"/>
  <c r="F230" i="3" s="1"/>
  <c r="G2409" i="4"/>
  <c r="G2411" i="4" s="1"/>
  <c r="F2419" i="4"/>
  <c r="G2438" i="4"/>
  <c r="F2448" i="4"/>
  <c r="G2406" i="4" l="1"/>
  <c r="E231" i="3" s="1"/>
  <c r="G2412" i="4"/>
  <c r="G2413" i="4" s="1"/>
  <c r="H2406" i="4" s="1"/>
  <c r="F231" i="3" s="1"/>
  <c r="G2419" i="4"/>
  <c r="G2421" i="4" s="1"/>
  <c r="F2429" i="4"/>
  <c r="G2448" i="4"/>
  <c r="F2458" i="4"/>
  <c r="F2439" i="4" l="1"/>
  <c r="G2429" i="4"/>
  <c r="G2431" i="4" s="1"/>
  <c r="G2422" i="4"/>
  <c r="G2423" i="4" s="1"/>
  <c r="H2416" i="4" s="1"/>
  <c r="F232" i="3" s="1"/>
  <c r="G2416" i="4"/>
  <c r="E232" i="3" s="1"/>
  <c r="F2468" i="4"/>
  <c r="G2458" i="4"/>
  <c r="G2432" i="4" l="1"/>
  <c r="G2433" i="4" s="1"/>
  <c r="H2426" i="4" s="1"/>
  <c r="F233" i="3" s="1"/>
  <c r="G2426" i="4"/>
  <c r="E233" i="3" s="1"/>
  <c r="G2439" i="4"/>
  <c r="G2441" i="4" s="1"/>
  <c r="F2449" i="4"/>
  <c r="G2468" i="4"/>
  <c r="F2478" i="4"/>
  <c r="F2459" i="4" l="1"/>
  <c r="G2449" i="4"/>
  <c r="G2451" i="4" s="1"/>
  <c r="G2436" i="4"/>
  <c r="E234" i="3" s="1"/>
  <c r="G2442" i="4"/>
  <c r="G2443" i="4" s="1"/>
  <c r="H2436" i="4" s="1"/>
  <c r="F234" i="3" s="1"/>
  <c r="F2488" i="4"/>
  <c r="G2478" i="4"/>
  <c r="G2452" i="4" l="1"/>
  <c r="G2453" i="4" s="1"/>
  <c r="H2446" i="4" s="1"/>
  <c r="F235" i="3" s="1"/>
  <c r="G2446" i="4"/>
  <c r="E235" i="3" s="1"/>
  <c r="G2459" i="4"/>
  <c r="G2461" i="4" s="1"/>
  <c r="F2469" i="4"/>
  <c r="G2488" i="4"/>
  <c r="F2499" i="4"/>
  <c r="G2469" i="4" l="1"/>
  <c r="G2472" i="4" s="1"/>
  <c r="F2479" i="4"/>
  <c r="G2456" i="4"/>
  <c r="E236" i="3" s="1"/>
  <c r="G2462" i="4"/>
  <c r="G2463" i="4" s="1"/>
  <c r="H2456" i="4" s="1"/>
  <c r="F236" i="3" s="1"/>
  <c r="F2510" i="4"/>
  <c r="G2499" i="4"/>
  <c r="F2489" i="4" l="1"/>
  <c r="G2479" i="4"/>
  <c r="G2482" i="4" s="1"/>
  <c r="G2466" i="4"/>
  <c r="E237" i="3" s="1"/>
  <c r="G2473" i="4"/>
  <c r="G2474" i="4"/>
  <c r="H2466" i="4" s="1"/>
  <c r="F237" i="3" s="1"/>
  <c r="F2522" i="4"/>
  <c r="G2510" i="4"/>
  <c r="F2500" i="4" l="1"/>
  <c r="G2489" i="4"/>
  <c r="G2492" i="4" s="1"/>
  <c r="G2483" i="4"/>
  <c r="G2476" i="4"/>
  <c r="E238" i="3" s="1"/>
  <c r="G2484" i="4"/>
  <c r="H2476" i="4" s="1"/>
  <c r="F238" i="3" s="1"/>
  <c r="G2522" i="4"/>
  <c r="F2532" i="4"/>
  <c r="F2511" i="4" l="1"/>
  <c r="G2500" i="4"/>
  <c r="G2503" i="4" s="1"/>
  <c r="G2486" i="4"/>
  <c r="E239" i="3" s="1"/>
  <c r="G2493" i="4"/>
  <c r="G2494" i="4" s="1"/>
  <c r="H2486" i="4" s="1"/>
  <c r="F239" i="3" s="1"/>
  <c r="F2541" i="4"/>
  <c r="G2532" i="4"/>
  <c r="G2504" i="4" l="1"/>
  <c r="G2505" i="4" s="1"/>
  <c r="H2497" i="4" s="1"/>
  <c r="F240" i="3" s="1"/>
  <c r="G2497" i="4"/>
  <c r="E240" i="3" s="1"/>
  <c r="F2523" i="4"/>
  <c r="G2511" i="4"/>
  <c r="G2515" i="4" s="1"/>
  <c r="F2551" i="4"/>
  <c r="G2541" i="4"/>
  <c r="G2508" i="4" l="1"/>
  <c r="E241" i="3" s="1"/>
  <c r="G2516" i="4"/>
  <c r="G2517" i="4" s="1"/>
  <c r="H2508" i="4" s="1"/>
  <c r="F241" i="3" s="1"/>
  <c r="G2523" i="4"/>
  <c r="G2525" i="4" s="1"/>
  <c r="F2533" i="4"/>
  <c r="F2561" i="4"/>
  <c r="G2551" i="4"/>
  <c r="F2542" i="4" l="1"/>
  <c r="G2533" i="4"/>
  <c r="G2535" i="4" s="1"/>
  <c r="G2526" i="4"/>
  <c r="G2527" i="4" s="1"/>
  <c r="H2520" i="4" s="1"/>
  <c r="F244" i="3" s="1"/>
  <c r="G2520" i="4"/>
  <c r="E244" i="3" s="1"/>
  <c r="F2570" i="4"/>
  <c r="G2561" i="4"/>
  <c r="G2530" i="4" l="1"/>
  <c r="E242" i="3" s="1"/>
  <c r="G2536" i="4"/>
  <c r="G2537" i="4" s="1"/>
  <c r="H2530" i="4" s="1"/>
  <c r="F242" i="3" s="1"/>
  <c r="G2542" i="4"/>
  <c r="G2544" i="4" s="1"/>
  <c r="F2552" i="4"/>
  <c r="G2570" i="4"/>
  <c r="F2579" i="4"/>
  <c r="G2545" i="4" l="1"/>
  <c r="G2546" i="4" s="1"/>
  <c r="H2539" i="4" s="1"/>
  <c r="F243" i="3" s="1"/>
  <c r="G2539" i="4"/>
  <c r="E243" i="3" s="1"/>
  <c r="F2562" i="4"/>
  <c r="G2552" i="4"/>
  <c r="G2554" i="4" s="1"/>
  <c r="G2579" i="4"/>
  <c r="F2589" i="4"/>
  <c r="G2555" i="4" l="1"/>
  <c r="G2556" i="4" s="1"/>
  <c r="H2549" i="4" s="1"/>
  <c r="F245" i="3" s="1"/>
  <c r="G2549" i="4"/>
  <c r="E245" i="3" s="1"/>
  <c r="G2562" i="4"/>
  <c r="G2564" i="4" s="1"/>
  <c r="F2571" i="4"/>
  <c r="G2589" i="4"/>
  <c r="F2598" i="4"/>
  <c r="G2571" i="4" l="1"/>
  <c r="G2573" i="4" s="1"/>
  <c r="F2580" i="4"/>
  <c r="G2565" i="4"/>
  <c r="G2566" i="4" s="1"/>
  <c r="H2559" i="4" s="1"/>
  <c r="F246" i="3" s="1"/>
  <c r="G2559" i="4"/>
  <c r="E246" i="3" s="1"/>
  <c r="G2598" i="4"/>
  <c r="F2608" i="4"/>
  <c r="G2580" i="4" l="1"/>
  <c r="G2583" i="4" s="1"/>
  <c r="F2590" i="4"/>
  <c r="G2574" i="4"/>
  <c r="G2575" i="4" s="1"/>
  <c r="H2568" i="4" s="1"/>
  <c r="F247" i="3" s="1"/>
  <c r="G2568" i="4"/>
  <c r="E247" i="3" s="1"/>
  <c r="G2608" i="4"/>
  <c r="F2618" i="4"/>
  <c r="G2590" i="4" l="1"/>
  <c r="G2592" i="4" s="1"/>
  <c r="F2599" i="4"/>
  <c r="G2577" i="4"/>
  <c r="E248" i="3" s="1"/>
  <c r="G2584" i="4"/>
  <c r="G2585" i="4" s="1"/>
  <c r="H2577" i="4" s="1"/>
  <c r="F248" i="3" s="1"/>
  <c r="G2618" i="4"/>
  <c r="F2626" i="4"/>
  <c r="G2599" i="4" l="1"/>
  <c r="G2601" i="4" s="1"/>
  <c r="F2609" i="4"/>
  <c r="G2587" i="4"/>
  <c r="E249" i="3" s="1"/>
  <c r="G2593" i="4"/>
  <c r="G2594" i="4" s="1"/>
  <c r="H2587" i="4" s="1"/>
  <c r="F249" i="3" s="1"/>
  <c r="G2626" i="4"/>
  <c r="F2636" i="4"/>
  <c r="F2619" i="4" l="1"/>
  <c r="G2609" i="4"/>
  <c r="G2611" i="4" s="1"/>
  <c r="G2602" i="4"/>
  <c r="G2603" i="4" s="1"/>
  <c r="H2596" i="4" s="1"/>
  <c r="F250" i="3" s="1"/>
  <c r="G2596" i="4"/>
  <c r="E250" i="3" s="1"/>
  <c r="F2645" i="4"/>
  <c r="G2636" i="4"/>
  <c r="G2612" i="4" l="1"/>
  <c r="G2613" i="4"/>
  <c r="H2606" i="4" s="1"/>
  <c r="F251" i="3" s="1"/>
  <c r="G2606" i="4"/>
  <c r="E251" i="3" s="1"/>
  <c r="G2619" i="4"/>
  <c r="G2621" i="4" s="1"/>
  <c r="F2627" i="4"/>
  <c r="G2645" i="4"/>
  <c r="F2655" i="4"/>
  <c r="G2622" i="4" l="1"/>
  <c r="G2616" i="4"/>
  <c r="E252" i="3" s="1"/>
  <c r="G2623" i="4"/>
  <c r="H2616" i="4" s="1"/>
  <c r="F252" i="3" s="1"/>
  <c r="G2627" i="4"/>
  <c r="G2630" i="4" s="1"/>
  <c r="F2637" i="4"/>
  <c r="G2655" i="4"/>
  <c r="F2663" i="4"/>
  <c r="F2646" i="4" l="1"/>
  <c r="G2637" i="4"/>
  <c r="G2639" i="4" s="1"/>
  <c r="G2631" i="4"/>
  <c r="G2632" i="4" s="1"/>
  <c r="H2624" i="4" s="1"/>
  <c r="F253" i="3" s="1"/>
  <c r="G2624" i="4"/>
  <c r="E253" i="3" s="1"/>
  <c r="F2671" i="4"/>
  <c r="G2663" i="4"/>
  <c r="F2656" i="4" l="1"/>
  <c r="G2646" i="4"/>
  <c r="G2648" i="4" s="1"/>
  <c r="G2634" i="4"/>
  <c r="E254" i="3" s="1"/>
  <c r="G2640" i="4"/>
  <c r="G2641" i="4" s="1"/>
  <c r="H2634" i="4" s="1"/>
  <c r="F254" i="3" s="1"/>
  <c r="G2671" i="4"/>
  <c r="F2680" i="4"/>
  <c r="G2656" i="4" l="1"/>
  <c r="G2658" i="4" s="1"/>
  <c r="F2664" i="4"/>
  <c r="G2649" i="4"/>
  <c r="G2650" i="4"/>
  <c r="H2643" i="4" s="1"/>
  <c r="F255" i="3" s="1"/>
  <c r="G2643" i="4"/>
  <c r="E255" i="3" s="1"/>
  <c r="G2680" i="4"/>
  <c r="F2690" i="4"/>
  <c r="G2653" i="4" l="1"/>
  <c r="E256" i="3" s="1"/>
  <c r="G2659" i="4"/>
  <c r="G2660" i="4" s="1"/>
  <c r="H2653" i="4" s="1"/>
  <c r="F256" i="3" s="1"/>
  <c r="G2664" i="4"/>
  <c r="G2666" i="4" s="1"/>
  <c r="F2672" i="4"/>
  <c r="G2690" i="4"/>
  <c r="F2699" i="4"/>
  <c r="G2661" i="4" l="1"/>
  <c r="E257" i="3" s="1"/>
  <c r="G2667" i="4"/>
  <c r="G2668" i="4" s="1"/>
  <c r="H2661" i="4" s="1"/>
  <c r="F257" i="3" s="1"/>
  <c r="G2672" i="4"/>
  <c r="G2675" i="4" s="1"/>
  <c r="F2681" i="4"/>
  <c r="F2708" i="4"/>
  <c r="G2699" i="4"/>
  <c r="G2669" i="4" l="1"/>
  <c r="E258" i="3" s="1"/>
  <c r="G2676" i="4"/>
  <c r="G2677" i="4" s="1"/>
  <c r="H2669" i="4" s="1"/>
  <c r="F258" i="3" s="1"/>
  <c r="F2691" i="4"/>
  <c r="G2681" i="4"/>
  <c r="G2684" i="4" s="1"/>
  <c r="F2719" i="4"/>
  <c r="G2708" i="4"/>
  <c r="G2686" i="4" l="1"/>
  <c r="H2678" i="4" s="1"/>
  <c r="F259" i="3" s="1"/>
  <c r="G2678" i="4"/>
  <c r="E259" i="3" s="1"/>
  <c r="G2685" i="4"/>
  <c r="G2691" i="4"/>
  <c r="G2693" i="4" s="1"/>
  <c r="F2700" i="4"/>
  <c r="G2719" i="4"/>
  <c r="F2730" i="4"/>
  <c r="G2694" i="4" l="1"/>
  <c r="G2695" i="4" s="1"/>
  <c r="H2688" i="4" s="1"/>
  <c r="F260" i="3" s="1"/>
  <c r="G2688" i="4"/>
  <c r="E260" i="3" s="1"/>
  <c r="F2709" i="4"/>
  <c r="G2700" i="4"/>
  <c r="G2702" i="4" s="1"/>
  <c r="G2730" i="4"/>
  <c r="F2742" i="4"/>
  <c r="G2697" i="4" l="1"/>
  <c r="E261" i="3" s="1"/>
  <c r="G2703" i="4"/>
  <c r="G2704" i="4" s="1"/>
  <c r="H2697" i="4" s="1"/>
  <c r="F261" i="3" s="1"/>
  <c r="F2720" i="4"/>
  <c r="G2709" i="4"/>
  <c r="G2712" i="4" s="1"/>
  <c r="F2754" i="4"/>
  <c r="G2742" i="4"/>
  <c r="F2731" i="4" l="1"/>
  <c r="G2720" i="4"/>
  <c r="G2724" i="4" s="1"/>
  <c r="G2713" i="4"/>
  <c r="G2714" i="4" s="1"/>
  <c r="H2706" i="4" s="1"/>
  <c r="F262" i="3" s="1"/>
  <c r="G2706" i="4"/>
  <c r="E262" i="3" s="1"/>
  <c r="G2754" i="4"/>
  <c r="F2763" i="4"/>
  <c r="F2743" i="4" l="1"/>
  <c r="G2731" i="4"/>
  <c r="G2736" i="4" s="1"/>
  <c r="G2725" i="4"/>
  <c r="G2726" i="4" s="1"/>
  <c r="H2717" i="4" s="1"/>
  <c r="F266" i="3" s="1"/>
  <c r="G2717" i="4"/>
  <c r="E266" i="3" s="1"/>
  <c r="G2763" i="4"/>
  <c r="F2775" i="4"/>
  <c r="G2737" i="4" l="1"/>
  <c r="G2738" i="4" s="1"/>
  <c r="H2728" i="4" s="1"/>
  <c r="F267" i="3" s="1"/>
  <c r="G2728" i="4"/>
  <c r="E267" i="3" s="1"/>
  <c r="G2743" i="4"/>
  <c r="G2748" i="4" s="1"/>
  <c r="F2755" i="4"/>
  <c r="F2787" i="4"/>
  <c r="G2775" i="4"/>
  <c r="G2749" i="4" l="1"/>
  <c r="G2750" i="4" s="1"/>
  <c r="H2740" i="4" s="1"/>
  <c r="F268" i="3" s="1"/>
  <c r="G2740" i="4"/>
  <c r="E268" i="3" s="1"/>
  <c r="F2764" i="4"/>
  <c r="G2755" i="4"/>
  <c r="G2757" i="4" s="1"/>
  <c r="G2787" i="4"/>
  <c r="F2799" i="4"/>
  <c r="G2752" i="4" l="1"/>
  <c r="E269" i="3" s="1"/>
  <c r="G2758" i="4"/>
  <c r="G2759" i="4" s="1"/>
  <c r="H2752" i="4" s="1"/>
  <c r="F269" i="3" s="1"/>
  <c r="F2776" i="4"/>
  <c r="G2764" i="4"/>
  <c r="G2769" i="4" s="1"/>
  <c r="F2874" i="4"/>
  <c r="G2799" i="4"/>
  <c r="G2761" i="4" l="1"/>
  <c r="E270" i="3" s="1"/>
  <c r="G2770" i="4"/>
  <c r="G2771" i="4" s="1"/>
  <c r="H2761" i="4" s="1"/>
  <c r="F270" i="3" s="1"/>
  <c r="F2788" i="4"/>
  <c r="G2776" i="4"/>
  <c r="G2781" i="4" s="1"/>
  <c r="G2874" i="4"/>
  <c r="F2882" i="4"/>
  <c r="G2882" i="4" s="1"/>
  <c r="F2920" i="4"/>
  <c r="G2782" i="4" l="1"/>
  <c r="G2783" i="4" s="1"/>
  <c r="H2773" i="4" s="1"/>
  <c r="F271" i="3" s="1"/>
  <c r="G2773" i="4"/>
  <c r="E271" i="3" s="1"/>
  <c r="F2800" i="4"/>
  <c r="G2788" i="4"/>
  <c r="G2793" i="4" s="1"/>
  <c r="G2920" i="4"/>
  <c r="F2929" i="4"/>
  <c r="G2794" i="4" l="1"/>
  <c r="G2795" i="4" s="1"/>
  <c r="H2785" i="4" s="1"/>
  <c r="F272" i="3" s="1"/>
  <c r="G2785" i="4"/>
  <c r="E272" i="3" s="1"/>
  <c r="G2800" i="4"/>
  <c r="G2805" i="4" s="1"/>
  <c r="F2839" i="4"/>
  <c r="F2875" i="4"/>
  <c r="F2938" i="4"/>
  <c r="G2929" i="4"/>
  <c r="G2875" i="4" l="1"/>
  <c r="G2876" i="4" s="1"/>
  <c r="F2883" i="4"/>
  <c r="G2839" i="4"/>
  <c r="G2840" i="4" s="1"/>
  <c r="F2847" i="4"/>
  <c r="G2797" i="4"/>
  <c r="E273" i="3" s="1"/>
  <c r="G2806" i="4"/>
  <c r="G2807" i="4" s="1"/>
  <c r="H2797" i="4" s="1"/>
  <c r="F273" i="3" s="1"/>
  <c r="F2947" i="4"/>
  <c r="G2938" i="4"/>
  <c r="G2841" i="4" l="1"/>
  <c r="G2842" i="4" s="1"/>
  <c r="H2837" i="4" s="1"/>
  <c r="F280" i="3" s="1"/>
  <c r="G2837" i="4"/>
  <c r="E280" i="3" s="1"/>
  <c r="F2853" i="4"/>
  <c r="G2847" i="4"/>
  <c r="G2848" i="4" s="1"/>
  <c r="F2891" i="4"/>
  <c r="G2883" i="4"/>
  <c r="G2885" i="4" s="1"/>
  <c r="G2872" i="4"/>
  <c r="E285" i="3" s="1"/>
  <c r="G2878" i="4"/>
  <c r="H2872" i="4" s="1"/>
  <c r="F285" i="3" s="1"/>
  <c r="G2877" i="4"/>
  <c r="G2947" i="4"/>
  <c r="F2980" i="4"/>
  <c r="G2845" i="4" l="1"/>
  <c r="E281" i="3" s="1"/>
  <c r="G2849" i="4"/>
  <c r="G2850" i="4" s="1"/>
  <c r="H2845" i="4" s="1"/>
  <c r="F281" i="3" s="1"/>
  <c r="F2860" i="4"/>
  <c r="G2853" i="4"/>
  <c r="G2854" i="4" s="1"/>
  <c r="G2886" i="4"/>
  <c r="G2887" i="4" s="1"/>
  <c r="H2880" i="4" s="1"/>
  <c r="F286" i="3" s="1"/>
  <c r="G2880" i="4"/>
  <c r="E286" i="3" s="1"/>
  <c r="G2891" i="4"/>
  <c r="G2894" i="4" s="1"/>
  <c r="F2900" i="4"/>
  <c r="G2980" i="4"/>
  <c r="F2988" i="4"/>
  <c r="G2860" i="4" l="1"/>
  <c r="G2861" i="4" s="1"/>
  <c r="F2867" i="4"/>
  <c r="G2867" i="4" s="1"/>
  <c r="G2868" i="4" s="1"/>
  <c r="G2895" i="4"/>
  <c r="G2889" i="4"/>
  <c r="E287" i="3" s="1"/>
  <c r="G2896" i="4"/>
  <c r="H2889" i="4" s="1"/>
  <c r="F287" i="3" s="1"/>
  <c r="G2900" i="4"/>
  <c r="G2903" i="4" s="1"/>
  <c r="F2909" i="4"/>
  <c r="G2851" i="4"/>
  <c r="E282" i="3" s="1"/>
  <c r="G2855" i="4"/>
  <c r="G2856" i="4" s="1"/>
  <c r="H2851" i="4" s="1"/>
  <c r="F282" i="3" s="1"/>
  <c r="F2996" i="4"/>
  <c r="G2988" i="4"/>
  <c r="F2921" i="4" l="1"/>
  <c r="G2909" i="4"/>
  <c r="G2914" i="4" s="1"/>
  <c r="G2898" i="4"/>
  <c r="E288" i="3" s="1"/>
  <c r="G2904" i="4"/>
  <c r="G2905" i="4" s="1"/>
  <c r="H2898" i="4" s="1"/>
  <c r="F288" i="3" s="1"/>
  <c r="G2869" i="4"/>
  <c r="G2870" i="4"/>
  <c r="H2865" i="4" s="1"/>
  <c r="F284" i="3" s="1"/>
  <c r="G2865" i="4"/>
  <c r="E284" i="3" s="1"/>
  <c r="G2862" i="4"/>
  <c r="G2863" i="4" s="1"/>
  <c r="H2858" i="4" s="1"/>
  <c r="F283" i="3" s="1"/>
  <c r="G2858" i="4"/>
  <c r="E283" i="3" s="1"/>
  <c r="G2996" i="4"/>
  <c r="F3020" i="4"/>
  <c r="G2915" i="4" l="1"/>
  <c r="G2916" i="4" s="1"/>
  <c r="H2907" i="4" s="1"/>
  <c r="F289" i="3" s="1"/>
  <c r="G2907" i="4"/>
  <c r="E289" i="3" s="1"/>
  <c r="G2921" i="4"/>
  <c r="F2930" i="4"/>
  <c r="F3030" i="4"/>
  <c r="G3020" i="4"/>
  <c r="G2922" i="4" l="1"/>
  <c r="G2923" i="4" s="1"/>
  <c r="F2939" i="4"/>
  <c r="G2930" i="4"/>
  <c r="G2931" i="4" s="1"/>
  <c r="G2932" i="4" s="1"/>
  <c r="G3030" i="4"/>
  <c r="F3078" i="4"/>
  <c r="G2918" i="4" l="1"/>
  <c r="E290" i="3" s="1"/>
  <c r="G2924" i="4"/>
  <c r="G2925" i="4" s="1"/>
  <c r="H2918" i="4" s="1"/>
  <c r="F290" i="3" s="1"/>
  <c r="G2939" i="4"/>
  <c r="F2948" i="4"/>
  <c r="G2933" i="4"/>
  <c r="G2934" i="4" s="1"/>
  <c r="H2927" i="4" s="1"/>
  <c r="F291" i="3" s="1"/>
  <c r="G2927" i="4"/>
  <c r="E291" i="3" s="1"/>
  <c r="G3078" i="4"/>
  <c r="F3088" i="4"/>
  <c r="G2940" i="4" l="1"/>
  <c r="G2941" i="4"/>
  <c r="G2948" i="4"/>
  <c r="G2949" i="4" s="1"/>
  <c r="G2950" i="4" s="1"/>
  <c r="F2957" i="4"/>
  <c r="G3088" i="4"/>
  <c r="F3101" i="4"/>
  <c r="G2945" i="4" l="1"/>
  <c r="E293" i="3" s="1"/>
  <c r="G2951" i="4"/>
  <c r="G2952" i="4" s="1"/>
  <c r="H2945" i="4" s="1"/>
  <c r="F293" i="3" s="1"/>
  <c r="G2942" i="4"/>
  <c r="G2943" i="4" s="1"/>
  <c r="H2936" i="4" s="1"/>
  <c r="F292" i="3" s="1"/>
  <c r="G2936" i="4"/>
  <c r="E292" i="3" s="1"/>
  <c r="F2965" i="4"/>
  <c r="G2957" i="4"/>
  <c r="G2958" i="4" s="1"/>
  <c r="G3101" i="4"/>
  <c r="F3112" i="4"/>
  <c r="G2959" i="4" l="1"/>
  <c r="G2960" i="4" s="1"/>
  <c r="H2955" i="4" s="1"/>
  <c r="F294" i="3" s="1"/>
  <c r="G2955" i="4"/>
  <c r="E294" i="3" s="1"/>
  <c r="F2972" i="4"/>
  <c r="G2965" i="4"/>
  <c r="G2966" i="4" s="1"/>
  <c r="G3112" i="4"/>
  <c r="F3127" i="4"/>
  <c r="G2972" i="4" l="1"/>
  <c r="G2973" i="4" s="1"/>
  <c r="F2981" i="4"/>
  <c r="G2963" i="4"/>
  <c r="E295" i="3" s="1"/>
  <c r="G2967" i="4"/>
  <c r="G2968" i="4" s="1"/>
  <c r="H2963" i="4" s="1"/>
  <c r="F295" i="3" s="1"/>
  <c r="F3192" i="4"/>
  <c r="G3192" i="4" s="1"/>
  <c r="F3179" i="4"/>
  <c r="G3179" i="4" s="1"/>
  <c r="G3127" i="4"/>
  <c r="F2989" i="4" l="1"/>
  <c r="G2981" i="4"/>
  <c r="G2982" i="4" s="1"/>
  <c r="G2970" i="4"/>
  <c r="E296" i="3" s="1"/>
  <c r="G2974" i="4"/>
  <c r="G2975" i="4" s="1"/>
  <c r="H2970" i="4" s="1"/>
  <c r="F296" i="3" s="1"/>
  <c r="G2978" i="4" l="1"/>
  <c r="E297" i="3" s="1"/>
  <c r="G2983" i="4"/>
  <c r="G2984" i="4" s="1"/>
  <c r="H2978" i="4" s="1"/>
  <c r="F297" i="3" s="1"/>
  <c r="F2997" i="4"/>
  <c r="G2989" i="4"/>
  <c r="G2990" i="4" s="1"/>
  <c r="G2986" i="4" l="1"/>
  <c r="E298" i="3" s="1"/>
  <c r="G2991" i="4"/>
  <c r="G2992" i="4" s="1"/>
  <c r="H2986" i="4" s="1"/>
  <c r="F298" i="3" s="1"/>
  <c r="F3021" i="4"/>
  <c r="G2997" i="4"/>
  <c r="G2998" i="4" s="1"/>
  <c r="G2999" i="4" l="1"/>
  <c r="G3000" i="4" s="1"/>
  <c r="H2994" i="4" s="1"/>
  <c r="F299" i="3" s="1"/>
  <c r="G2994" i="4"/>
  <c r="E299" i="3" s="1"/>
  <c r="F3031" i="4"/>
  <c r="G3021" i="4"/>
  <c r="G3024" i="4" s="1"/>
  <c r="F3079" i="4" l="1"/>
  <c r="G3031" i="4"/>
  <c r="G3034" i="4" s="1"/>
  <c r="G3025" i="4"/>
  <c r="G3026" i="4" s="1"/>
  <c r="H3018" i="4" s="1"/>
  <c r="F307" i="3" s="1"/>
  <c r="F308" i="3" s="1"/>
  <c r="G3018" i="4"/>
  <c r="E307" i="3" s="1"/>
  <c r="E308" i="3" s="1"/>
  <c r="G3035" i="4" l="1"/>
  <c r="G3036" i="4" s="1"/>
  <c r="H3028" i="4" s="1"/>
  <c r="F309" i="3" s="1"/>
  <c r="G3028" i="4"/>
  <c r="E309" i="3" s="1"/>
  <c r="F3089" i="4"/>
  <c r="G3079" i="4"/>
  <c r="G3082" i="4" s="1"/>
  <c r="G3076" i="4" l="1"/>
  <c r="E315" i="3" s="1"/>
  <c r="G3083" i="4"/>
  <c r="G3084" i="4" s="1"/>
  <c r="H3076" i="4" s="1"/>
  <c r="F315" i="3" s="1"/>
  <c r="F3102" i="4"/>
  <c r="G3089" i="4"/>
  <c r="G3093" i="4" s="1"/>
  <c r="G3094" i="4" l="1"/>
  <c r="G3095" i="4" s="1"/>
  <c r="H3086" i="4" s="1"/>
  <c r="F316" i="3" s="1"/>
  <c r="G3086" i="4"/>
  <c r="E316" i="3" s="1"/>
  <c r="F3113" i="4"/>
  <c r="G3102" i="4"/>
  <c r="G3105" i="4" s="1"/>
  <c r="G3099" i="4" l="1"/>
  <c r="E317" i="3" s="1"/>
  <c r="G3106" i="4"/>
  <c r="G3107" i="4" s="1"/>
  <c r="H3099" i="4" s="1"/>
  <c r="F317" i="3" s="1"/>
  <c r="G3113" i="4"/>
  <c r="H3112" i="4" s="1"/>
  <c r="G3120" i="4" s="1"/>
  <c r="F3128" i="4"/>
  <c r="G3121" i="4" l="1"/>
  <c r="G3122" i="4"/>
  <c r="H3110" i="4" s="1"/>
  <c r="F318" i="3" s="1"/>
  <c r="G3110" i="4"/>
  <c r="E318" i="3" s="1"/>
  <c r="G3128" i="4"/>
  <c r="F3180" i="4"/>
  <c r="G3180" i="4" s="1"/>
  <c r="G3186" i="4" s="1"/>
  <c r="F3206" i="4"/>
  <c r="F3193" i="4"/>
  <c r="G3193" i="4" s="1"/>
  <c r="H3192" i="4" s="1"/>
  <c r="H3127" i="4" l="1"/>
  <c r="G3134" i="4"/>
  <c r="F3216" i="4"/>
  <c r="G3206" i="4"/>
  <c r="G3177" i="4"/>
  <c r="E324" i="3" s="1"/>
  <c r="G3187" i="4"/>
  <c r="G3188" i="4" s="1"/>
  <c r="H3177" i="4" s="1"/>
  <c r="F324" i="3" s="1"/>
  <c r="G3207" i="4" l="1"/>
  <c r="G3208" i="4" s="1"/>
  <c r="F3225" i="4"/>
  <c r="G3216" i="4"/>
  <c r="G3218" i="4" s="1"/>
  <c r="G3135" i="4"/>
  <c r="G3136" i="4" s="1"/>
  <c r="H3125" i="4" s="1"/>
  <c r="F319" i="3" s="1"/>
  <c r="G3125" i="4"/>
  <c r="E319" i="3" s="1"/>
  <c r="G3209" i="4" l="1"/>
  <c r="G3210" i="4" s="1"/>
  <c r="H3204" i="4" s="1"/>
  <c r="F329" i="3" s="1"/>
  <c r="G3204" i="4"/>
  <c r="E329" i="3" s="1"/>
  <c r="G3219" i="4"/>
  <c r="G3220" i="4"/>
  <c r="H3214" i="4" s="1"/>
  <c r="F330" i="3" s="1"/>
  <c r="G3214" i="4"/>
  <c r="E330" i="3" s="1"/>
  <c r="F3235" i="4"/>
  <c r="G3225" i="4"/>
  <c r="G3228" i="4" s="1"/>
  <c r="G3229" i="4" l="1"/>
  <c r="G3230" i="4" s="1"/>
  <c r="H3223" i="4" s="1"/>
  <c r="F331" i="3" s="1"/>
  <c r="G3223" i="4"/>
  <c r="E331" i="3" s="1"/>
  <c r="G3235" i="4"/>
  <c r="G3238" i="4" s="1"/>
  <c r="F3245" i="4"/>
  <c r="G3245" i="4" s="1"/>
  <c r="G3248" i="4" s="1"/>
  <c r="G3233" i="4" l="1"/>
  <c r="E332" i="3" s="1"/>
  <c r="G3239" i="4"/>
  <c r="G3240" i="4" s="1"/>
  <c r="H3233" i="4" s="1"/>
  <c r="F332" i="3" s="1"/>
  <c r="G3243" i="4"/>
  <c r="E333" i="3" s="1"/>
  <c r="G3249" i="4"/>
  <c r="G3250" i="4" s="1"/>
  <c r="H3243" i="4" s="1"/>
  <c r="F333" i="3" s="1"/>
</calcChain>
</file>

<file path=xl/sharedStrings.xml><?xml version="1.0" encoding="utf-8"?>
<sst xmlns="http://schemas.openxmlformats.org/spreadsheetml/2006/main" count="9602" uniqueCount="1653">
  <si>
    <t xml:space="preserve">R.R. stone masonry work in cement sand (1:3) mortar </t>
  </si>
  <si>
    <t xml:space="preserve">R.R. stone masonry work in cement sand (1:4) mortar </t>
  </si>
  <si>
    <t xml:space="preserve">R.R. stone masonry work in cement sand (1:6) mortar </t>
  </si>
  <si>
    <t xml:space="preserve">R.R. stone masonry work for dry wall </t>
  </si>
  <si>
    <t xml:space="preserve">R.R. stone masonry work in mud mortar </t>
  </si>
  <si>
    <t xml:space="preserve">Stone filling in trench with proper leveling </t>
  </si>
  <si>
    <t xml:space="preserve">Clay tile roofing work </t>
  </si>
  <si>
    <t xml:space="preserve">100 mm lime concrete (1:1:3) work </t>
  </si>
  <si>
    <t>MS black pipe</t>
  </si>
  <si>
    <t>Fabricating, supplying &amp; fixing of different size M.S. black pipe Truss with metal primer</t>
  </si>
  <si>
    <t>Rate analysis for : 18.94 Kg.</t>
  </si>
  <si>
    <t>Wood sisham</t>
  </si>
  <si>
    <t>Rate analysis for : 1.00 Rmtr</t>
  </si>
  <si>
    <t>Iron strips</t>
  </si>
  <si>
    <t>Square pipe1"x1"</t>
  </si>
  <si>
    <t xml:space="preserve">Rate analysis for : 10.00 Sqm.                   </t>
  </si>
  <si>
    <t>Angle</t>
  </si>
  <si>
    <t>15%  of materials</t>
  </si>
  <si>
    <t xml:space="preserve">Fabrication charge </t>
  </si>
  <si>
    <t xml:space="preserve">Spiral stair case </t>
  </si>
  <si>
    <t xml:space="preserve">Chain Link 2"x2" mesh (10 SWG G. I.)  </t>
  </si>
  <si>
    <t xml:space="preserve">Brick </t>
  </si>
  <si>
    <t>GI plane sheet 26 gauge</t>
  </si>
  <si>
    <t>P.C.C. (1:4:8) work in foundation, wall (crushed or stone ballast)</t>
  </si>
  <si>
    <t>P.C.C. (1:3:6) work in foundation, wall (crushed or stone ballast)</t>
  </si>
  <si>
    <t>P.C.C. (1:2:4) work in foundation, wall (crushed or stone ballast)</t>
  </si>
  <si>
    <t>P.C.C. (1:2:4) for R.C.C. work in slab, beam etc (crushed or stone ballast)</t>
  </si>
  <si>
    <t>P.C.C. (1:1½:3) for R.C.C. work in slab, beam etc (crushed or stone ballast)</t>
  </si>
  <si>
    <t xml:space="preserve">Ply board 19 mm thick </t>
  </si>
  <si>
    <t>Trench work open type form work  (up to 1.50 Mtr.)</t>
  </si>
  <si>
    <t>Trench work open type form work  ( 1.50 to 3.00 Mtr.)</t>
  </si>
  <si>
    <t>Trench work open type form work  (above 3.00 Mtr.)</t>
  </si>
  <si>
    <t>25 mm thick mosaic flooring with 20 mm thick P.C.C. (1:2:4) &amp; 5 mm thick white cement marble chips1:1 rubbing &amp; polishing work with all complete.</t>
  </si>
  <si>
    <t>20 mm thick mosaic flooring with 12.5mm thick cement sand plaster 1:2 &amp; 6 mm thick white cement marble chips1:1 rubbing &amp; polishing work with all complete.</t>
  </si>
  <si>
    <t>Gavion wire Heavy coated</t>
  </si>
  <si>
    <t>Gavion wire Medium coated</t>
  </si>
  <si>
    <t>Gavion wire Light coated</t>
  </si>
  <si>
    <t>Gavion wire commercial</t>
  </si>
  <si>
    <t>Sqm..</t>
  </si>
  <si>
    <t>500 gauge polythine sheet laying work</t>
  </si>
  <si>
    <t>Rain seal paint</t>
  </si>
  <si>
    <t xml:space="preserve">Damp proof grade tarfelt </t>
  </si>
  <si>
    <t>Polythine sheet 500 gauge</t>
  </si>
  <si>
    <t>Unskilled</t>
  </si>
  <si>
    <t>Quantity</t>
  </si>
  <si>
    <t>Unit</t>
  </si>
  <si>
    <t>Nos.</t>
  </si>
  <si>
    <t>Grand Total</t>
  </si>
  <si>
    <t>UNIT</t>
  </si>
  <si>
    <t>RATE</t>
  </si>
  <si>
    <t>Sqm.</t>
  </si>
  <si>
    <t>S.No.</t>
  </si>
  <si>
    <t>Remarks</t>
  </si>
  <si>
    <t>Rate analysis for : 1.00 No.</t>
  </si>
  <si>
    <t>Description</t>
  </si>
  <si>
    <t>12.5 mm. thick cement sand plaster work 1:4 on wall.</t>
  </si>
  <si>
    <t>12.5 mm. thick cement sand plaster work 1:6 on wall.</t>
  </si>
  <si>
    <t>Sand local</t>
  </si>
  <si>
    <t>Rate</t>
  </si>
  <si>
    <t>Amount</t>
  </si>
  <si>
    <t>Labour</t>
  </si>
  <si>
    <t>Total</t>
  </si>
  <si>
    <t>Rate analysis for : 1.00 Cum.</t>
  </si>
  <si>
    <t>Materials</t>
  </si>
  <si>
    <t>3 % of labour</t>
  </si>
  <si>
    <t xml:space="preserve">T &amp; P </t>
  </si>
  <si>
    <t>Earth filling work in every 15-15 cm. layer without watering &amp; proper manual compaction.</t>
  </si>
  <si>
    <t>Sand  filling work with watering &amp; proper manual compaction.</t>
  </si>
  <si>
    <t>Cum.</t>
  </si>
  <si>
    <t>Skilled</t>
  </si>
  <si>
    <t>Cement</t>
  </si>
  <si>
    <t>M.T.</t>
  </si>
  <si>
    <t>Sand</t>
  </si>
  <si>
    <t>Torsteel reinforcement bar for R.C.C. work with cutting, bending, binding &amp; laying with all complete.</t>
  </si>
  <si>
    <t>Kg.</t>
  </si>
  <si>
    <t>Killas</t>
  </si>
  <si>
    <t xml:space="preserve">Rate </t>
  </si>
  <si>
    <t>Labours</t>
  </si>
  <si>
    <t xml:space="preserve">Total </t>
  </si>
  <si>
    <t>15 % Contractor Overhead</t>
  </si>
  <si>
    <t>Resources</t>
  </si>
  <si>
    <t>Level/Type</t>
  </si>
  <si>
    <t>Nutbolt 8 mm.</t>
  </si>
  <si>
    <t>J-hook</t>
  </si>
  <si>
    <t>Rmtr..</t>
  </si>
  <si>
    <t xml:space="preserve">Nutbolt </t>
  </si>
  <si>
    <t>L.S.</t>
  </si>
  <si>
    <t>Hold fast</t>
  </si>
  <si>
    <t>pech killas</t>
  </si>
  <si>
    <t>Hinge  100 mm</t>
  </si>
  <si>
    <t>Towerbolt 150 mm.</t>
  </si>
  <si>
    <t>Towerbolt 300 mm.</t>
  </si>
  <si>
    <t>Lockingset 250 mm.</t>
  </si>
  <si>
    <t>Pech killas</t>
  </si>
  <si>
    <t>Towerbolt 100 mm.</t>
  </si>
  <si>
    <t>Handle</t>
  </si>
  <si>
    <t>Door spring</t>
  </si>
  <si>
    <t>4 mm thick plane glass fixing work with wooden listies.</t>
  </si>
  <si>
    <t>26 Bwg plane sheet fixing work with wooden listies.</t>
  </si>
  <si>
    <t>4 mm thick ply wood fixing work with wooden listies.</t>
  </si>
  <si>
    <t>Mosquito proof net fixing work with wooden listies.</t>
  </si>
  <si>
    <t>Making and fixing of Sal wood beam, lintel, etc</t>
  </si>
  <si>
    <t>Making and fixing of 25 mm sal wood eaves board</t>
  </si>
  <si>
    <t>Torsteel reinforcement bar fixing work in window frame with all complete,</t>
  </si>
  <si>
    <t>White cement</t>
  </si>
  <si>
    <t xml:space="preserve">Main Polish </t>
  </si>
  <si>
    <t>Tarpaintain oil</t>
  </si>
  <si>
    <t>Ltr.</t>
  </si>
  <si>
    <t>Carborendam Stone</t>
  </si>
  <si>
    <t>L.S. 2 Nos.</t>
  </si>
  <si>
    <t>Sand filling work</t>
  </si>
  <si>
    <t>Brick bat</t>
  </si>
  <si>
    <t>3 mm thick neat cement punning work.</t>
  </si>
  <si>
    <t>Rmtr.</t>
  </si>
  <si>
    <t>White lime</t>
  </si>
  <si>
    <t>gum</t>
  </si>
  <si>
    <t>Enamel paint</t>
  </si>
  <si>
    <t>Sand paper</t>
  </si>
  <si>
    <t>Aluminium paint</t>
  </si>
  <si>
    <t>Red oxide paint</t>
  </si>
  <si>
    <t>Chapra paint</t>
  </si>
  <si>
    <t>Sprit</t>
  </si>
  <si>
    <t>Fire wood</t>
  </si>
  <si>
    <t>Tarfelt</t>
  </si>
  <si>
    <t>Rate analysis for : 1.00 Sqm.</t>
  </si>
  <si>
    <t>Rate analysis for : 10.00 Sqm.</t>
  </si>
  <si>
    <t>Material</t>
  </si>
  <si>
    <t>Rolling Shutter</t>
  </si>
  <si>
    <t>Barbed wire 12 gauge</t>
  </si>
  <si>
    <t>U-nail, killa etc</t>
  </si>
  <si>
    <t>L. S.</t>
  </si>
  <si>
    <t>Barbed wire 14 gauge</t>
  </si>
  <si>
    <t>MS angle different size</t>
  </si>
  <si>
    <t>Primer etc</t>
  </si>
  <si>
    <t>No.</t>
  </si>
  <si>
    <t>Hinge   75 mm</t>
  </si>
  <si>
    <t>Towerbolt 100 mm</t>
  </si>
  <si>
    <t>Towerbolt 150 mm</t>
  </si>
  <si>
    <t>Towerbolt 300 mm</t>
  </si>
  <si>
    <t xml:space="preserve">Mosquito proof net </t>
  </si>
  <si>
    <t>Wooden listies ½"</t>
  </si>
  <si>
    <t>Wooden listies 1"</t>
  </si>
  <si>
    <t>Gum</t>
  </si>
  <si>
    <t>Distemper washable</t>
  </si>
  <si>
    <t>Water proof cement paint</t>
  </si>
  <si>
    <t>Plastic emulsion paint</t>
  </si>
  <si>
    <t>Varnish paint</t>
  </si>
  <si>
    <t xml:space="preserve">Mud </t>
  </si>
  <si>
    <t>BASIC LABOUR &amp; MATERIAL  RATE</t>
  </si>
  <si>
    <t>DESCRIPTION OF WORKS</t>
  </si>
  <si>
    <t>Wooden listies ¾"</t>
  </si>
  <si>
    <t>Killa</t>
  </si>
  <si>
    <t>Marble chips 3 mm</t>
  </si>
  <si>
    <t>Stone block</t>
  </si>
  <si>
    <t>Stone bond</t>
  </si>
  <si>
    <t xml:space="preserve">Binding wire </t>
  </si>
  <si>
    <t>Rate analysis for :1.00 Cum.</t>
  </si>
  <si>
    <t>N.C.N.</t>
  </si>
  <si>
    <t>Rate analysis for : 10.00 Rmtr.</t>
  </si>
  <si>
    <t>Rate analysis for : 2.114 Sqm.</t>
  </si>
  <si>
    <t>Rate analysis for : 2.23 Sqm.</t>
  </si>
  <si>
    <t>Rate analysis for : 2.245 Sqm.</t>
  </si>
  <si>
    <t>10-16-A</t>
  </si>
  <si>
    <t>Rate analysis for : 35.58 Sqm.</t>
  </si>
  <si>
    <t>Rate analysis for : 1.00 MT</t>
  </si>
  <si>
    <t>Rate analysis for :10.00 Sqm.</t>
  </si>
  <si>
    <t xml:space="preserve"> 2 Nos.</t>
  </si>
  <si>
    <t>2 Nos.</t>
  </si>
  <si>
    <t xml:space="preserve"> 11-6</t>
  </si>
  <si>
    <t>Dry flat Brick paving work</t>
  </si>
  <si>
    <t xml:space="preserve">Flat Brick paving in 1:6 &amp; cement sand pointing in1:2 in joints </t>
  </si>
  <si>
    <t>Rate analysis for :10.00 Cum.</t>
  </si>
  <si>
    <t>Rate analysis for :100.00 Sqm.</t>
  </si>
  <si>
    <t>13.  PAINTING WORK</t>
  </si>
  <si>
    <t xml:space="preserve"> 18-9</t>
  </si>
  <si>
    <t>Rate analysis for :1.00 Sqm.</t>
  </si>
  <si>
    <t>Rate analysis for :100.00 Rmtr.</t>
  </si>
  <si>
    <t>Rate analysis for :30.00 Rmtr.</t>
  </si>
  <si>
    <t>Silica cement</t>
  </si>
  <si>
    <t>24  IRON  WORK</t>
  </si>
  <si>
    <t>15-15 cm. Brick bat filling work.</t>
  </si>
  <si>
    <t>T &amp; P</t>
  </si>
  <si>
    <t>S. No.</t>
  </si>
  <si>
    <t>Sand Local</t>
  </si>
  <si>
    <t>Stone filling in floor with sand  lead up to 30 mtr.</t>
  </si>
  <si>
    <t>Fixing charge</t>
  </si>
  <si>
    <t>Roofing nail</t>
  </si>
  <si>
    <t>Contract</t>
  </si>
  <si>
    <t>Weather proof primer</t>
  </si>
  <si>
    <t>Weather proof paint</t>
  </si>
  <si>
    <t>Cement primer</t>
  </si>
  <si>
    <t>Paint brush 100 mm</t>
  </si>
  <si>
    <t>Edge brick paving with sand packing in voids &amp; cement sand (1:3) flush pointing in top surface.</t>
  </si>
  <si>
    <t>cement</t>
  </si>
  <si>
    <t>Surkhee</t>
  </si>
  <si>
    <t xml:space="preserve">25 mm thick Sal wood planking work with 50x75 mm sal  wood frame in 600x600 mm </t>
  </si>
  <si>
    <t xml:space="preserve">MS grill </t>
  </si>
  <si>
    <t>Asbestos cement ridge cover</t>
  </si>
  <si>
    <t xml:space="preserve">Asbestos cement sheet </t>
  </si>
  <si>
    <t xml:space="preserve">MS Black pipe </t>
  </si>
  <si>
    <t>MS Black pipe(MNB 50-M)</t>
  </si>
  <si>
    <t xml:space="preserve">Iron bolt </t>
  </si>
  <si>
    <t>NCN 11-6</t>
  </si>
  <si>
    <t>Dept</t>
  </si>
  <si>
    <t>sqm.</t>
  </si>
  <si>
    <t>Fabricating, supplying &amp; fixing of different size M.S. angle</t>
  </si>
  <si>
    <t>Rate analysis for : 1.00 M.T.</t>
  </si>
  <si>
    <t>Rate analysis for :18.94 Kg.</t>
  </si>
  <si>
    <t>Wooden listies 1½"</t>
  </si>
  <si>
    <t>W.P.Compound</t>
  </si>
  <si>
    <t>Distemper primer</t>
  </si>
  <si>
    <t xml:space="preserve">Mortice lock(Brass) </t>
  </si>
  <si>
    <t>District Rate</t>
  </si>
  <si>
    <t>U-nail</t>
  </si>
  <si>
    <t xml:space="preserve">MS angle </t>
  </si>
  <si>
    <t>Aggrigate 10 mm-River bed</t>
  </si>
  <si>
    <t>Aggrigate 12 mm-River bed</t>
  </si>
  <si>
    <t>Aggrigate 20 mm-River bed</t>
  </si>
  <si>
    <t>Aggrigate 40 mm-River bed</t>
  </si>
  <si>
    <t xml:space="preserve">Spartik Non-glazed tile paving work in cement sand (1:4) mortar </t>
  </si>
  <si>
    <t xml:space="preserve">Porecelain glazed/non glazed tile </t>
  </si>
  <si>
    <t xml:space="preserve">Spartik non glazed tile </t>
  </si>
  <si>
    <t xml:space="preserve">Porcelain glazed /non glazed tile paving work in cement sand (1:4) mortar </t>
  </si>
  <si>
    <t xml:space="preserve">Gobar </t>
  </si>
  <si>
    <t>Bhush</t>
  </si>
  <si>
    <t>MS grill 3*20 mm (15 kg/sqm)</t>
  </si>
  <si>
    <t>MS grill gate 5*20 mm(35 kg/sqm)</t>
  </si>
  <si>
    <t>Mud tile</t>
  </si>
  <si>
    <t>Mud tile ridge cover</t>
  </si>
  <si>
    <t>Cement tile</t>
  </si>
  <si>
    <t>Cement tile ridge cover</t>
  </si>
  <si>
    <t xml:space="preserve">   M KNffO{ M ^ k6s;dd k|of]u ug{ ;lsg] To;kl5 !)Ü d"No afFsL /xg] lx;fan] ul/Psf] </t>
  </si>
  <si>
    <t>100x1.1x0.9/6=16.5</t>
  </si>
  <si>
    <t xml:space="preserve">   M kfO{k M !% k6s;Dd k|of]u ug{ ;lsg] To;kl5 @%Ü d"No afFsL /xg] lx;fan] ul/Psf] </t>
  </si>
  <si>
    <t>88/15x0.75 =4.4</t>
  </si>
  <si>
    <t>0.155/6x0.75=0.019</t>
  </si>
  <si>
    <t>4.62/6x0.90=0.693</t>
  </si>
  <si>
    <t xml:space="preserve">   M kmnfd] af]N6 M !% k6s;dd k|of]u ug{ ;lsg] To;kl5 @%Ü d"No afFsL /xg] lx;fan] ul/Psf] </t>
  </si>
  <si>
    <t>10.68/15x0.75=0.54</t>
  </si>
  <si>
    <t>gf]6 M !Æ j/fj/ @=%$ ;]=dL= kmn]ssf] lx;fj ul/Psf] sf7x? ^ k6s;Dd k|of]u u/L;s]kl5 @%Ü d"No afFsL x'g] u/L lx;fj ul/Psf]]_</t>
  </si>
  <si>
    <t>Form work shuttering &amp; centering with MS pipe (prop), plyboard for slab etc</t>
  </si>
  <si>
    <t>Rate analysis for : 100.00 Sqm.</t>
  </si>
  <si>
    <t>Wood Local</t>
  </si>
  <si>
    <t>4.16*0.0254</t>
  </si>
  <si>
    <t>Clay tile</t>
  </si>
  <si>
    <t>Clay tile ridge cover</t>
  </si>
  <si>
    <t>Rate analysis for : 10.00 Sqm..</t>
  </si>
  <si>
    <t>Brick Aggrigate</t>
  </si>
  <si>
    <t>Khar</t>
  </si>
  <si>
    <t>Bamboo</t>
  </si>
  <si>
    <t>Dori</t>
  </si>
  <si>
    <t>Chattai</t>
  </si>
  <si>
    <t>Bdl.</t>
  </si>
  <si>
    <t>Transportation @ 3 %</t>
  </si>
  <si>
    <t xml:space="preserve">TOR/TMT reinforcement bar </t>
  </si>
  <si>
    <t>Self Taping Screw 3"</t>
  </si>
  <si>
    <t>Dry flat Brick (Brick Bat ) paving work</t>
  </si>
  <si>
    <t>Dry edge Brick (Brick Bat ) paving work</t>
  </si>
  <si>
    <t>Note :</t>
  </si>
  <si>
    <t>Cutting of tree, branch  &amp; log etc. (12-30 cm. girth above 1.00 mtr. From G.L.) with lead upto 15 mtr.</t>
  </si>
  <si>
    <t>Cutting of tree, branch  &amp; log etc. (31-60 cm. girth above 1.00 mtr. From G.L.) with lead upto 15 mtr.</t>
  </si>
  <si>
    <t>Cutting of tree, branch  &amp; log etc. (61-120 cm. girth above 1.00 mtr. From G.L.) with lead upto 15 mtr.</t>
  </si>
  <si>
    <t>Removing of tree root (12-30 cm. girth above 1.00 mtr. From G.L.) with lead upto 15 mtr.</t>
  </si>
  <si>
    <t>Removing of tree root (31-60 cm. girth above 1.00 mtr. From G.L.) with lead upto 15 mtr.</t>
  </si>
  <si>
    <t>Removing of tree root (61-120 cm. girth above 1.00 mtr. From G.L.) with lead upto 15 mtr.</t>
  </si>
  <si>
    <t>A3</t>
  </si>
  <si>
    <t xml:space="preserve"> A4</t>
  </si>
  <si>
    <t>Water</t>
  </si>
  <si>
    <t>Earth filling work in every 15-15 cm. layer with watering &amp; lead upto 1o.00 mtr. &amp; proper manual compaction.</t>
  </si>
  <si>
    <t>A1 (1-1A)</t>
  </si>
  <si>
    <t>A1 (1-1B)</t>
  </si>
  <si>
    <t>A1 (1-1C)</t>
  </si>
  <si>
    <t>A2 (1-2A)</t>
  </si>
  <si>
    <t xml:space="preserve"> A2 (1-2B)</t>
  </si>
  <si>
    <t>A2 (1-2C)</t>
  </si>
  <si>
    <t xml:space="preserve"> B1 (2-1)</t>
  </si>
  <si>
    <t xml:space="preserve"> B1 (2-2)</t>
  </si>
  <si>
    <t xml:space="preserve"> B2 (2-25A)</t>
  </si>
  <si>
    <t xml:space="preserve"> B2 (2-25B)</t>
  </si>
  <si>
    <t xml:space="preserve"> B3 (2-42A)</t>
  </si>
  <si>
    <t xml:space="preserve"> B3 (2-42B)</t>
  </si>
  <si>
    <t xml:space="preserve"> B4 (2-34)</t>
  </si>
  <si>
    <t>Pumping of water from foundation or trench</t>
  </si>
  <si>
    <t>Rate analysis for : 5000.00 Ltr.</t>
  </si>
  <si>
    <t xml:space="preserve">Water pump </t>
  </si>
  <si>
    <t>Hour</t>
  </si>
  <si>
    <t xml:space="preserve"> B7</t>
  </si>
  <si>
    <t>C2(5-1-B1 &amp; 5-2A)</t>
  </si>
  <si>
    <t xml:space="preserve"> C2(5-1-B1 &amp; 5-2B)</t>
  </si>
  <si>
    <t>C2( 5-1-B2 &amp; 5-2A)</t>
  </si>
  <si>
    <t>C25-1-B2   &amp; 5-2B)</t>
  </si>
  <si>
    <t>C2(5-1-B2   &amp; 5-2B)</t>
  </si>
  <si>
    <t>C2(5-1-B3   &amp; 5-2A)</t>
  </si>
  <si>
    <t xml:space="preserve"> C2(5-1-B3 &amp; 5-2B)</t>
  </si>
  <si>
    <t>C2( 5-1-B3 &amp; 5-2B)</t>
  </si>
  <si>
    <t>C2(5-1-B6 &amp; 5-2A)</t>
  </si>
  <si>
    <t>C2( 5-1-B6 &amp; 5-2B)</t>
  </si>
  <si>
    <t xml:space="preserve"> C2(5-1-B6 &amp; 5-2B)</t>
  </si>
  <si>
    <t>C6( 6-1-1A)</t>
  </si>
  <si>
    <t>C6( 6-1-1B)</t>
  </si>
  <si>
    <t>C6( 6-1-1C)</t>
  </si>
  <si>
    <t>C6( 6-2-1)</t>
  </si>
  <si>
    <t>C6( 6-2-2)</t>
  </si>
  <si>
    <t>C10( 6-5)</t>
  </si>
  <si>
    <t>D1(7-2B)</t>
  </si>
  <si>
    <t>D1(7-2C)</t>
  </si>
  <si>
    <t>D1(7-2D)</t>
  </si>
  <si>
    <t>D2(7-4A)</t>
  </si>
  <si>
    <t>D2(7-4B)</t>
  </si>
  <si>
    <t>D2(7-4C)</t>
  </si>
  <si>
    <t>Petrol</t>
  </si>
  <si>
    <t>Mixture Machine (0.20-0.28 Cum.)</t>
  </si>
  <si>
    <t>Vibrator</t>
  </si>
  <si>
    <t>Equipment</t>
  </si>
  <si>
    <t>D3(A)</t>
  </si>
  <si>
    <t>D3(B)</t>
  </si>
  <si>
    <t>D4(A)</t>
  </si>
  <si>
    <t>D4(B)</t>
  </si>
  <si>
    <t>D(5)</t>
  </si>
  <si>
    <t xml:space="preserve">Micro silica </t>
  </si>
  <si>
    <t>Super plasticiser</t>
  </si>
  <si>
    <t>P.C.C. (1:1:2) for R.C.C. work in slab, beam etc (crushed or stone ballast)</t>
  </si>
  <si>
    <t>P.C.C. (1:3:6) work (USED MACHINE) in foundation, wall (crushed or stone ballast)</t>
  </si>
  <si>
    <t>P.C.C. (1:2:4) work (USED MACHINE) in foundation, wall (crushed or stone ballast)</t>
  </si>
  <si>
    <t>P.C.C. (1:1½:3) for R.C.C. work(USED MACHINE) in slab, beam etc (crushed or stone ballast)</t>
  </si>
  <si>
    <t>P.C.C. (1:1:2) for R.C.C. work(USED MACHINE) in slab, beam etc (crushed or stone ballast)</t>
  </si>
  <si>
    <t>P.C.C. (1:1:2) for R.C.C. work in slab (crushed or stone ballast) with micro  silica &amp; super plasticiser</t>
  </si>
  <si>
    <t>Aggrigate 20 mm-crushed/ballast  stone</t>
  </si>
  <si>
    <t>Aggrigate 10 mm-crushed/ballast  stone</t>
  </si>
  <si>
    <t>Aggrigate 40 mm-crushed/ballast  stone</t>
  </si>
  <si>
    <t>Aggrigate 20 mmcrushed/ballast  stone</t>
  </si>
  <si>
    <t>D9(7-5)</t>
  </si>
  <si>
    <t>E1(8-3A)</t>
  </si>
  <si>
    <t>Form work shuttering &amp; centering (COLUMN) with (USED LOCAL WOOD) all complete.</t>
  </si>
  <si>
    <t>Form work shuttering &amp; centering (COLUMN) with (USED PLY WOOD) all complete.</t>
  </si>
  <si>
    <t>E2(51B)</t>
  </si>
  <si>
    <t>E3(8-4A)</t>
  </si>
  <si>
    <t>E4(8-4B)</t>
  </si>
  <si>
    <t>E5(51A)</t>
  </si>
  <si>
    <t>E6(8-4A)</t>
  </si>
  <si>
    <t>1.6875x1.1x0.75/6= 0.232</t>
  </si>
  <si>
    <t>2.03/6*0.75=0.25375</t>
  </si>
  <si>
    <t xml:space="preserve">        sf7 M ^ k6s;dd k|of]u ug{ ;lsg] To;kl5 @%Ü d"No afFsL /xg] lx;fan] ul/Psf] </t>
  </si>
  <si>
    <t>33.33/6*0.75=4.16*0.0254=0.105</t>
  </si>
  <si>
    <t>E13(8-13C)</t>
  </si>
  <si>
    <t>E12(8-13B)</t>
  </si>
  <si>
    <t>E12(8-13A)</t>
  </si>
  <si>
    <t>F1( 9-1)</t>
  </si>
  <si>
    <t>F3( 9-1)</t>
  </si>
  <si>
    <t>F2( 9-2)</t>
  </si>
  <si>
    <t>F4( 9-2)</t>
  </si>
  <si>
    <t>F5</t>
  </si>
  <si>
    <t>Nut bolt 8 mm</t>
  </si>
  <si>
    <t>F6</t>
  </si>
  <si>
    <t>F7</t>
  </si>
  <si>
    <t>Rmtr</t>
  </si>
  <si>
    <t>M.S. bracket 3*40 mm</t>
  </si>
  <si>
    <t xml:space="preserve">Nut bolt </t>
  </si>
  <si>
    <t>F10( 9-6)</t>
  </si>
  <si>
    <t>F11( 9-7)</t>
  </si>
  <si>
    <t>F12( 9-8)</t>
  </si>
  <si>
    <t>80 mm thick khar roof with bamboo frame</t>
  </si>
  <si>
    <t>Bundle</t>
  </si>
  <si>
    <t>150 mm thick khar roof with bamboo frame</t>
  </si>
  <si>
    <t>F13( 9-9A)</t>
  </si>
  <si>
    <t>F13( 9-9B)</t>
  </si>
  <si>
    <t xml:space="preserve">F14 </t>
  </si>
  <si>
    <t>F15</t>
  </si>
  <si>
    <t>F22</t>
  </si>
  <si>
    <t>Clip</t>
  </si>
  <si>
    <t>F23</t>
  </si>
  <si>
    <t>F18</t>
  </si>
  <si>
    <t>F19( 10-17)</t>
  </si>
  <si>
    <t xml:space="preserve"> F20(10-19)</t>
  </si>
  <si>
    <t xml:space="preserve"> G1(10-1)</t>
  </si>
  <si>
    <t>G1(10-1)</t>
  </si>
  <si>
    <t>G2(10-2)</t>
  </si>
  <si>
    <t xml:space="preserve"> G3(10-4)</t>
  </si>
  <si>
    <t xml:space="preserve"> G4(10-7)</t>
  </si>
  <si>
    <t xml:space="preserve"> G4(10-8)</t>
  </si>
  <si>
    <t xml:space="preserve"> G4(10-9)</t>
  </si>
  <si>
    <t xml:space="preserve"> G4(10-10)</t>
  </si>
  <si>
    <t xml:space="preserve"> G5(10-11B)</t>
  </si>
  <si>
    <t xml:space="preserve"> G6(10-12)</t>
  </si>
  <si>
    <t>G5(10-11B)</t>
  </si>
  <si>
    <t xml:space="preserve"> G7(10-21)</t>
  </si>
  <si>
    <t>Fevicol</t>
  </si>
  <si>
    <t xml:space="preserve"> G8(10-3 &amp; 10-7)</t>
  </si>
  <si>
    <t xml:space="preserve"> G9(10-3 &amp; 10-7)</t>
  </si>
  <si>
    <t xml:space="preserve"> G10(10-3 &amp; 10-7)</t>
  </si>
  <si>
    <t>Rubber bidding</t>
  </si>
  <si>
    <t xml:space="preserve">H1(11-1A) </t>
  </si>
  <si>
    <t xml:space="preserve">H1(11-1B) </t>
  </si>
  <si>
    <t xml:space="preserve">H1(11-1C) </t>
  </si>
  <si>
    <t xml:space="preserve">H1(11-1D) </t>
  </si>
  <si>
    <t xml:space="preserve"> H2(11-2)</t>
  </si>
  <si>
    <t>25 mm thick mosaic flooring with 19 mm thick cement sand plaster 1:2 &amp; 6 mm thick white cement marble chips1:1 rubbing &amp; polishing work with all complete.</t>
  </si>
  <si>
    <t xml:space="preserve"> H3(11-3)</t>
  </si>
  <si>
    <t xml:space="preserve"> H4(11-4)</t>
  </si>
  <si>
    <t xml:space="preserve"> H5(11-5)</t>
  </si>
  <si>
    <t>H6(11-7)</t>
  </si>
  <si>
    <t>H12(11-12)</t>
  </si>
  <si>
    <t>H13(11-13)</t>
  </si>
  <si>
    <t xml:space="preserve">Edge Brick paving in 1:6 &amp; cement sand pointing in1:2 in joints </t>
  </si>
  <si>
    <t xml:space="preserve"> H15(11-15A)</t>
  </si>
  <si>
    <t xml:space="preserve"> H15(11-15B)</t>
  </si>
  <si>
    <t>H16( 11-16)</t>
  </si>
  <si>
    <t>H17( 11-17)</t>
  </si>
  <si>
    <t>H19( 11-19A)</t>
  </si>
  <si>
    <t>H19( 11-19B)</t>
  </si>
  <si>
    <t>H20( 11-20)</t>
  </si>
  <si>
    <t xml:space="preserve"> H21(11-21)</t>
  </si>
  <si>
    <t>H24( 11-20)</t>
  </si>
  <si>
    <t xml:space="preserve">Clay tile(Machine Made) paving work in cement sand (1:4) mortar </t>
  </si>
  <si>
    <t>H25(11-7)</t>
  </si>
  <si>
    <t>H26(11-6)</t>
  </si>
  <si>
    <t>I1(12-1B)</t>
  </si>
  <si>
    <t>I1(12-1C)</t>
  </si>
  <si>
    <t>12.5 mm. thick cement sand plaster work 1:3 on wall.</t>
  </si>
  <si>
    <t>I1(12-1D)</t>
  </si>
  <si>
    <t>I4(12-4A)</t>
  </si>
  <si>
    <t>I4(12-4B)</t>
  </si>
  <si>
    <t>I4(12-4C)</t>
  </si>
  <si>
    <t>I5(12-5)</t>
  </si>
  <si>
    <t>I5(12-6)</t>
  </si>
  <si>
    <t>I7(12-1B)</t>
  </si>
  <si>
    <t>I7(12-1C)</t>
  </si>
  <si>
    <t>A - SITE PREPARATION WORK</t>
  </si>
  <si>
    <t>B -  EARTH &amp; SAND WORK</t>
  </si>
  <si>
    <t>C - MASONRY WORK</t>
  </si>
  <si>
    <t>D - CEMENT CONCRETE  WORK</t>
  </si>
  <si>
    <t xml:space="preserve">E - FORM &amp; PROPS WORK </t>
  </si>
  <si>
    <t>E - FORM &amp; PROPS WORK</t>
  </si>
  <si>
    <t>F - ROOFING WORK</t>
  </si>
  <si>
    <t>G - DOOR &amp; WINDOW WORK</t>
  </si>
  <si>
    <t>H - FLOORING WORK</t>
  </si>
  <si>
    <t>I - PLASTER &amp; POINTING WORK</t>
  </si>
  <si>
    <t>I8(14-1A)</t>
  </si>
  <si>
    <t>I8(14-1B)</t>
  </si>
  <si>
    <t>I8(14-1C)</t>
  </si>
  <si>
    <t>I9(14-2A)</t>
  </si>
  <si>
    <t>I9(14-2B)</t>
  </si>
  <si>
    <t>I10(14-3)</t>
  </si>
  <si>
    <t>(14-2C)</t>
  </si>
  <si>
    <t>I11(14-4)</t>
  </si>
  <si>
    <t>I12(14-5)</t>
  </si>
  <si>
    <t xml:space="preserve"> (14-6)</t>
  </si>
  <si>
    <t>I13(14-7)</t>
  </si>
  <si>
    <t>I14(14-8)</t>
  </si>
  <si>
    <t>I15</t>
  </si>
  <si>
    <t>20 mm thick Jhalar/pani patti making over cement plaster</t>
  </si>
  <si>
    <t>Rate analysis for :1.00 Rmtr.</t>
  </si>
  <si>
    <t>Water proofing compound</t>
  </si>
  <si>
    <t>I16</t>
  </si>
  <si>
    <t>25 mm thick roofing tile butta plaster in cement sand (1:4) work</t>
  </si>
  <si>
    <t>Sqm</t>
  </si>
  <si>
    <t>I17</t>
  </si>
  <si>
    <t>White patti plaster</t>
  </si>
  <si>
    <t>J - PAINTING WORK</t>
  </si>
  <si>
    <t>J1(13-1B)</t>
  </si>
  <si>
    <t>J1(13-1C)</t>
  </si>
  <si>
    <t>J2(13-2)</t>
  </si>
  <si>
    <t>J3(13-3AB)</t>
  </si>
  <si>
    <t>J3(13-3ABC)</t>
  </si>
  <si>
    <t>Distemper Powder</t>
  </si>
  <si>
    <t>J3(13-3B)</t>
  </si>
  <si>
    <t>J3(13-3BC)</t>
  </si>
  <si>
    <t>J4(13-4A)</t>
  </si>
  <si>
    <t>J4(13-4B)</t>
  </si>
  <si>
    <t>J5(13-5AB)</t>
  </si>
  <si>
    <t>J5(13-5ABC)</t>
  </si>
  <si>
    <t>J6(13-6)</t>
  </si>
  <si>
    <t>J7(13-8A)</t>
  </si>
  <si>
    <t>J7(13-8AB)</t>
  </si>
  <si>
    <t>J8(13-9A)</t>
  </si>
  <si>
    <t>J8(13-9AB)</t>
  </si>
  <si>
    <t>J9(13-10A)</t>
  </si>
  <si>
    <t>J9(13-10B)</t>
  </si>
  <si>
    <t>J10(13-11)</t>
  </si>
  <si>
    <t>J11(13-4C)</t>
  </si>
  <si>
    <t>J12(13-12A)</t>
  </si>
  <si>
    <t>J12(13-12AB)</t>
  </si>
  <si>
    <t>J16(13-5B)</t>
  </si>
  <si>
    <t>J15(5-5)</t>
  </si>
  <si>
    <t>J17(13-5BC)</t>
  </si>
  <si>
    <t>J18(13-5B)</t>
  </si>
  <si>
    <t>J19(13-5BC)</t>
  </si>
  <si>
    <t>J20(13-6)</t>
  </si>
  <si>
    <t>J21(13-6)</t>
  </si>
  <si>
    <t>J22(13-7)</t>
  </si>
  <si>
    <t>J23(13-7)</t>
  </si>
  <si>
    <t>J26</t>
  </si>
  <si>
    <t>K - Damp proofing work</t>
  </si>
  <si>
    <t>K1(18-7)</t>
  </si>
  <si>
    <t>K2(18-8)</t>
  </si>
  <si>
    <t>K4(18-11)</t>
  </si>
  <si>
    <t>K5(18-12A)</t>
  </si>
  <si>
    <t>K5(18-12B)</t>
  </si>
  <si>
    <t>K6(18-13A)</t>
  </si>
  <si>
    <t>K6(18-13B)</t>
  </si>
  <si>
    <t>K7</t>
  </si>
  <si>
    <t>Two coat elastocret cementious elastomeric water proofing  work</t>
  </si>
  <si>
    <t>K8(18-14)</t>
  </si>
  <si>
    <t>L - MAINTAINANCE &amp; DISMANTLING  WORK</t>
  </si>
  <si>
    <t>L1(19-1)</t>
  </si>
  <si>
    <t>L2(19-2)</t>
  </si>
  <si>
    <t>L3(19-3)</t>
  </si>
  <si>
    <t>L4(19-4)</t>
  </si>
  <si>
    <t>L5(19-5)</t>
  </si>
  <si>
    <t>L6(19-6)</t>
  </si>
  <si>
    <t>L7</t>
  </si>
  <si>
    <t>Wood preservative paint</t>
  </si>
  <si>
    <t xml:space="preserve">Wood preservative paint </t>
  </si>
  <si>
    <t>L11</t>
  </si>
  <si>
    <t>L12</t>
  </si>
  <si>
    <t xml:space="preserve">Clearance work of old existing parket &amp; polishing work </t>
  </si>
  <si>
    <t>Main polish</t>
  </si>
  <si>
    <t>L13</t>
  </si>
  <si>
    <t>Rate analysis for : 1000.00 Nos.</t>
  </si>
  <si>
    <t xml:space="preserve">Clearance work of  brick from mud masonry wall &amp; stacking of brick for re-used </t>
  </si>
  <si>
    <t>L14(A)</t>
  </si>
  <si>
    <t>Pully, dori,gas cutter &amp; gas etc</t>
  </si>
  <si>
    <t>10% of Labour</t>
  </si>
  <si>
    <t xml:space="preserve">Clearance work of  brick from cement  masonry wall &amp; stacking of brick for re-used </t>
  </si>
  <si>
    <t>L14(C)</t>
  </si>
  <si>
    <t>L15(B)</t>
  </si>
  <si>
    <t>5% of Labour</t>
  </si>
  <si>
    <t>Dismantling work of R. C. C. barbed wire fencing work with earthwork excavation filling &amp; leveling</t>
  </si>
  <si>
    <t>L19(A)</t>
  </si>
  <si>
    <t>Dismantling work of IRON. barbed wire fencing work with earthwork excavation filling &amp; leveling</t>
  </si>
  <si>
    <t>L19(B)</t>
  </si>
  <si>
    <t>L19(C)</t>
  </si>
  <si>
    <t>Dismantling work of WOODEN. barbed wire fencing work with earthwork excavation filling &amp; leveling</t>
  </si>
  <si>
    <t>Dismantling work of M.S. bar from R.C.C./R.B.C.&amp; stacking upto 10 mtr.</t>
  </si>
  <si>
    <t>L21</t>
  </si>
  <si>
    <t>L22</t>
  </si>
  <si>
    <t>M - METAL, FENCING &amp; RAILING  WORK</t>
  </si>
  <si>
    <t xml:space="preserve"> M1(24-1A)</t>
  </si>
  <si>
    <t xml:space="preserve"> M2(24-1B)</t>
  </si>
  <si>
    <t xml:space="preserve"> M3</t>
  </si>
  <si>
    <t xml:space="preserve"> M4</t>
  </si>
  <si>
    <t xml:space="preserve"> M5</t>
  </si>
  <si>
    <t>Square rod 12 mm solid core</t>
  </si>
  <si>
    <t xml:space="preserve"> M6(24-2)</t>
  </si>
  <si>
    <t xml:space="preserve"> M7(24-4)</t>
  </si>
  <si>
    <t xml:space="preserve"> M8(24-3)</t>
  </si>
  <si>
    <t xml:space="preserve"> M9(24-6)</t>
  </si>
  <si>
    <t xml:space="preserve"> M10(24-7)</t>
  </si>
  <si>
    <t>Wood Sal</t>
  </si>
  <si>
    <t>M11</t>
  </si>
  <si>
    <t>M12</t>
  </si>
  <si>
    <t>Angle 4x25x25</t>
  </si>
  <si>
    <t>Angle 4x20x20</t>
  </si>
  <si>
    <t>Grill 3x20</t>
  </si>
  <si>
    <t>M13</t>
  </si>
  <si>
    <t>Supplying &amp; fixing work of 50 mm Ø MS black pipe @ 2.0 mtr with  10 S.W.G.G. I. Chain Link 2"x2" mesh size fixing in 4x20x20 mm &amp; 4x25x25 mm ms angle  frame &amp; top 3x20 mm MS  grill 15 cm height with primer coat..</t>
  </si>
  <si>
    <t>Supplying &amp; fixing work of 50 mm Ø MS black pipe @ 2.0 mtr with  7 mm Ø TMT bar mesh 62x62 mm size 4x25x25 mm ms angle frame &amp; top 3x20 mm MS  grill 15 cm height with primer coat..</t>
  </si>
  <si>
    <t>TMT reinforcement bar 7 mm Ø</t>
  </si>
  <si>
    <t>M14</t>
  </si>
  <si>
    <t>900 mm height stainless steel staircase railing work</t>
  </si>
  <si>
    <t xml:space="preserve">Stainless steel pipe 30 mm Ø </t>
  </si>
  <si>
    <t>M15</t>
  </si>
  <si>
    <t xml:space="preserve">Stainless steel pipe 38 mm Ø </t>
  </si>
  <si>
    <t>M16</t>
  </si>
  <si>
    <t>Supplying &amp; fixing work of 150x150 mm size sisham wood  ornamental post , 75x75 mm size bluster with 75x100 mm  hand rail.</t>
  </si>
  <si>
    <t xml:space="preserve">Rate analysis for : 9.00 Sqm.                   </t>
  </si>
  <si>
    <t xml:space="preserve">Wood Sisham </t>
  </si>
  <si>
    <t>Ornamental work</t>
  </si>
  <si>
    <t>M17</t>
  </si>
  <si>
    <t>M18</t>
  </si>
  <si>
    <t>Supplying &amp; fixing work of 20x20 mm  square pipe railing two nos. every trade  900 to 1000 mm height with 3"x4" sisham wood hand rail</t>
  </si>
  <si>
    <t>M19</t>
  </si>
  <si>
    <t>Supplying &amp; fixing work of 20x20 mm  square pipe railing two nos. every trade  900 to 1000 mm height with 40 mm MS black pipe  hand rail</t>
  </si>
  <si>
    <t>15 % Contractor overhead</t>
  </si>
  <si>
    <t>O - ROAD  WORK</t>
  </si>
  <si>
    <t>O2</t>
  </si>
  <si>
    <t>O1</t>
  </si>
  <si>
    <t>Hours</t>
  </si>
  <si>
    <t xml:space="preserve">Rolling work </t>
  </si>
  <si>
    <t>Rate analysis for : 100.00 Cum.</t>
  </si>
  <si>
    <t>Sand mixed gravel</t>
  </si>
  <si>
    <t xml:space="preserve">20 cm. compact sub base laying work with sand mixed gravel, load unload &amp; proper levelling. </t>
  </si>
  <si>
    <t xml:space="preserve">15 cm. compact sub base laying work with sand mixed gravel, load unload &amp; proper levelling. </t>
  </si>
  <si>
    <t xml:space="preserve">10 cm. compact sub base laying work with sand mixed gravel, load unload &amp; proper levelling. </t>
  </si>
  <si>
    <t>O3(15-9A)</t>
  </si>
  <si>
    <t>O3(15-9C)</t>
  </si>
  <si>
    <t>O3(15-9D)</t>
  </si>
  <si>
    <t xml:space="preserve"> A7</t>
  </si>
  <si>
    <t>Soil test, digging bor hole,sample collection &amp; testing all complete.</t>
  </si>
  <si>
    <t>Rate analysis for : 1.00 Nos.</t>
  </si>
  <si>
    <t>Engineer</t>
  </si>
  <si>
    <t>Helper</t>
  </si>
  <si>
    <t>Collection bag</t>
  </si>
  <si>
    <t>Assistant lab equipment with agar</t>
  </si>
  <si>
    <t>Sub engineer</t>
  </si>
  <si>
    <r>
      <t xml:space="preserve">Wood </t>
    </r>
    <r>
      <rPr>
        <b/>
        <sz val="10"/>
        <rFont val="Arial"/>
        <family val="2"/>
      </rPr>
      <t>Sal</t>
    </r>
  </si>
  <si>
    <t>Hr</t>
  </si>
  <si>
    <t>CGI Ridge Cover</t>
  </si>
  <si>
    <t>CGI Ridge Cover colour</t>
  </si>
  <si>
    <t>Sunmica board</t>
  </si>
  <si>
    <t>Square rod 12mm Ø solid core</t>
  </si>
  <si>
    <t>Flooring stone  37mm thick</t>
  </si>
  <si>
    <t>Marble power</t>
  </si>
  <si>
    <t>hr</t>
  </si>
  <si>
    <t>no</t>
  </si>
  <si>
    <t>L.S</t>
  </si>
  <si>
    <t>Assistant lab equipment with agar ( ls 2000.00 per hr.)</t>
  </si>
  <si>
    <t>Report, writing &amp; submission</t>
  </si>
  <si>
    <t>G. I. plane sheet Gutter 0.50mm thick</t>
  </si>
  <si>
    <t>G. I.Colour  plane sheet Gutter 0.50mm thick</t>
  </si>
  <si>
    <t>50% brick rate</t>
  </si>
  <si>
    <t>1.00 Cum Brick bat=438 Brick</t>
  </si>
  <si>
    <t xml:space="preserve">Rate analysis for : 1.00Rm              </t>
  </si>
  <si>
    <t>LS</t>
  </si>
  <si>
    <t>MS plate 4x20</t>
  </si>
  <si>
    <t>kgs</t>
  </si>
  <si>
    <t>Welding charge</t>
  </si>
  <si>
    <t>ls</t>
  </si>
  <si>
    <t>Rate analysis for : 2.70 Rmtr</t>
  </si>
  <si>
    <t>MS Black pipe 40mm dia.</t>
  </si>
  <si>
    <t>MS Spiral Staircase Readymade</t>
  </si>
  <si>
    <t>Rate analysis for : 1.00Rmtr</t>
  </si>
  <si>
    <t>MS grill gate 5*25 mm(40 kg/sqm) M. sheet</t>
  </si>
  <si>
    <t>Form work shuttering &amp; centering with Bamboo, plyboard for slab etc</t>
  </si>
  <si>
    <t xml:space="preserve">        af; M ^ k6s;dd k|of]u ug{ ;lsg] To;kl5 @%Ü d"No afFsL /xg] lx;fan] ul/Psf] </t>
  </si>
  <si>
    <t>(100*3/6)/6*0.75 =6.25</t>
  </si>
  <si>
    <t>25  ROAD WORK</t>
  </si>
  <si>
    <t>Expansion  joint materials</t>
  </si>
  <si>
    <t>sqm</t>
  </si>
  <si>
    <t xml:space="preserve"> </t>
  </si>
  <si>
    <t>Rm</t>
  </si>
  <si>
    <t>Rate analysis for :1.00 Rm.</t>
  </si>
  <si>
    <t>ASO Joint Tape laying Work.</t>
  </si>
  <si>
    <t>rm=720.00</t>
  </si>
  <si>
    <t xml:space="preserve">20 mm thick Sal wood planking work with 50x75 mm sal  wood frame in 600x600 mm </t>
  </si>
  <si>
    <t>t= Uoflaogsf] sfd</t>
  </si>
  <si>
    <t>P1</t>
  </si>
  <si>
    <r>
      <t>u]laog agfpg] sfd . tf/ sf6\g], a'Gg] sfd cflb ;d]t if6sf]0fLo . d]; ;fO{h *) ld=ld=</t>
    </r>
    <r>
      <rPr>
        <sz val="10"/>
        <color indexed="8"/>
        <rFont val="Arial"/>
        <family val="2"/>
      </rPr>
      <t>x</t>
    </r>
    <r>
      <rPr>
        <sz val="14"/>
        <color indexed="8"/>
        <rFont val="Himalli"/>
      </rPr>
      <t xml:space="preserve"> !)) ld=ld=, d]; tf/ ( P;=8An'=lh=, ;]nj]h tf/ ^ P;=8An'=lh=</t>
    </r>
  </si>
  <si>
    <r>
      <t xml:space="preserve">    @ ld=</t>
    </r>
    <r>
      <rPr>
        <sz val="10"/>
        <color indexed="8"/>
        <rFont val="Arial"/>
        <family val="2"/>
      </rPr>
      <t>x</t>
    </r>
    <r>
      <rPr>
        <sz val="14"/>
        <color indexed="8"/>
        <rFont val="Himalli"/>
      </rPr>
      <t xml:space="preserve"> ! ld= </t>
    </r>
    <r>
      <rPr>
        <sz val="10"/>
        <color indexed="8"/>
        <rFont val="Arial"/>
        <family val="2"/>
      </rPr>
      <t xml:space="preserve">x </t>
    </r>
    <r>
      <rPr>
        <sz val="14"/>
        <color indexed="8"/>
        <rFont val="Himalli"/>
      </rPr>
      <t>! ld= afs;</t>
    </r>
  </si>
  <si>
    <t>k|lt afs;</t>
  </si>
  <si>
    <t>l;kfn'</t>
  </si>
  <si>
    <t xml:space="preserve">;+Vof </t>
  </si>
  <si>
    <t>)=%))</t>
  </si>
  <si>
    <t>lh=cfO{=tf/</t>
  </si>
  <si>
    <t>HofdL</t>
  </si>
  <si>
    <t>;+Vof</t>
  </si>
  <si>
    <t>)=@))</t>
  </si>
  <si>
    <t>;]nj]h tf/</t>
  </si>
  <si>
    <r>
      <t xml:space="preserve">    # ld=</t>
    </r>
    <r>
      <rPr>
        <sz val="10"/>
        <color indexed="8"/>
        <rFont val="Arial"/>
        <family val="2"/>
      </rPr>
      <t>x</t>
    </r>
    <r>
      <rPr>
        <sz val="14"/>
        <color indexed="8"/>
        <rFont val="Himalli"/>
      </rPr>
      <t xml:space="preserve"> ! ld= </t>
    </r>
    <r>
      <rPr>
        <sz val="10"/>
        <color indexed="8"/>
        <rFont val="Arial"/>
        <family val="2"/>
      </rPr>
      <t xml:space="preserve">x </t>
    </r>
    <r>
      <rPr>
        <sz val="14"/>
        <color indexed="8"/>
        <rFont val="Himalli"/>
      </rPr>
      <t>! ld= afs;</t>
    </r>
  </si>
  <si>
    <t>)=&amp;))</t>
  </si>
  <si>
    <t>lh=cfO{ tf/</t>
  </si>
  <si>
    <t>)=@*)</t>
  </si>
  <si>
    <r>
      <t xml:space="preserve">    @ ld=</t>
    </r>
    <r>
      <rPr>
        <sz val="10"/>
        <color indexed="8"/>
        <rFont val="Arial"/>
        <family val="2"/>
      </rPr>
      <t>x</t>
    </r>
    <r>
      <rPr>
        <sz val="14"/>
        <color indexed="8"/>
        <rFont val="Himalli"/>
      </rPr>
      <t xml:space="preserve"> ! ld= </t>
    </r>
    <r>
      <rPr>
        <sz val="10"/>
        <color indexed="8"/>
        <rFont val="Arial"/>
        <family val="2"/>
      </rPr>
      <t xml:space="preserve">x </t>
    </r>
    <r>
      <rPr>
        <sz val="14"/>
        <color indexed="8"/>
        <rFont val="Himalli"/>
      </rPr>
      <t>)=% ld= afs;</t>
    </r>
  </si>
  <si>
    <t>)=#%)</t>
  </si>
  <si>
    <t>)=!$)</t>
  </si>
  <si>
    <r>
      <t xml:space="preserve">    # ld=</t>
    </r>
    <r>
      <rPr>
        <sz val="10"/>
        <color indexed="8"/>
        <rFont val="Arial"/>
        <family val="2"/>
      </rPr>
      <t>x</t>
    </r>
    <r>
      <rPr>
        <sz val="14"/>
        <color indexed="8"/>
        <rFont val="Himalli"/>
      </rPr>
      <t xml:space="preserve"> ! ld= </t>
    </r>
    <r>
      <rPr>
        <sz val="10"/>
        <color indexed="8"/>
        <rFont val="Arial"/>
        <family val="2"/>
      </rPr>
      <t xml:space="preserve">x </t>
    </r>
    <r>
      <rPr>
        <sz val="14"/>
        <color indexed="8"/>
        <rFont val="Himalli"/>
      </rPr>
      <t>)=% ld= afs;</t>
    </r>
  </si>
  <si>
    <r>
      <t xml:space="preserve">    @ ld=</t>
    </r>
    <r>
      <rPr>
        <sz val="10"/>
        <color indexed="8"/>
        <rFont val="Arial"/>
        <family val="2"/>
      </rPr>
      <t>x</t>
    </r>
    <r>
      <rPr>
        <sz val="14"/>
        <color indexed="8"/>
        <rFont val="Himalli"/>
      </rPr>
      <t xml:space="preserve"> ! ld= </t>
    </r>
    <r>
      <rPr>
        <sz val="10"/>
        <color indexed="8"/>
        <rFont val="Arial"/>
        <family val="2"/>
      </rPr>
      <t xml:space="preserve">x </t>
    </r>
    <r>
      <rPr>
        <sz val="14"/>
        <color indexed="8"/>
        <rFont val="Himalli"/>
      </rPr>
      <t>)=# ld= afs;</t>
    </r>
  </si>
  <si>
    <t>)=@()</t>
  </si>
  <si>
    <t>)=!@)</t>
  </si>
  <si>
    <r>
      <t xml:space="preserve">    # ld=</t>
    </r>
    <r>
      <rPr>
        <sz val="10"/>
        <color indexed="8"/>
        <rFont val="Arial"/>
        <family val="2"/>
      </rPr>
      <t>x</t>
    </r>
    <r>
      <rPr>
        <sz val="14"/>
        <color indexed="8"/>
        <rFont val="Himalli"/>
      </rPr>
      <t xml:space="preserve"> ! ld= </t>
    </r>
    <r>
      <rPr>
        <sz val="10"/>
        <color indexed="8"/>
        <rFont val="Arial"/>
        <family val="2"/>
      </rPr>
      <t xml:space="preserve">x </t>
    </r>
    <r>
      <rPr>
        <sz val="14"/>
        <color indexed="8"/>
        <rFont val="Himalli"/>
      </rPr>
      <t>)=# ld= afs;</t>
    </r>
  </si>
  <si>
    <t>)=$@)</t>
  </si>
  <si>
    <t>)=!&amp;)</t>
  </si>
  <si>
    <t>P2</t>
  </si>
  <si>
    <r>
      <t>u]laog agfpg] sfd . tf/ sf6\g], a'Gg] sfd cflb ;d]t if6sf]0fLo . d]; ;fOh !)) ld=ld=</t>
    </r>
    <r>
      <rPr>
        <sz val="10"/>
        <color indexed="8"/>
        <rFont val="Arial"/>
        <family val="2"/>
      </rPr>
      <t xml:space="preserve">x </t>
    </r>
    <r>
      <rPr>
        <sz val="14"/>
        <color indexed="8"/>
        <rFont val="Himalli"/>
      </rPr>
      <t>!@) ld=ld=, d]; tf/ ( P;=8An'=lh=, ;]nj]h tf/ ^ P;=8An'=lh=</t>
    </r>
  </si>
  <si>
    <t>)=$%)</t>
  </si>
  <si>
    <t>)=^#)</t>
  </si>
  <si>
    <t>)=#@)</t>
  </si>
  <si>
    <t>)=@^)</t>
  </si>
  <si>
    <t>)=#&amp;)</t>
  </si>
  <si>
    <t>P3</t>
  </si>
  <si>
    <t>u]leog lgdf{0f ug]{ sfd 7fp“df /fVg], tGsfpg], tf/åf/f u]leog af“Wg] / dflyaf6 aGb ug]{ ;d]t af“Wg] tf/ !! P;=8An'=lh=</t>
  </si>
  <si>
    <t>)=$))</t>
  </si>
  <si>
    <t>af+Wg] tf/</t>
  </si>
  <si>
    <t>)=^))</t>
  </si>
  <si>
    <t>)=#))</t>
  </si>
  <si>
    <t>)=!*)</t>
  </si>
  <si>
    <t>P4</t>
  </si>
  <si>
    <t>u]leog œfm]6df 9'·f eg]{  sfd .</t>
  </si>
  <si>
    <t>3=ld=</t>
  </si>
  <si>
    <t>9'·f</t>
  </si>
  <si>
    <t>Per Box</t>
  </si>
  <si>
    <t>Gabion making work with wire cutting,weaving,Hexagonal mess size: 80x100mm,mess wire 10 swg selwage wire 9swg,Gabion box (3.0x1.0x0.5 ) &amp; Gabion fixing wearing all complete work.</t>
  </si>
  <si>
    <t>Selwage wire 9swg</t>
  </si>
  <si>
    <t>Binding wire 11swg</t>
  </si>
  <si>
    <t>Supplying &amp; filling of Boulder in Gabion  box (3.0x1.0x0.5 ) &amp; Gabion fixing wearing all complete work.</t>
  </si>
  <si>
    <t>cum</t>
  </si>
  <si>
    <r>
      <t>fixing of existing Barbed wire 14 gauge</t>
    </r>
    <r>
      <rPr>
        <i/>
        <sz val="9"/>
        <rFont val="Arial"/>
        <family val="2"/>
      </rPr>
      <t xml:space="preserve"> including hooks, nails etc</t>
    </r>
  </si>
  <si>
    <t>9-kha</t>
  </si>
  <si>
    <t>Gabion making work with wire cutting,weaving,Square mess size: 150x150mm,mess wire 10 swg selwage wire 9swg,Gabion box (3.0x1.5x0.75 ) &amp; Gabion fixing wearing all complete work.</t>
  </si>
  <si>
    <t>Supplying &amp; filling of Boulder in Gabion  box (3.0x1.5x0.75 ) &amp; Gabion fixing wearing all complete work.</t>
  </si>
  <si>
    <r>
      <t>Stone filling in trench with proper leveling (</t>
    </r>
    <r>
      <rPr>
        <b/>
        <i/>
        <sz val="9"/>
        <color indexed="10"/>
        <rFont val="Arial"/>
        <family val="2"/>
      </rPr>
      <t>Ex.Boulder Used</t>
    </r>
    <r>
      <rPr>
        <b/>
        <i/>
        <sz val="9"/>
        <rFont val="Arial"/>
        <family val="2"/>
      </rPr>
      <t>)</t>
    </r>
  </si>
  <si>
    <t>Gravel (sand mixed)</t>
  </si>
  <si>
    <t>Gravel Sand mixed (agg-50% + sand 50%) filling work with  proper manual compaction.</t>
  </si>
  <si>
    <t>Hrs</t>
  </si>
  <si>
    <t xml:space="preserve"> B5</t>
  </si>
  <si>
    <t xml:space="preserve">Compaction of filled earth by 8-10 M.T. roller in 20/20 cm layer </t>
  </si>
  <si>
    <t xml:space="preserve">Compaction of filled earth by 1.00 M.T. Hand roller in 20/20 cm layer </t>
  </si>
  <si>
    <t>Nos</t>
  </si>
  <si>
    <t>3.15a</t>
  </si>
  <si>
    <t>3.14a</t>
  </si>
  <si>
    <t>7.04a</t>
  </si>
  <si>
    <t>`</t>
  </si>
  <si>
    <t xml:space="preserve">sub base laying work with sand mixed gravel, load unload &amp; proper levelling. </t>
  </si>
  <si>
    <t>Rate analysis for : 1.00Cum</t>
  </si>
  <si>
    <t>Linseed oil paint</t>
  </si>
  <si>
    <t>Oxalic acid powder</t>
  </si>
  <si>
    <t>Teak ply 12mm</t>
  </si>
  <si>
    <t>-</t>
  </si>
  <si>
    <t xml:space="preserve">Expanded metal </t>
  </si>
  <si>
    <t>Brick chimney</t>
  </si>
  <si>
    <t>Unskilled ( for Scaffolding )</t>
  </si>
  <si>
    <t>Scaffolding material</t>
  </si>
  <si>
    <t>3 % of Scaffolding labour</t>
  </si>
  <si>
    <t>P.C.C. (1:4:8) work in foundation, wall (River bed)</t>
  </si>
  <si>
    <t>P.C.C. (1:3:6) work in foundation, wall (River bed)</t>
  </si>
  <si>
    <t>P.C.C. (1:2:4) work in foundation, wall (River bed)</t>
  </si>
  <si>
    <t>P.C.C. (1:2:4) for R.C.C. work in slab, beam etc (River bed)</t>
  </si>
  <si>
    <t>P.C.C. (1:1½:3) for R.C.C. work in slab, beam etc (River bed)</t>
  </si>
  <si>
    <t>P.C.C. (1:1:2) for R.C.C. work in slab, beam etc (River bed)</t>
  </si>
  <si>
    <t>P.C.C. (1:3:6) work (USED MACHINE) in foundation, wall (River bed)</t>
  </si>
  <si>
    <t>P.C.C. (1:2:4) work (USED MACHINE) in foundation, wall (River bed)</t>
  </si>
  <si>
    <t>P.C.C. (1:1½:3) for R.C.C. work(USED MACHINE) in slab, beam etc (River bed)</t>
  </si>
  <si>
    <t>P.C.C. (1:1:2) for R.C.C. work(USED MACHINE) in slab, beam etc (River bed)</t>
  </si>
  <si>
    <t>P.C.C. (1:1:2) for R.C.C. work in slab (River bed) with micro  silica &amp; super plasticiser</t>
  </si>
  <si>
    <t xml:space="preserve">Diesel </t>
  </si>
  <si>
    <t>Diesel</t>
  </si>
  <si>
    <t>3 mm thick neat Plaster of Paris punning work.</t>
  </si>
  <si>
    <t>Plaster of Paris</t>
  </si>
  <si>
    <t>Bitumen washer</t>
  </si>
  <si>
    <t>One coat Bitumen  painting work .</t>
  </si>
  <si>
    <t>Bitumen paint</t>
  </si>
  <si>
    <t>Two coat Bitumen  painting work .</t>
  </si>
  <si>
    <t>Bitumen</t>
  </si>
  <si>
    <t>One coat rain Crystallization seal paint or equivalent paint work.</t>
  </si>
  <si>
    <t xml:space="preserve">Crystallization  seal </t>
  </si>
  <si>
    <t xml:space="preserve">Expansion Joint Works: -  Chipping  and laying thermocol in the hole,  masking tape on the  thermocol and plaster with mixing  Perma Bond SBR or eqv.  modified mortar up to 40 mm wide and  levelling all complete. </t>
  </si>
  <si>
    <t>Earth work excavation in foundation in SOFT SOIL(USED 0.80 CUM. CAPACITY Hydraulic EXCAVATOR)</t>
  </si>
  <si>
    <t>Earth work excavation in foundation in HARD SOIL USED 0.80 CUM. CAPACITY Hydraulic EXCAVATOR)</t>
  </si>
  <si>
    <t>Earth work excavation in foundation in HARD SOIL Used 0.80 Cum capecity Hydraulic excavator</t>
  </si>
  <si>
    <t>Earth work excavation in foundation in SOFT SOILUsed 1.32Cum capecity Hydraulic excavator</t>
  </si>
  <si>
    <t>Earth work excavation in foundation in HARD SOIL Used 1.32Cum capecity Hydraulic excavator</t>
  </si>
  <si>
    <t>Hydraulic Excavator 0.80 Cum.</t>
  </si>
  <si>
    <t>Hydraulic Excavator 1.32 Cum.</t>
  </si>
  <si>
    <t>Mosquito proof  &amp; Expanded metal net fixing work with wooden listies.</t>
  </si>
  <si>
    <t>One coat double boiled Linseed oil  painting work .</t>
  </si>
  <si>
    <t>Two coat double boiled Linseed oil  painting work .</t>
  </si>
  <si>
    <t xml:space="preserve">Ply wood 12 mm thick commercial </t>
  </si>
  <si>
    <t xml:space="preserve">Clearance work of  stone from cement  masonry wall &amp; stacking of stone for re-used </t>
  </si>
  <si>
    <t xml:space="preserve">Clearance work of  stone from mud masonry wall &amp; stacking of stone for re-used </t>
  </si>
  <si>
    <t>12.13a</t>
  </si>
  <si>
    <t>P.C.C. (1:2:4) Plum supply of matarials hulage distance all complete. work in foundation, wall (River bed)</t>
  </si>
  <si>
    <t>Aggrigate 40 mm-River bed &amp; Stone block</t>
  </si>
  <si>
    <t>12"</t>
  </si>
  <si>
    <t>MT</t>
  </si>
  <si>
    <t>[Civil Works ]</t>
  </si>
  <si>
    <t>with tax</t>
  </si>
  <si>
    <t>10.25(A)</t>
  </si>
  <si>
    <t>5.06(A)</t>
  </si>
  <si>
    <t>Road hand roller 1.0 M.T.</t>
  </si>
  <si>
    <t>g]kfn ;/sf/</t>
  </si>
  <si>
    <t>zx/L ljsf; dGqfno</t>
  </si>
  <si>
    <t>zx/L ljsf; tyf ejg lgdf{0f ljefu</t>
  </si>
  <si>
    <t>l;len</t>
  </si>
  <si>
    <t>k|dfl0ft ug]{ M–</t>
  </si>
  <si>
    <t>False ceiling of 6 mm thick commerical plywood  with 50 mm x 75 mm size local wood frame of box size 0.600 x 0.900 m and fixing of wooden listy in joints</t>
  </si>
  <si>
    <t>Local Material Collection</t>
  </si>
  <si>
    <r>
      <t>Chisel Dressed Stones per m</t>
    </r>
    <r>
      <rPr>
        <b/>
        <vertAlign val="superscript"/>
        <sz val="11"/>
        <rFont val="Times New Roman"/>
        <family val="1"/>
      </rPr>
      <t>3</t>
    </r>
  </si>
  <si>
    <t>Collection and Dressing</t>
  </si>
  <si>
    <t>md</t>
  </si>
  <si>
    <t>Transportation</t>
  </si>
  <si>
    <r>
      <t>Tractor</t>
    </r>
    <r>
      <rPr>
        <sz val="8"/>
        <rFont val="Times New Roman"/>
        <family val="1"/>
      </rPr>
      <t xml:space="preserve"> ( 17.5qtlX12kmX1.2Rs)</t>
    </r>
  </si>
  <si>
    <t>m3</t>
  </si>
  <si>
    <r>
      <t>Cost per m</t>
    </r>
    <r>
      <rPr>
        <b/>
        <vertAlign val="superscript"/>
        <sz val="10"/>
        <rFont val="Times New Roman"/>
        <family val="1"/>
      </rPr>
      <t xml:space="preserve">3  </t>
    </r>
    <r>
      <rPr>
        <b/>
        <sz val="10"/>
        <rFont val="Times New Roman"/>
        <family val="1"/>
      </rPr>
      <t>for collecting and chisel dressing stones</t>
    </r>
  </si>
  <si>
    <r>
      <t>Hammer Dressed Stone per m</t>
    </r>
    <r>
      <rPr>
        <b/>
        <vertAlign val="superscript"/>
        <sz val="11"/>
        <rFont val="Times New Roman"/>
        <family val="1"/>
      </rPr>
      <t>3</t>
    </r>
  </si>
  <si>
    <r>
      <t>Cost per m</t>
    </r>
    <r>
      <rPr>
        <b/>
        <vertAlign val="superscript"/>
        <sz val="10"/>
        <rFont val="Times New Roman"/>
        <family val="1"/>
      </rPr>
      <t xml:space="preserve">3  </t>
    </r>
    <r>
      <rPr>
        <b/>
        <sz val="10"/>
        <rFont val="Times New Roman"/>
        <family val="1"/>
      </rPr>
      <t>for collecting and hammer dressing stones</t>
    </r>
  </si>
  <si>
    <r>
      <t>Broken Stones per m</t>
    </r>
    <r>
      <rPr>
        <b/>
        <vertAlign val="superscript"/>
        <sz val="11"/>
        <rFont val="Times New Roman"/>
        <family val="1"/>
      </rPr>
      <t>3</t>
    </r>
  </si>
  <si>
    <t>Collection and breaking</t>
  </si>
  <si>
    <t xml:space="preserve">Truck (1truck=m3) </t>
  </si>
  <si>
    <r>
      <t>Cost per m</t>
    </r>
    <r>
      <rPr>
        <b/>
        <vertAlign val="superscript"/>
        <sz val="10"/>
        <rFont val="Times New Roman"/>
        <family val="1"/>
      </rPr>
      <t xml:space="preserve">3  </t>
    </r>
    <r>
      <rPr>
        <b/>
        <sz val="10"/>
        <rFont val="Times New Roman"/>
        <family val="1"/>
      </rPr>
      <t>for collecting and breaking stones</t>
    </r>
  </si>
  <si>
    <r>
      <t>1</t>
    </r>
    <r>
      <rPr>
        <b/>
        <sz val="10"/>
        <rFont val="Times New Roman"/>
        <family val="1"/>
      </rPr>
      <t xml:space="preserve"> Apply District Rates</t>
    </r>
  </si>
  <si>
    <t xml:space="preserve">COST ESTIMATE: </t>
  </si>
  <si>
    <t>Rate Analysis (page 3)</t>
  </si>
  <si>
    <t>Unit Quantity</t>
  </si>
  <si>
    <r>
      <t>Rate</t>
    </r>
    <r>
      <rPr>
        <b/>
        <vertAlign val="superscript"/>
        <sz val="10"/>
        <rFont val="Times New Roman"/>
        <family val="1"/>
      </rPr>
      <t>1</t>
    </r>
  </si>
  <si>
    <t>Unit Cost</t>
  </si>
  <si>
    <r>
      <t>Sand pe m</t>
    </r>
    <r>
      <rPr>
        <b/>
        <vertAlign val="superscript"/>
        <sz val="11"/>
        <rFont val="Times New Roman"/>
        <family val="1"/>
      </rPr>
      <t>3</t>
    </r>
  </si>
  <si>
    <t xml:space="preserve">Labour           </t>
  </si>
  <si>
    <r>
      <t>Tractor</t>
    </r>
    <r>
      <rPr>
        <sz val="8"/>
        <rFont val="Times New Roman"/>
        <family val="1"/>
      </rPr>
      <t xml:space="preserve"> ( 17.5qtlX60kmX1.2Rs)</t>
    </r>
  </si>
  <si>
    <r>
      <t>Cost per m</t>
    </r>
    <r>
      <rPr>
        <b/>
        <vertAlign val="superscript"/>
        <sz val="10"/>
        <rFont val="Times New Roman"/>
        <family val="1"/>
      </rPr>
      <t xml:space="preserve">3 </t>
    </r>
    <r>
      <rPr>
        <b/>
        <sz val="10"/>
        <rFont val="Times New Roman"/>
        <family val="1"/>
      </rPr>
      <t>for collecting and hauling sand</t>
    </r>
  </si>
  <si>
    <t>Gravel (Broken)</t>
  </si>
  <si>
    <t>Labour                         Breaking of gravel</t>
  </si>
  <si>
    <r>
      <t>Cost per m</t>
    </r>
    <r>
      <rPr>
        <b/>
        <vertAlign val="superscript"/>
        <sz val="10"/>
        <rFont val="Times New Roman"/>
        <family val="1"/>
      </rPr>
      <t xml:space="preserve">3 </t>
    </r>
    <r>
      <rPr>
        <b/>
        <sz val="10"/>
        <rFont val="Times New Roman"/>
        <family val="1"/>
      </rPr>
      <t>for breaking gravel</t>
    </r>
  </si>
  <si>
    <t>Nurms used in this is derieved from DoLIDAR  used for Trail bridge</t>
  </si>
  <si>
    <t>Sand crusher</t>
  </si>
  <si>
    <t>s_ l;kfn'</t>
  </si>
  <si>
    <t>v_ HofdL</t>
  </si>
  <si>
    <t>Alluminium framed Sliding window Without ventilator  ( Aluminium :- Natural anodised 101mmx45mm x1.50mm , Glass 5mm clear)</t>
  </si>
  <si>
    <t>Alluminium framed Sliding window With ventilator  ( Aluminium :- Natural anodised 101mmx45mm x1.5mm , Glass 5mm clear)</t>
  </si>
  <si>
    <t>Alluminium framed Sliding Door ( Aluminium :- Natural anodised 101mmx45mm x1.5mm ,) with sash 40*45*1.5mm and 5mm glass</t>
  </si>
  <si>
    <t xml:space="preserve"> Casement double panel aluminium window With ventilator section of ( 54mmx33mm x1.5)mm with sash 38*34*1.5mm with Glass 5mm </t>
  </si>
  <si>
    <t xml:space="preserve">Alluminium Casement Door section of ( 101mmx45mm x1.1)mm sash 40*45*1.1mm &amp; Glass 5mm </t>
  </si>
  <si>
    <t xml:space="preserve">Alluminium framed Swing Door section of (101mmx45mm x1.5)mm &amp; Glass 5mm clear </t>
  </si>
  <si>
    <t xml:space="preserve">Alluminium framed Sliding window 2 track section of (88mmx38mm x1.5)mm &amp; Glass 5mm </t>
  </si>
  <si>
    <t>Alluminium fixed window and partition with fixed ventilator from 9mm bord and section (101mmx45mm x1.5)mm</t>
  </si>
  <si>
    <t>Alluminium partition with 5mm thick glass &amp; 9mm thick laminated bord of section (101mmx45mm x1.5)mm</t>
  </si>
  <si>
    <t>Alluminium partition with 5mm thick glass &amp; 9mm thick laminated bord of section (64mmx38mm x1.1)mm</t>
  </si>
  <si>
    <t>False ceiling by Gypsum, Gypsum board 12.5 mm With providing,finisging og joint with compound &amp; tape all complete</t>
  </si>
  <si>
    <t>b/ ljZn]if0f, wg'iff</t>
  </si>
  <si>
    <t xml:space="preserve">tof/ ug]{ M– </t>
  </si>
  <si>
    <t xml:space="preserve">r]s hfFr ug]{ M–  </t>
  </si>
  <si>
    <t>hgsk'/wfd, wg'iff</t>
  </si>
  <si>
    <t>width=0.60m</t>
  </si>
  <si>
    <t xml:space="preserve">Different size MS plate </t>
  </si>
  <si>
    <t>Carborundam Stone(Sharpenning Stone)</t>
  </si>
  <si>
    <t>Alluminium fixed panel window With ventilation but without fly mesh shutter from section( 88mmx38.1mm x1.3mm , Glass 5mm)</t>
  </si>
  <si>
    <t>Alluminium fixed panel window With Ventilation with fly mesh shutter from section(88mmx38.1mm x1.3mm , Glass 5mm )</t>
  </si>
  <si>
    <t>white putting</t>
  </si>
  <si>
    <t>MS grill 4.5*20 mm (21.5 kg/sqm)</t>
  </si>
  <si>
    <t xml:space="preserve">Stainless steel pipe 25 mm Ø </t>
  </si>
  <si>
    <t>Aluminium Door and Window</t>
  </si>
  <si>
    <t xml:space="preserve">ldlt M– </t>
  </si>
  <si>
    <t>clay tile(Machine Made)</t>
  </si>
  <si>
    <t>rate code</t>
  </si>
  <si>
    <t>25mm thick roofing tile butta plaster</t>
  </si>
  <si>
    <t>;+3Lo cfof]hgf sfof{Gjog OsfO{</t>
  </si>
  <si>
    <t xml:space="preserve">                                                                                                                                                                                                                      </t>
  </si>
  <si>
    <t xml:space="preserve">HofdL </t>
  </si>
  <si>
    <t>b}lgs</t>
  </si>
  <si>
    <t xml:space="preserve">el/of </t>
  </si>
  <si>
    <t>l;kfn' sfdbf/-l;sdL{,8sdL{,gsdL{,ah|sdL{, lrq sf/,KnDa/,On]S6«Ll;og,d]s]lgs,Anfi6/, j]N8/_</t>
  </si>
  <si>
    <t>cw{ l;kfn' sfdbf/-l;sdL{,8sdL{,gsdL{, ah|sdL{, lrqsf/,KnDa/, On]S6«Ll;og,d]s]lgs, Anfi6/, j]N8/_</t>
  </si>
  <si>
    <t>;j]{ x]Nk/</t>
  </si>
  <si>
    <t>SofDk js{/</t>
  </si>
  <si>
    <t>SofDk js{/ -gfkL sfo{sf] nflu_</t>
  </si>
  <si>
    <t>kfn] rf}sLbf/</t>
  </si>
  <si>
    <t>d]:t/</t>
  </si>
  <si>
    <t>h+hL/bf/</t>
  </si>
  <si>
    <t>;'k/efOh/ ;fwf/0f</t>
  </si>
  <si>
    <t>;8s lgdf{0fsf] nflu ;'k/efO{h/</t>
  </si>
  <si>
    <t>;'k/efOh/ -lgdf{0f sfo{sf] nflu_</t>
  </si>
  <si>
    <t>;'k/efOh/, lkmN8 cl;:6}06, u}h l/8/, ;}Dkn/ -vl/bf/ ;/x k|fljlws_</t>
  </si>
  <si>
    <t>;'k/efOh/ tflnd k|fKt, gf=;' ;/x</t>
  </si>
  <si>
    <t>cf}iflw 5g]{ -:k|]o/ _</t>
  </si>
  <si>
    <t>kmf]/d}g -cf}iflw 5g]{_</t>
  </si>
  <si>
    <t>;8s sfnf]kq] ug]{ HofdL</t>
  </si>
  <si>
    <t>sDKo"6/ ck/]6/ -gf=;'= :t/_</t>
  </si>
  <si>
    <t>sDKo"6/ ck/]6/ -vl/bf/ :t/_</t>
  </si>
  <si>
    <t>8«fOe/ -x]eL ;jf/L rfns_</t>
  </si>
  <si>
    <t>8«fOe/ -xn'sf ;jf/L rfns_</t>
  </si>
  <si>
    <t>O{l~hlgo/ -clws[t :t/_</t>
  </si>
  <si>
    <t>;j—O{l~hlgo/, h]=l6 -gf=;'= :t/_</t>
  </si>
  <si>
    <t>c=;a–O{lGhgLo/÷6fOlki6÷h]=l6=P –vl/bf/ :t/</t>
  </si>
  <si>
    <t>g;{/L gfO{s]÷jg x]/fn'</t>
  </si>
  <si>
    <t>ljleGg ;fOhsf] tf/hfnL–nf]8 ug]{ jf cgnf]8 ug]{</t>
  </si>
  <si>
    <t>uf]6f</t>
  </si>
  <si>
    <t>ljleGg u]hsf] tf/–nf]8 ug]{ jf cgnf]8 ug]{</t>
  </si>
  <si>
    <t>k|lt %) s]=hL=</t>
  </si>
  <si>
    <t>lhof] a}u–nf]8 ug]{ jf cgnf]8 ug]{</t>
  </si>
  <si>
    <t>k|lt !))) yfg</t>
  </si>
  <si>
    <t>gfO{ng qm]6–nf]8 ug]{ jf cgnf]8 ug]{</t>
  </si>
  <si>
    <t>gf]6 M–</t>
  </si>
  <si>
    <t xml:space="preserve">!_ o; afx]s cGo kbx?df egf{ u/L Hofnfbf/Ldf sfd nufpFbf h'g kbdf sfd u/fpg] xf], ;f] kbdf g]kfn ;/sf/n] lgwf{/0f u/]sf] z'? tna :s]nnfO{ @% n] efu ubf{ cfpg] /sdnfO b}lgs Hofnf sfod ug]{ </t>
  </si>
  <si>
    <t>@_ sfdbf/sf] sfd ug]{ ;do lbgsf] * 306f x'g]5 .</t>
  </si>
  <si>
    <t>#_ el/ofn] ! lbgdf $) s]=hL=;Dd ef/L af]sL $ sf]if b"/L ;Dd to ug{' kg]{5 .</t>
  </si>
  <si>
    <t>$_ lgwf{/0f ul/Psf] b//]6df d"No clej[l4 s/ ;dfj]z ul/Psf] 5}g .</t>
  </si>
  <si>
    <t>3=dL=</t>
  </si>
  <si>
    <t>s]=hL=</t>
  </si>
  <si>
    <t>;]tf] l;d]G6</t>
  </si>
  <si>
    <t>j=dL=</t>
  </si>
  <si>
    <t>Pre-cast Structure</t>
  </si>
  <si>
    <t>2 Inch Pre stress precast concrete toilet wall and ceiling panel</t>
  </si>
  <si>
    <t>Pre stress precast concrete compound wall</t>
  </si>
  <si>
    <t>Pre stress precast concrete fencing pole (4"*4")</t>
  </si>
  <si>
    <t>Pre stress precast concrete fencing pole (5"*5")</t>
  </si>
  <si>
    <t>Alluminium fixed panel window With ventilation but without fly mesh shutter from section( 78mmx38.1mm x1.1mm , Glass 4.75 -5mm</t>
  </si>
  <si>
    <t>Alluminium fixed panel window With ventilation but without fly mesh shutter from section( 88mmx38.1mm x1.3mm , Glass 4.75-5mm)</t>
  </si>
  <si>
    <t>Alluminium fixed panel window With Ventilation with fly mesh shutter from section(88mmx38.1mm x1.3mm , Glass 4.75-5mm )</t>
  </si>
  <si>
    <t>Alluminium framed Sliding window Without ventilator ( Aluminium :- Natural anodised 101mmx45mm x1.50mm , Glass 4.75-5mm clear)</t>
  </si>
  <si>
    <t>Price List of HDPE Pipe</t>
  </si>
  <si>
    <t>Pipe size (Outer side Ø mm)</t>
  </si>
  <si>
    <t>Series II 2.5Kg/sqcm</t>
  </si>
  <si>
    <t>Series III    4Kg/sqcm</t>
  </si>
  <si>
    <t>Series IV  6Kg/sqcm</t>
  </si>
  <si>
    <t>Series V  10Kg/sqcm</t>
  </si>
  <si>
    <t>Ave.Wt. kg/m</t>
  </si>
  <si>
    <t>Price Rs./m</t>
  </si>
  <si>
    <t>Contractor Rate</t>
  </si>
  <si>
    <t>16mm</t>
  </si>
  <si>
    <t>–</t>
  </si>
  <si>
    <t>20mm</t>
  </si>
  <si>
    <t>1/2"</t>
  </si>
  <si>
    <t>25mm</t>
  </si>
  <si>
    <t>3/4"</t>
  </si>
  <si>
    <t>32mm</t>
  </si>
  <si>
    <t>1"</t>
  </si>
  <si>
    <t>40mm</t>
  </si>
  <si>
    <t>1-1/4"</t>
  </si>
  <si>
    <t>50mm</t>
  </si>
  <si>
    <t>1-1/2"</t>
  </si>
  <si>
    <t>63mm</t>
  </si>
  <si>
    <t>2"</t>
  </si>
  <si>
    <t>75mm</t>
  </si>
  <si>
    <t>2-1/2"</t>
  </si>
  <si>
    <t>90mm</t>
  </si>
  <si>
    <t>3"</t>
  </si>
  <si>
    <t>110mm</t>
  </si>
  <si>
    <t>4"</t>
  </si>
  <si>
    <t>125mm</t>
  </si>
  <si>
    <t>4-1/2"</t>
  </si>
  <si>
    <t>140mm</t>
  </si>
  <si>
    <t>5"</t>
  </si>
  <si>
    <t>160mm</t>
  </si>
  <si>
    <t>6"</t>
  </si>
  <si>
    <t>180mm</t>
  </si>
  <si>
    <t>7"</t>
  </si>
  <si>
    <t>200mm</t>
  </si>
  <si>
    <t>8"</t>
  </si>
  <si>
    <t>225mm</t>
  </si>
  <si>
    <t>9"</t>
  </si>
  <si>
    <t>250mm</t>
  </si>
  <si>
    <t>10"</t>
  </si>
  <si>
    <t>280mm</t>
  </si>
  <si>
    <t>11"</t>
  </si>
  <si>
    <t>315mm</t>
  </si>
  <si>
    <t>355mm</t>
  </si>
  <si>
    <t>400mm</t>
  </si>
  <si>
    <t xml:space="preserve">      Notes :</t>
  </si>
  <si>
    <t>Prices are based on ex–factory.</t>
  </si>
  <si>
    <t>The above value include all GOV. Taxes except VAT which will be charged extra 13 %</t>
  </si>
  <si>
    <t>All pipes are manufactured as NS–40</t>
  </si>
  <si>
    <t>Add 3% Transportation Charge.</t>
  </si>
  <si>
    <t xml:space="preserve">                    </t>
  </si>
  <si>
    <t xml:space="preserve">26 (L)  C.G.I. colour ridge  cover </t>
  </si>
  <si>
    <t>Aggrigate 12 mm river bed</t>
  </si>
  <si>
    <t>kl/df0f</t>
  </si>
  <si>
    <t>Pre stress precast concrete benches</t>
  </si>
  <si>
    <t>4.2(A)</t>
  </si>
  <si>
    <t>4.18(A)</t>
  </si>
  <si>
    <t>P.C.C. (1:3:6) work (Ready Mix Concrete) in foundation, wall (crushed or stone ballast)</t>
  </si>
  <si>
    <t>M10 Ready Mix Concrete</t>
  </si>
  <si>
    <t>M10 Grade Ready Mix Concrete</t>
  </si>
  <si>
    <t>4.13(A)</t>
  </si>
  <si>
    <t>4.15(A)</t>
  </si>
  <si>
    <t>D2(7-4AA)</t>
  </si>
  <si>
    <t>P.C.C. (1:2:4) work (Ready Mix Concrete) in Slab, Beam (crushed or stone ballast)</t>
  </si>
  <si>
    <t>M15 Grade Ready Mix Concrete</t>
  </si>
  <si>
    <t>M15 Ready Mix Concrete</t>
  </si>
  <si>
    <t>M20 Ready Mix Concrete</t>
  </si>
  <si>
    <t>M25 Ready Mix Concrete</t>
  </si>
  <si>
    <t>M30 Ready Mix Concrete</t>
  </si>
  <si>
    <t>4.16(A)</t>
  </si>
  <si>
    <t>D2(7-4BB)</t>
  </si>
  <si>
    <t>P.C.C. (1:1.5:3) work (Ready Mix Concrete) in Slab, Beam (crushed or stone ballast)</t>
  </si>
  <si>
    <t>M20 Grade Ready Mix Concrete</t>
  </si>
  <si>
    <t>4.21(A)</t>
  </si>
  <si>
    <t>D4(BB)</t>
  </si>
  <si>
    <t>P.C.C. (1:1:2) work (Ready Mix Concrete) in Slab, Beam (crushed or stone ballast)</t>
  </si>
  <si>
    <t>P.C.C. (M30) work (Ready Mix Concrete) in Slab, Beam (crushed or stone ballast)</t>
  </si>
  <si>
    <t>4.22(A)</t>
  </si>
  <si>
    <t>D5(A)</t>
  </si>
  <si>
    <t>M30 Grade Ready Mix Concrete</t>
  </si>
  <si>
    <t>4.14(A)</t>
  </si>
  <si>
    <t>D1(7-2DD)</t>
  </si>
  <si>
    <t>P.C.C. (1:2:4) work (Ready Mix Concrete) in foundation, wall (crushed or stone ballast)</t>
  </si>
  <si>
    <t>D1(7-2CC)</t>
  </si>
  <si>
    <t>4.02(a)</t>
  </si>
  <si>
    <t>Interlocking Block</t>
  </si>
  <si>
    <t>Dust of Crusser(Area*50mm)</t>
  </si>
  <si>
    <t>60 mm thick interlocking block over 50 mm thick Crusser dust laying  work with all complete.</t>
  </si>
  <si>
    <t>Parking Tile</t>
  </si>
  <si>
    <t>Parking Tile 25mm thick  over 50 mm thick Crusser dust laying  work with all complete.</t>
  </si>
  <si>
    <t>Parking Tile(25mm) thick  over 50 mm thick Crusser dust laying  work with all complete.</t>
  </si>
  <si>
    <t xml:space="preserve">Parking Tile 25mm thick </t>
  </si>
  <si>
    <t>M25 Grade Ready Mix Concrete</t>
  </si>
  <si>
    <t xml:space="preserve">Sand  river washed </t>
  </si>
  <si>
    <t xml:space="preserve">Collapisible gate (40 kg/sqm.) </t>
  </si>
  <si>
    <t>Readymade colour concrete tile I,,bambai,cadbari design floor tile(1"x1"x1.5")</t>
  </si>
  <si>
    <t xml:space="preserve">Spiral stair case with 4" medium post,3*20 mm sheet ,32 mm handrail all complete </t>
  </si>
  <si>
    <t>Rate analysis for : 1.00 kg</t>
  </si>
  <si>
    <t>Railing with sisham wood handrail 2.5*5"</t>
  </si>
  <si>
    <t>Hand rail 2.5"x5" size sisham wood supplying &amp; fixing work</t>
  </si>
  <si>
    <t>rmtr.</t>
  </si>
  <si>
    <t xml:space="preserve">Sand Crusher </t>
  </si>
  <si>
    <t>Mud soil</t>
  </si>
  <si>
    <t>Heavy duty reinforced elastomeric acrylic waterproofing coating for terrace with primer(primeseal) Dr FiXIT new coat</t>
  </si>
  <si>
    <t>Micro silica for high performance concrete</t>
  </si>
  <si>
    <t xml:space="preserve">MS Black pipe 0.75" to 2" dia. Or all size </t>
  </si>
  <si>
    <t>ltr</t>
  </si>
  <si>
    <t>H30</t>
  </si>
  <si>
    <t>b/ ljZn]if0fsf] nflu !=) J.=dL= lnOPsf]</t>
  </si>
  <si>
    <t>jf:tljs b//]6</t>
  </si>
  <si>
    <t>b/ k|lt j=dL=sf]</t>
  </si>
  <si>
    <t xml:space="preserve">!%Ü 7]s]bf/ cf]e/x]8 </t>
  </si>
  <si>
    <t>Ö ?=</t>
  </si>
  <si>
    <t>k}=</t>
  </si>
  <si>
    <t>hDdf b/ /]6</t>
  </si>
  <si>
    <t xml:space="preserve">nos </t>
  </si>
  <si>
    <t>!!–&amp; 5</t>
  </si>
  <si>
    <t>b/ ljZn]if0fsf] nflu !) j=dL= lnOPsf]</t>
  </si>
  <si>
    <t>H 6</t>
  </si>
  <si>
    <t>;|f]t ;fwg</t>
  </si>
  <si>
    <t>tx÷lsl;d</t>
  </si>
  <si>
    <t>PsfO{</t>
  </si>
  <si>
    <t>b/ k|lt PsfO{</t>
  </si>
  <si>
    <t>/sd</t>
  </si>
  <si>
    <t>k|To]s ;|f]t ;fwgsf] hDdf</t>
  </si>
  <si>
    <t>&gt;lds</t>
  </si>
  <si>
    <t>hjfg</t>
  </si>
  <si>
    <t>lgdf{0f ;fdu|L</t>
  </si>
  <si>
    <t xml:space="preserve"> l;d]G6 </t>
  </si>
  <si>
    <t>d]=6=</t>
  </si>
  <si>
    <t>afn'jf vf]nfsf]</t>
  </si>
  <si>
    <t>24"x24" GRES Virtified parking Tile</t>
  </si>
  <si>
    <t>!%Ü 7]s]bf/ cf]e/x]8</t>
  </si>
  <si>
    <t>?=</t>
  </si>
  <si>
    <t xml:space="preserve">cement </t>
  </si>
  <si>
    <t>sand</t>
  </si>
  <si>
    <t xml:space="preserve">white cement </t>
  </si>
  <si>
    <t xml:space="preserve">2'x2' indian floor tile </t>
  </si>
  <si>
    <t xml:space="preserve">kg </t>
  </si>
  <si>
    <t>25 Aluminium WORK</t>
  </si>
  <si>
    <t>Stainless Steel Railing for Verandah  (S.S.Pipe of 20 mm ( 3) lines) Fabrication &amp; installation  (50mm dia. Hand rail, 40mm dia.Vertical post 8/8 apart ) 90 cm height good finishing including fixing as per speciication and instruction  complete work</t>
  </si>
  <si>
    <t xml:space="preserve">Rate analysis for : 1 Sqm.                   </t>
  </si>
  <si>
    <t>kajaria/somany</t>
  </si>
  <si>
    <t>H25</t>
  </si>
  <si>
    <t>b/ ljZn]if0fsf] nflu !) J.=dL= lnOPsf]</t>
  </si>
  <si>
    <t xml:space="preserve">&gt;lds </t>
  </si>
  <si>
    <t>l;d]G6</t>
  </si>
  <si>
    <t>d]=6</t>
  </si>
  <si>
    <t>3=dL</t>
  </si>
  <si>
    <t>j=dL</t>
  </si>
  <si>
    <t>@% dL=dL= l;d]G6 s+lqm6 6fon  !M$ l;d]G6 d;nfdf 5fKg] sfd .</t>
  </si>
  <si>
    <t>C.C. Tile</t>
  </si>
  <si>
    <t>s|;/ afn'jf</t>
  </si>
  <si>
    <t xml:space="preserve">Sand </t>
  </si>
  <si>
    <t>Parsa</t>
  </si>
  <si>
    <t>cf=j= @)&amp;*÷)&amp;(</t>
  </si>
  <si>
    <t>RATE ANALYSIS</t>
  </si>
  <si>
    <t xml:space="preserve">DISTRICT : RAUTAHAT </t>
  </si>
  <si>
    <t>Iron Props</t>
  </si>
  <si>
    <t>mt</t>
  </si>
  <si>
    <t>Remark</t>
  </si>
  <si>
    <t>F / Y  :  2078/79</t>
  </si>
  <si>
    <t>F.Y. : 078/79</t>
  </si>
  <si>
    <t>Rate of HDPE Pipes Based on Rs. 302.00 Per Kg.</t>
  </si>
  <si>
    <t>HDPE Rate per kg</t>
  </si>
  <si>
    <t>REF</t>
  </si>
  <si>
    <t xml:space="preserve">mud soil </t>
  </si>
  <si>
    <t>GI plane sheet 26 gauge 0.41</t>
  </si>
  <si>
    <t xml:space="preserve">Wooden listies ¾" </t>
  </si>
  <si>
    <t>3-1/2"</t>
  </si>
  <si>
    <t xml:space="preserve">Aslar (Crused stone) stone masonry work in cement sand (1:6) mortar </t>
  </si>
  <si>
    <t>C9( 6-3-5)</t>
  </si>
  <si>
    <t>Rate analysis for : 10.00 Cum.</t>
  </si>
  <si>
    <t>Form work shuttering &amp; centering (BEAM-0.30 depth Mtr) with (USED LOCAL WOOD) all complete.</t>
  </si>
  <si>
    <t>Form work shuttering &amp; centering (BEAM-0.30-0.80 depth Mtr) with (USED LOCAL WOOD) all complete.</t>
  </si>
  <si>
    <t>Form work shuttering &amp; centering (BEAM) with (USED PLY WOOD) all complete.</t>
  </si>
  <si>
    <t>Unskilled (Ghotne Jyami)</t>
  </si>
  <si>
    <t xml:space="preserve"> Granite 13-16 mm thick paving with 20 mm thick cement sand  mortar 1:2 rubbing &amp; polishing work with all complete.</t>
  </si>
  <si>
    <t>Granite 13-16 mm thick</t>
  </si>
  <si>
    <t>Carborendam Stone11</t>
  </si>
  <si>
    <t>Interlocking Block(Hexagonal) 50mm (M35) multi color</t>
  </si>
  <si>
    <t>Interlocking Block(Hexagonal) 60mm (M35)multi color</t>
  </si>
  <si>
    <t>50 mm thick (M35) multi color interlocking block over 50 mm thick Crusser dust laying  work with all complete.</t>
  </si>
  <si>
    <t>60 mm thick (M35) multi color interlocking block over 50 mm thick Crusser dust laying  work with all complete.</t>
  </si>
  <si>
    <t>Stone dust</t>
  </si>
  <si>
    <t>H6</t>
  </si>
  <si>
    <t>Vetrified tile</t>
  </si>
  <si>
    <t>Kg</t>
  </si>
  <si>
    <t>Vetrified parking tile</t>
  </si>
  <si>
    <t>3 x 20mm Metal Grill including manufacturing, fitting, painting with Aluminium paint, sand papering all complete(15kg/sqm)</t>
  </si>
  <si>
    <t>Barbed wire 12 Bwg.(7m per Kg)</t>
  </si>
  <si>
    <t>Barbed wire 14 Bwg.(7m per Kg)</t>
  </si>
  <si>
    <t xml:space="preserve">Terrazo tile </t>
  </si>
  <si>
    <t>12-14 mm thick marble tile paving with 20 mm thick cement sand  mortar 1:2 rubbing &amp; polishing work with all complete.</t>
  </si>
  <si>
    <t>Marble tile Color 12-14 mm</t>
  </si>
  <si>
    <t xml:space="preserve">Marble tile 12-14 mm color </t>
  </si>
  <si>
    <t>Marble tile 12-14 mm plain</t>
  </si>
  <si>
    <t>Collection bag(jute)</t>
  </si>
  <si>
    <t>B4(2-34)</t>
  </si>
  <si>
    <t>Dewatering from trenches used 5hp motor</t>
  </si>
  <si>
    <t>Granite 12-14 mm thick</t>
  </si>
  <si>
    <t>70 mm thick (M35) multi color interlocking block over 50 mm thick Crusser dust laying  work with all complete.</t>
  </si>
  <si>
    <t>Interlocking Block(Hexagonal) 70mm (M35)multi color</t>
  </si>
  <si>
    <t>Nepali formate marble=2620kg/cum</t>
  </si>
  <si>
    <t>Mixture Machine (0.20-0.28 Cum.) with fuel</t>
  </si>
  <si>
    <t>Mosquito proof net 24 mess good  quality</t>
  </si>
  <si>
    <t>1sqm=35kg</t>
  </si>
  <si>
    <t>Providing and fixing Single Panel Casement (Hinged) Door of aluminium section in natural or color anodized/powder coated color Section size (102x45x1.5 mm) fitted with 5 mm clear glass or 9 mm both side laminated board (excluding the cost of handle and door closer).</t>
  </si>
  <si>
    <t>Providing and fixing Double Panel Casement (Hinged) Door of aluminium section in natural or color anodized/powder coated color Section size (102x45x1.5 mm) fitted with 5 mm clear glass or 9 mm both side laminated board (excluding the cost of handle and door closer).</t>
  </si>
  <si>
    <t>Providing and fixing Single Panel Swing Door of aluminium section in natural or color anodized/powder coated color Section size (102x45x1.5 mm) fitted with 5 mm clear glass or 9 mm both side laminated board (excluding the cost of handle and door closer).</t>
  </si>
  <si>
    <t>Providing and fixing Double Panel Swing Door of aluminium section in natural or color anodized/powder coated color Section size (102x45x1.5 mm) fitted with 5 mm clear glass or 9 mm both side laminated board (excluding the cost of handle and door closer).</t>
  </si>
  <si>
    <t>Providing and fixing 2 or 3 Panel Sliding Window of aluminium section in naturally anodized or Black anodized/powder coaded color, Section size (87x56x1.2) fitted with 5 mm clear glass without fly mesh shutter.(window size 6'x5' or average area 30 sq. feet per window).</t>
  </si>
  <si>
    <t>Providing and fixing 2 or 3 Panel Sliding Window of aluminium section in naturally anodized or Black anodized/powder coaded color, Section size (87x56x1.5) fitted with 5 mm clear glass without fly mesh shutter.(window size 6'x5' or average area 30 sq. feet per window).</t>
  </si>
  <si>
    <t>Providing and fixing 2 or 3 Panel Sliding Window with top fix glass of aluminium section in naturally anodized or Black anodized/powder coated color, Section size (87x56x1.20) fitted with 5 mm clear glass without fly mesh shutter.(window size 6'x5' or average area 30 sq. feet per window).</t>
  </si>
  <si>
    <t>Providing and fixing 2 or 3 Panel Sliding Window with top fix glass of aluminium section in naturally anodized or Black anodized/powder coated color, Section size (87x56x1.50) fitted with 5 mm clear glass without fly mesh shutter.(window size 6'x5' or average area 30 sq. feet per window).</t>
  </si>
  <si>
    <t>Providing and fixing Fixed Window of aluminium section in naturally anodized or Black anodized/powder coated color, Section size (87x25+12x1.20) fitted with 5 mm clear glass without fly mesh shutter.(Average area 5 sq. feet per Panel).</t>
  </si>
  <si>
    <t>Providing and fixing Fixed Window of aluminium section in naturally anodized or Black anodized/powder coated color, Section size (87x25+12x1.50) fitted with 5 mm clear glass with out fly mesh shutter.(Average area 5 sq. feet per Panel).</t>
  </si>
  <si>
    <t>Providing and fixing Fly Mesh Shutter with stainless steel fly mesh in 90 series for sliding window.(Section thickness 1 mm)</t>
  </si>
  <si>
    <t>Providing and fixing Full Height Partition of aluminium section in naturally anodized or black anodized/powder coated color section size (102x45x1.5) fitted with 5 mm clear glass or 9 mm both side laminated board.(average panel area 8.00 Sq.ft)</t>
  </si>
  <si>
    <t>Providing and fixing Full Height Partition of aluminium section in naturally anodized or black anodized/powder coated color section size (64x38x1.10mm) fitted with 5 mm clear glass or 9 mm both side laminated board.(average panel area 8.00 Sq.ft)</t>
  </si>
  <si>
    <t>Providing and fixing Half Height Partition of aluminium section in naturally anodized or black anodized/powder coated color section size (64x38x1.10mm) fitted with 5 mm clear glass or 9 mm both side laminated board.(average panel area 6.00 Sq.ft)</t>
  </si>
  <si>
    <t>Providing and fixing Half Height Partition of aluminium section in naturally anodized or black anodized/powder coated color section size (102x45x1.5) fitted with 5 mm clear glass or 9 mm both side laminated board.(average panel area 6.00 Sq.ft)</t>
  </si>
  <si>
    <t>False ceiling by Gypsum, Gypsum board 12 mm With providing,finisging og joint with compound &amp; tape all complete</t>
  </si>
  <si>
    <t>4 inch</t>
  </si>
  <si>
    <t>1sqm=2.5m</t>
  </si>
  <si>
    <t>Railing with  40 mm Ø ms pipe handrail</t>
  </si>
  <si>
    <t>Road roller 8-10 M.T. with fuel</t>
  </si>
  <si>
    <t>Road hand roller 1.00 M.T. with fuel</t>
  </si>
  <si>
    <t>RM</t>
  </si>
  <si>
    <t>Water Pump with all lubricant</t>
  </si>
  <si>
    <t>Distemper powder</t>
  </si>
  <si>
    <t>DISTRICT : BARA</t>
  </si>
  <si>
    <t xml:space="preserve">Remark </t>
  </si>
  <si>
    <t>Virtrified parking tiles of 600x600mm approximately of different colour, pattern,design with straight close joints. The area of existing floor slab shall be cleaned before laying the tiles, the tiles shall be laid with required bedding materials of cement sand mortar (1:1).</t>
  </si>
  <si>
    <t>Virtrified tiles of 600x600mm approximately of different colour, pattern,design with straight close joints. The area of existing floor slab shall be cleaned before laying the tiles, the tiles shall be laid with required bedding materials of cement sand mortar (1:1).</t>
  </si>
  <si>
    <t>Rate analysis for : Per Hrs</t>
  </si>
  <si>
    <t>DISTRICT :  BARA</t>
  </si>
  <si>
    <t>For 38mm thick =0.084 &amp; for 32mm thick=0.071</t>
  </si>
  <si>
    <t>32 mm thick sal wood fully paneled shutter fixing work with all complete. Size of shutter  1.07 x 1.982 =2.114 Sqm.</t>
  </si>
  <si>
    <t>12x12 mm solid core square rod M. S. grill with 4.5x20   Metal frame</t>
  </si>
  <si>
    <t>MS plate 4.5 x 20 mm</t>
  </si>
  <si>
    <t>12x12 mm solid core square rod M. S. grill with 4.5 x 20mm Metal frame</t>
  </si>
  <si>
    <t>For 38mm thick =0.049 &amp; for 32mm thick=0.041</t>
  </si>
  <si>
    <t>For 38mm thick =0.0346 &amp; for 32mm thick=0.0291</t>
  </si>
  <si>
    <t>For 38mm thick =0.0346 &amp; for 32mm thick=0.0218</t>
  </si>
  <si>
    <t>SUMMARY OF CIVIL RATE ANALYSIS</t>
  </si>
  <si>
    <t>4.5 x 20mm Metal Grill including manufacturing, fitting, painting with Aluminium paint, sand papering all complete(21.5 kg/sqm)</t>
  </si>
  <si>
    <t>Distemper Dry powder/ liquid</t>
  </si>
  <si>
    <t>Earth filling (Earth transported from 5 Km. surrounding) work in every 15-15 cm. layer with watering &amp; proper manual compaction.</t>
  </si>
  <si>
    <t>Earth filling (Earth transported from 5 Km. surrounding) work in every 15-15 cm. layer without watering &amp; proper manual compaction.</t>
  </si>
  <si>
    <t>First class chimney brick masonry work in (1:3) cement sand mortar in G. F.</t>
  </si>
  <si>
    <t>First class chimney brick masonry work in (1:3) cement sand mortar in F. F.</t>
  </si>
  <si>
    <t>First class chimney brick masonry work in (1:3) cement sand mortar in S. F.</t>
  </si>
  <si>
    <t>First class chimney brick masonry work in (1:4) cement sand  mortar in G. F.</t>
  </si>
  <si>
    <t>First class chimney brick masonry work in (1:4) cement sand mortar in F. F.</t>
  </si>
  <si>
    <t>First class chimney brick masonry work in (1:4) cement sand mortar in S. F.</t>
  </si>
  <si>
    <t>First class chimney brick masonry work in (1:6) cement sand  mortar in G. F.</t>
  </si>
  <si>
    <t>First class chimney brick masonry work in (1:6) cement sand mortar in F. F.</t>
  </si>
  <si>
    <t>First class chimney brick masonry work in (1:6) cement sand mortar in S F.</t>
  </si>
  <si>
    <t>First class chimney brick masonry work in mud mortar in G. F.</t>
  </si>
  <si>
    <t>First class chimney brick masonry work in mud mortar in F. F.</t>
  </si>
  <si>
    <t>First class chimney brick masonry work in mud mortar in S. F.</t>
  </si>
  <si>
    <t>32 mm thick sal wood frame with 4 mm thick commercial plywood (bothside)  flush shutter fixing with all complete. Size of shutter  1.092 x 2.058 =2.245 Sqm.</t>
  </si>
  <si>
    <t>32 mm thick sal wood frame with 3 mm thick TEAK plywood (Both side ) flush shutter fixing with all complete. Size of shutter  1.092 x 2.058 =2.245 Sqm.</t>
  </si>
  <si>
    <t>32 mm thick sal wood frame with 26 Bwg G.I. plane sheet  (bothside)  shutter fixing with all complete. Size of shutter  1.092 x 2.058 =2.245 Sqm.</t>
  </si>
  <si>
    <t>38 mm thick sal wood frame with 24 Bwg G.I. mosquito proof &amp; Expanded metal net net shutter fixing with all complete. Size of shutter  1.092 x 2.058 =2.245 Sqm.</t>
  </si>
  <si>
    <t>32 mm thick sal wood frame with 24 Bwg G.I. mosquito proof net shutter fixing with all complete. Size of shutter  1.092 x 2.058 =2.245 Sqm.</t>
  </si>
  <si>
    <t>32 x100mm thick sal wood frame with 12 mm thick commercial plywood paneled &amp; one side 4 mm thick Teak plywood paneled shutter fixing with all complete. Size of shutter  1.092 x 2.058 =2.245 Sqm.</t>
  </si>
  <si>
    <t>32 x100mm thick sal wood frame with 12 mm thick commercial plywood paneled &amp; both side 4 mm thick Teak plywood paneled shutter fixing with all complete. Size of shutter  1.092 x 2.058 =2.245 Sqm.</t>
  </si>
  <si>
    <t>32 x100mm thick sal wood frame with 12 mm thick water proof plywood paneled &amp; one side 4 mm thick Teak plywood paneled shutter fixing with all complete. Size of shutter  1.092 x 2.058 =2.245 Sqm.</t>
  </si>
  <si>
    <t>Terrazzo tile paving with 20 mm thick cement sand  mortar 1:4  rubbing &amp; polishing work with all complete.</t>
  </si>
  <si>
    <t>Terrazzo tile 20 mm thick</t>
  </si>
  <si>
    <t>Dry edge Brick paving work</t>
  </si>
  <si>
    <t>12.5 mm. thick cement sand plaster work (1:3 ) on ceiling</t>
  </si>
  <si>
    <t>12.5 mm. thick cement sand plaster work 1:4 on ceiling</t>
  </si>
  <si>
    <t>2 mm thick plane white putting  plaster work in wall &amp;ceiling</t>
  </si>
  <si>
    <t>Two coat white washing work on ceiling.</t>
  </si>
  <si>
    <t>25% Add for ceiling</t>
  </si>
  <si>
    <t>Three coat white washing work on ceiling.</t>
  </si>
  <si>
    <t>Clearance work of old existing marble floor with Oxalic acid &amp; carborundum stone</t>
  </si>
  <si>
    <t>Clearance work of old existing mosaic floor with Oxalic acid , main polish , turpentine oil &amp; carborundum stone</t>
  </si>
  <si>
    <t>Dismantling work of Gabian work</t>
  </si>
  <si>
    <t xml:space="preserve">Subgrade  preparing work with simple mud cutting 10 mtr. lead </t>
  </si>
  <si>
    <t>25 Miscellaneous  WORK</t>
  </si>
  <si>
    <t>Providing and fixing 2 or 3 Panel Sliding Window of aluminium section in naturally anodized or Black anodized/powder coated color, Section size (87x56x1.2) fitted with 5 mm clear glass without fly mesh shutter.(window size 6'x5' or average area 30 sq. feet per window).</t>
  </si>
  <si>
    <t>Providing and fixing 2 or 3 Panel Sliding Window of aluminium section in naturally anodized or Black anodized/powder coated color, Section size (87x56x1.5) fitted with 5 mm clear glass without fly mesh shutter.(window size 6'x5' or average area 30 sq. feet per window).</t>
  </si>
  <si>
    <t>Cutting  of  grass, taking of root &amp; cutting of raised soil &amp; site leveling with all complete</t>
  </si>
  <si>
    <t>Aggregate &gt;10 mm-Crushed</t>
  </si>
  <si>
    <t>Aggregate &gt;10 mm-River bed</t>
  </si>
  <si>
    <t>Aggregate 10 mm-Crushed</t>
  </si>
  <si>
    <t>Aggregate 10 mm-River bed</t>
  </si>
  <si>
    <t>Aggregate 12 mm-Crushed</t>
  </si>
  <si>
    <t>Aggregate 12 mm-River bed</t>
  </si>
  <si>
    <t>Aggregate 20 mm-Crushed</t>
  </si>
  <si>
    <t>Aggregate 20 mm-River bed</t>
  </si>
  <si>
    <t>Aggregate 40 mm-Crushed</t>
  </si>
  <si>
    <t>Aggregate 40 mm-River bed</t>
  </si>
  <si>
    <t>Brick Aggregate</t>
  </si>
  <si>
    <t>Collapsible gate (40kg/sqm)</t>
  </si>
  <si>
    <t xml:space="preserve">Collapsible  shutter including manufacturing, welding, supply of material, painting and fixing </t>
  </si>
  <si>
    <t>CGI sheet 26 (H)  0.41 mm thick Plain (65kg/bundle)</t>
  </si>
  <si>
    <t>CGI sheet 26 0.37 mm thick plain (61kg/bundle)</t>
  </si>
  <si>
    <t xml:space="preserve">Porcelain glazed/non glazed tile </t>
  </si>
  <si>
    <t>Pre-laminated board</t>
  </si>
  <si>
    <t xml:space="preserve">Vitrified tile GRES </t>
  </si>
  <si>
    <t>Vitrified tile GRES Parking tile</t>
  </si>
  <si>
    <t>Turpentine oil</t>
  </si>
  <si>
    <t>Turpentine oil floor finishing</t>
  </si>
  <si>
    <t>Square pipe 1"x1"</t>
  </si>
  <si>
    <t>Heavy duty reinforced elastomeric acrylic waterproofing coating for terrace with primer (primeseal) Dr FiXIT new coat</t>
  </si>
  <si>
    <t>Hinge 75 mm</t>
  </si>
  <si>
    <t>Hinge 100 mm</t>
  </si>
  <si>
    <t>Hinge 150 mm</t>
  </si>
  <si>
    <t xml:space="preserve">Sand crusher </t>
  </si>
  <si>
    <t>Ply board 19 mm thick waterproof</t>
  </si>
  <si>
    <t>Hydraulic Excavetor 0.35 Cum.</t>
  </si>
  <si>
    <t>Hydraulic Excavetor 0.63 Cum.</t>
  </si>
  <si>
    <t>Hydraulic Excavetor 0.80 Cum.</t>
  </si>
  <si>
    <t>Hydraulic Excavetor 1.32 Cum.</t>
  </si>
  <si>
    <t xml:space="preserve">Expended metal </t>
  </si>
  <si>
    <t>1sqm=40kg</t>
  </si>
  <si>
    <t>Bitumen (VG 30)</t>
  </si>
  <si>
    <t xml:space="preserve">      </t>
  </si>
  <si>
    <t>सि.न</t>
  </si>
  <si>
    <t>कामदारको विवरण</t>
  </si>
  <si>
    <t>इकाई</t>
  </si>
  <si>
    <t>कैफियत</t>
  </si>
  <si>
    <t>.</t>
  </si>
  <si>
    <t>CGI sheet 26(H)   0.40 mm thick coloured (65kg/bundle)</t>
  </si>
  <si>
    <t>CGI sheet 24(H)   0.50 mm thick coloured (65kg/bundle)</t>
  </si>
  <si>
    <t>143.5/1.13</t>
  </si>
  <si>
    <t>DATE 2080/03/31</t>
  </si>
  <si>
    <t>OFFICE OF THE MUNICIPAL EXECUTIVE</t>
  </si>
  <si>
    <t>GOVERNMENT OF NEPAL</t>
  </si>
  <si>
    <r>
      <rPr>
        <b/>
        <sz val="9"/>
        <color indexed="8"/>
        <rFont val="Times New Roman"/>
        <family val="1"/>
      </rPr>
      <t>Stainless Steel</t>
    </r>
    <r>
      <rPr>
        <sz val="9"/>
        <color indexed="8"/>
        <rFont val="Times New Roman"/>
        <family val="1"/>
      </rPr>
      <t xml:space="preserve"> 50mm dia Handrail pipe,in between 20 mm dia s.s. pipe 3 line ,40 mm vertical post 8/8 ft apart and 75 mm baluster pipe  with 900 mm height all complete </t>
    </r>
  </si>
  <si>
    <r>
      <t xml:space="preserve">Damp proof grade </t>
    </r>
    <r>
      <rPr>
        <b/>
        <sz val="9"/>
        <color indexed="8"/>
        <rFont val="Times New Roman"/>
        <family val="1"/>
      </rPr>
      <t>tarfelt (1mx20m)=1 Role</t>
    </r>
  </si>
  <si>
    <r>
      <t xml:space="preserve">Enamel </t>
    </r>
    <r>
      <rPr>
        <b/>
        <sz val="9"/>
        <color indexed="8"/>
        <rFont val="Times New Roman"/>
        <family val="1"/>
      </rPr>
      <t>Paint</t>
    </r>
  </si>
  <si>
    <r>
      <t xml:space="preserve">Enamel </t>
    </r>
    <r>
      <rPr>
        <b/>
        <sz val="9"/>
        <color indexed="8"/>
        <rFont val="Times New Roman"/>
        <family val="1"/>
      </rPr>
      <t>Primer</t>
    </r>
  </si>
  <si>
    <r>
      <t>Fiber glass</t>
    </r>
    <r>
      <rPr>
        <b/>
        <sz val="9"/>
        <color indexed="8"/>
        <rFont val="Times New Roman"/>
        <family val="1"/>
      </rPr>
      <t xml:space="preserve"> 2.0 mm thick </t>
    </r>
    <r>
      <rPr>
        <sz val="9"/>
        <color indexed="8"/>
        <rFont val="Times New Roman"/>
        <family val="1"/>
      </rPr>
      <t>corgated</t>
    </r>
  </si>
  <si>
    <r>
      <t>Fiber glass</t>
    </r>
    <r>
      <rPr>
        <b/>
        <sz val="9"/>
        <color indexed="8"/>
        <rFont val="Times New Roman"/>
        <family val="1"/>
      </rPr>
      <t xml:space="preserve"> 1.20 mm thick </t>
    </r>
    <r>
      <rPr>
        <sz val="9"/>
        <color indexed="8"/>
        <rFont val="Times New Roman"/>
        <family val="1"/>
      </rPr>
      <t>ridge cover (0.60m width)</t>
    </r>
  </si>
  <si>
    <r>
      <t>Glass 3 mm thick-</t>
    </r>
    <r>
      <rPr>
        <b/>
        <sz val="9"/>
        <color indexed="8"/>
        <rFont val="Times New Roman"/>
        <family val="1"/>
      </rPr>
      <t>Plane</t>
    </r>
  </si>
  <si>
    <r>
      <t>Glass 4 mm thick-</t>
    </r>
    <r>
      <rPr>
        <b/>
        <sz val="9"/>
        <color indexed="8"/>
        <rFont val="Times New Roman"/>
        <family val="1"/>
      </rPr>
      <t>Plane</t>
    </r>
  </si>
  <si>
    <r>
      <t>Glass 6 mm thick-</t>
    </r>
    <r>
      <rPr>
        <b/>
        <sz val="9"/>
        <color indexed="8"/>
        <rFont val="Times New Roman"/>
        <family val="1"/>
      </rPr>
      <t>Plane</t>
    </r>
  </si>
  <si>
    <r>
      <t xml:space="preserve">Ply wood </t>
    </r>
    <r>
      <rPr>
        <b/>
        <sz val="9"/>
        <color indexed="8"/>
        <rFont val="Times New Roman"/>
        <family val="1"/>
      </rPr>
      <t xml:space="preserve">3 mm thick </t>
    </r>
    <r>
      <rPr>
        <sz val="9"/>
        <color indexed="8"/>
        <rFont val="Times New Roman"/>
        <family val="1"/>
      </rPr>
      <t>commercial</t>
    </r>
  </si>
  <si>
    <r>
      <t xml:space="preserve">Ply wood </t>
    </r>
    <r>
      <rPr>
        <b/>
        <sz val="9"/>
        <color indexed="8"/>
        <rFont val="Times New Roman"/>
        <family val="1"/>
      </rPr>
      <t xml:space="preserve">3 mm thick </t>
    </r>
    <r>
      <rPr>
        <sz val="9"/>
        <color indexed="8"/>
        <rFont val="Times New Roman"/>
        <family val="1"/>
      </rPr>
      <t xml:space="preserve">Teak </t>
    </r>
  </si>
  <si>
    <r>
      <t xml:space="preserve">Ply wood </t>
    </r>
    <r>
      <rPr>
        <b/>
        <sz val="9"/>
        <color indexed="8"/>
        <rFont val="Times New Roman"/>
        <family val="1"/>
      </rPr>
      <t xml:space="preserve">4 mm thick </t>
    </r>
    <r>
      <rPr>
        <sz val="9"/>
        <color indexed="8"/>
        <rFont val="Times New Roman"/>
        <family val="1"/>
      </rPr>
      <t>commercial</t>
    </r>
  </si>
  <si>
    <r>
      <t xml:space="preserve">Ply wood </t>
    </r>
    <r>
      <rPr>
        <b/>
        <sz val="9"/>
        <color indexed="8"/>
        <rFont val="Times New Roman"/>
        <family val="1"/>
      </rPr>
      <t xml:space="preserve">4 mm thick </t>
    </r>
    <r>
      <rPr>
        <sz val="9"/>
        <color indexed="8"/>
        <rFont val="Times New Roman"/>
        <family val="1"/>
      </rPr>
      <t>Teak</t>
    </r>
  </si>
  <si>
    <r>
      <t xml:space="preserve">Ply wood </t>
    </r>
    <r>
      <rPr>
        <b/>
        <sz val="9"/>
        <color indexed="8"/>
        <rFont val="Times New Roman"/>
        <family val="1"/>
      </rPr>
      <t>6 mm thick</t>
    </r>
    <r>
      <rPr>
        <sz val="9"/>
        <color indexed="8"/>
        <rFont val="Times New Roman"/>
        <family val="1"/>
      </rPr>
      <t xml:space="preserve"> water proof </t>
    </r>
  </si>
  <si>
    <r>
      <t xml:space="preserve">Red oxide </t>
    </r>
    <r>
      <rPr>
        <b/>
        <sz val="9"/>
        <color indexed="8"/>
        <rFont val="Times New Roman"/>
        <family val="1"/>
      </rPr>
      <t>Paint</t>
    </r>
  </si>
  <si>
    <r>
      <t xml:space="preserve">Red oxide </t>
    </r>
    <r>
      <rPr>
        <b/>
        <sz val="9"/>
        <color indexed="8"/>
        <rFont val="Times New Roman"/>
        <family val="1"/>
      </rPr>
      <t>Primer</t>
    </r>
  </si>
  <si>
    <r>
      <rPr>
        <b/>
        <sz val="9"/>
        <color indexed="8"/>
        <rFont val="Times New Roman"/>
        <family val="1"/>
      </rPr>
      <t>Stainless Steel</t>
    </r>
    <r>
      <rPr>
        <sz val="9"/>
        <color indexed="8"/>
        <rFont val="Times New Roman"/>
        <family val="1"/>
      </rPr>
      <t xml:space="preserve"> 50mm dia Handrail pipe,in between 20 mm dia sspipe 3 line ,40 mm vertical post 8/8 ft apart and 75 mm baluster pipe  with 900 mm height all complete </t>
    </r>
  </si>
  <si>
    <r>
      <t xml:space="preserve">UPVC roofing sheet </t>
    </r>
    <r>
      <rPr>
        <b/>
        <sz val="9"/>
        <color indexed="8"/>
        <rFont val="Times New Roman"/>
        <family val="1"/>
      </rPr>
      <t xml:space="preserve">2 mm thick </t>
    </r>
  </si>
  <si>
    <r>
      <t xml:space="preserve">UPVC roofing sheet </t>
    </r>
    <r>
      <rPr>
        <b/>
        <sz val="9"/>
        <color indexed="8"/>
        <rFont val="Times New Roman"/>
        <family val="1"/>
      </rPr>
      <t xml:space="preserve">3 mm thick </t>
    </r>
  </si>
  <si>
    <r>
      <t xml:space="preserve">Wood </t>
    </r>
    <r>
      <rPr>
        <b/>
        <sz val="9"/>
        <color indexed="8"/>
        <rFont val="Times New Roman"/>
        <family val="1"/>
      </rPr>
      <t>Gamhair</t>
    </r>
  </si>
  <si>
    <r>
      <t xml:space="preserve">Wood </t>
    </r>
    <r>
      <rPr>
        <b/>
        <sz val="9"/>
        <color indexed="8"/>
        <rFont val="Times New Roman"/>
        <family val="1"/>
      </rPr>
      <t>Local</t>
    </r>
  </si>
  <si>
    <r>
      <t xml:space="preserve">Wood </t>
    </r>
    <r>
      <rPr>
        <b/>
        <sz val="9"/>
        <color indexed="8"/>
        <rFont val="Times New Roman"/>
        <family val="1"/>
      </rPr>
      <t>Sal</t>
    </r>
  </si>
  <si>
    <r>
      <t xml:space="preserve">Wood </t>
    </r>
    <r>
      <rPr>
        <b/>
        <sz val="9"/>
        <color indexed="8"/>
        <rFont val="Times New Roman"/>
        <family val="1"/>
      </rPr>
      <t>Sisham</t>
    </r>
  </si>
  <si>
    <r>
      <t xml:space="preserve">Wooden listies </t>
    </r>
    <r>
      <rPr>
        <b/>
        <sz val="9"/>
        <color indexed="8"/>
        <rFont val="Times New Roman"/>
        <family val="1"/>
      </rPr>
      <t>½"</t>
    </r>
  </si>
  <si>
    <r>
      <t xml:space="preserve">Wooden listies </t>
    </r>
    <r>
      <rPr>
        <b/>
        <sz val="9"/>
        <color indexed="8"/>
        <rFont val="Times New Roman"/>
        <family val="1"/>
      </rPr>
      <t>¾"</t>
    </r>
  </si>
  <si>
    <t>4-164</t>
  </si>
  <si>
    <t>4-168</t>
  </si>
  <si>
    <t>13-494</t>
  </si>
  <si>
    <t>ridge width 0.6 m</t>
  </si>
  <si>
    <t>6-270</t>
  </si>
  <si>
    <t>3-104</t>
  </si>
  <si>
    <t>7-262</t>
  </si>
  <si>
    <t>133 per kg</t>
  </si>
  <si>
    <t>134 per kg</t>
  </si>
  <si>
    <t>7-263</t>
  </si>
  <si>
    <t>5-212</t>
  </si>
  <si>
    <t>13-507</t>
  </si>
  <si>
    <t>7-300</t>
  </si>
  <si>
    <t>3-109</t>
  </si>
  <si>
    <t>3-105</t>
  </si>
  <si>
    <t>5-181</t>
  </si>
  <si>
    <t>5-201</t>
  </si>
  <si>
    <t>***</t>
  </si>
  <si>
    <t>7-309</t>
  </si>
  <si>
    <t>7-310</t>
  </si>
  <si>
    <t>6-246</t>
  </si>
  <si>
    <t>13-492</t>
  </si>
  <si>
    <t>8-312</t>
  </si>
  <si>
    <t>7-208</t>
  </si>
  <si>
    <t>7-209</t>
  </si>
  <si>
    <t>7-305</t>
  </si>
  <si>
    <t>6-222</t>
  </si>
  <si>
    <t>25-993</t>
  </si>
  <si>
    <t>8-313</t>
  </si>
  <si>
    <t>13-484 (fy2079-2080))</t>
  </si>
  <si>
    <t>10-332</t>
  </si>
  <si>
    <t>25-988</t>
  </si>
  <si>
    <r>
      <t xml:space="preserve">Distemper </t>
    </r>
    <r>
      <rPr>
        <b/>
        <sz val="9"/>
        <color indexed="8"/>
        <rFont val="Times New Roman"/>
        <family val="1"/>
      </rPr>
      <t>Primer</t>
    </r>
  </si>
  <si>
    <t>13-487</t>
  </si>
  <si>
    <t>13-488</t>
  </si>
  <si>
    <t>7-269</t>
  </si>
  <si>
    <t>7-267</t>
  </si>
  <si>
    <t>Fire wood (kukath)</t>
  </si>
  <si>
    <t>makawanpu districk rate 2080-2081 (11-85.1)</t>
  </si>
  <si>
    <t>6-251</t>
  </si>
  <si>
    <t>6-252</t>
  </si>
  <si>
    <t>6-253</t>
  </si>
  <si>
    <t>6-254</t>
  </si>
  <si>
    <t>8-329</t>
  </si>
  <si>
    <t>8-330</t>
  </si>
  <si>
    <t>8-331</t>
  </si>
  <si>
    <t>5-171</t>
  </si>
  <si>
    <t>13-499</t>
  </si>
  <si>
    <t>10-388</t>
  </si>
  <si>
    <t>9-378</t>
  </si>
  <si>
    <t>9-379</t>
  </si>
  <si>
    <t>10-380</t>
  </si>
  <si>
    <t>1-22</t>
  </si>
  <si>
    <t>1-23</t>
  </si>
  <si>
    <t>4-130</t>
  </si>
  <si>
    <t>4-133</t>
  </si>
  <si>
    <t>4-136</t>
  </si>
  <si>
    <t>7-302</t>
  </si>
  <si>
    <t>7-301</t>
  </si>
  <si>
    <t>J-hook (1kg=8nos)</t>
  </si>
  <si>
    <t>8-311</t>
  </si>
  <si>
    <t>10-400</t>
  </si>
  <si>
    <t>13-491</t>
  </si>
  <si>
    <t>Lockingset  250</t>
  </si>
  <si>
    <t>10-387</t>
  </si>
  <si>
    <t>13-508</t>
  </si>
  <si>
    <t>Marble chips 3 mm (25*2620)</t>
  </si>
  <si>
    <t>5-175</t>
  </si>
  <si>
    <t>District Rate Page no &amp; S.N</t>
  </si>
  <si>
    <t>5-176</t>
  </si>
  <si>
    <t>1-26</t>
  </si>
  <si>
    <t xml:space="preserve">Mortice lock (Brass) </t>
  </si>
  <si>
    <t>10-397</t>
  </si>
  <si>
    <t>6-219</t>
  </si>
  <si>
    <t>5-215</t>
  </si>
  <si>
    <t>pg no:5-S.N36 (ktm)080/081</t>
  </si>
  <si>
    <t>6-220</t>
  </si>
  <si>
    <t>5-216</t>
  </si>
  <si>
    <t>6-224</t>
  </si>
  <si>
    <t>6-234</t>
  </si>
  <si>
    <t>MS Spiral Staircase Readymade (60 kg per meter)</t>
  </si>
  <si>
    <t>1-11</t>
  </si>
  <si>
    <t>per kg=10 nos</t>
  </si>
  <si>
    <t>5-183</t>
  </si>
  <si>
    <t>20-804</t>
  </si>
  <si>
    <t>33-1346</t>
  </si>
  <si>
    <t>5-204</t>
  </si>
  <si>
    <t>13-485</t>
  </si>
  <si>
    <t>8-325</t>
  </si>
  <si>
    <t>8-328</t>
  </si>
  <si>
    <t>8-322</t>
  </si>
  <si>
    <t>8-323</t>
  </si>
  <si>
    <t>8-324</t>
  </si>
  <si>
    <t>25-992</t>
  </si>
  <si>
    <t>5-184</t>
  </si>
  <si>
    <t>6-235</t>
  </si>
  <si>
    <t>1-16</t>
  </si>
  <si>
    <t>previous 450</t>
  </si>
  <si>
    <t>6-223</t>
  </si>
  <si>
    <t>Rolling Shutter @ 40 kg/m2</t>
  </si>
  <si>
    <t>5-187</t>
  </si>
  <si>
    <t>5-188</t>
  </si>
  <si>
    <t>5-173</t>
  </si>
  <si>
    <t>5-172</t>
  </si>
  <si>
    <t>13-505</t>
  </si>
  <si>
    <t>7-304</t>
  </si>
  <si>
    <t>14-490</t>
  </si>
  <si>
    <t>6-221</t>
  </si>
  <si>
    <t>6-247</t>
  </si>
  <si>
    <t>6-238</t>
  </si>
  <si>
    <t>3-115</t>
  </si>
  <si>
    <t>3-116</t>
  </si>
  <si>
    <t>24-971</t>
  </si>
  <si>
    <t>3-111</t>
  </si>
  <si>
    <t>13-489</t>
  </si>
  <si>
    <t>5-185</t>
  </si>
  <si>
    <t>8-327</t>
  </si>
  <si>
    <t>5-211</t>
  </si>
  <si>
    <t>10-382</t>
  </si>
  <si>
    <t>10-383</t>
  </si>
  <si>
    <t>10-385</t>
  </si>
  <si>
    <t>1-1</t>
  </si>
  <si>
    <t>1 inch</t>
  </si>
  <si>
    <t>1.5 inch</t>
  </si>
  <si>
    <t>2 inch</t>
  </si>
  <si>
    <t>3 inch</t>
  </si>
  <si>
    <t>7-303</t>
  </si>
  <si>
    <t>7-272</t>
  </si>
  <si>
    <t>(3.58*2)=1800</t>
  </si>
  <si>
    <r>
      <t xml:space="preserve">UPVC roofing sheet </t>
    </r>
    <r>
      <rPr>
        <b/>
        <sz val="9"/>
        <color indexed="8"/>
        <rFont val="Times New Roman"/>
        <family val="1"/>
      </rPr>
      <t>ridge cover</t>
    </r>
    <r>
      <rPr>
        <sz val="9"/>
        <color indexed="8"/>
        <rFont val="Times New Roman"/>
        <family val="1"/>
      </rPr>
      <t xml:space="preserve"> (ridge width =0.6 m)</t>
    </r>
  </si>
  <si>
    <t>13-493</t>
  </si>
  <si>
    <t>1-25</t>
  </si>
  <si>
    <t>5-203</t>
  </si>
  <si>
    <t>13-482</t>
  </si>
  <si>
    <t>25-995</t>
  </si>
  <si>
    <t>5-202</t>
  </si>
  <si>
    <t>13-496</t>
  </si>
  <si>
    <t>8-318</t>
  </si>
  <si>
    <t>8-317</t>
  </si>
  <si>
    <t>13-503</t>
  </si>
  <si>
    <t>8-315</t>
  </si>
  <si>
    <t>8-316</t>
  </si>
  <si>
    <t>10-402</t>
  </si>
  <si>
    <t>7-296</t>
  </si>
  <si>
    <t>7-286</t>
  </si>
  <si>
    <t>7-287</t>
  </si>
  <si>
    <t>10-412</t>
  </si>
  <si>
    <t>57-2549</t>
  </si>
  <si>
    <t>M35 Ready Mix Concrete</t>
  </si>
  <si>
    <t>M40 Ready Mix Concrete</t>
  </si>
  <si>
    <t>M45 Ready Mix Concrete</t>
  </si>
  <si>
    <t>1kg=4nos</t>
  </si>
  <si>
    <t xml:space="preserve">Hold fast </t>
  </si>
  <si>
    <t>9-365</t>
  </si>
  <si>
    <t>57-2550</t>
  </si>
  <si>
    <t>57-2551</t>
  </si>
  <si>
    <t>57-2552</t>
  </si>
  <si>
    <t>57-2553</t>
  </si>
  <si>
    <t>57-2554</t>
  </si>
  <si>
    <t>57-2555</t>
  </si>
  <si>
    <t>57-2556</t>
  </si>
  <si>
    <t>Makawanpur 080/081 s.n 11-73.1</t>
  </si>
  <si>
    <t>7-279</t>
  </si>
  <si>
    <t>7-281</t>
  </si>
  <si>
    <t>ktm</t>
  </si>
  <si>
    <t>7-280</t>
  </si>
  <si>
    <t>7-288</t>
  </si>
  <si>
    <t>7-282</t>
  </si>
  <si>
    <t>7-290</t>
  </si>
  <si>
    <t>7-291</t>
  </si>
  <si>
    <t>7-295</t>
  </si>
  <si>
    <t>CGI Ridge Cover colour 26 (h)</t>
  </si>
  <si>
    <t>CGI Ridge Cover colour 26 (m)</t>
  </si>
  <si>
    <t>CGI sheet Ridge Cover 26(L)</t>
  </si>
  <si>
    <t>7-256</t>
  </si>
  <si>
    <r>
      <t>CGI sheet</t>
    </r>
    <r>
      <rPr>
        <b/>
        <sz val="9"/>
        <color indexed="8"/>
        <rFont val="Times New Roman"/>
        <family val="1"/>
      </rPr>
      <t xml:space="preserve"> 26 (M) 0.37 mm thick Plane</t>
    </r>
  </si>
  <si>
    <r>
      <t>CGI sheet</t>
    </r>
    <r>
      <rPr>
        <b/>
        <sz val="9"/>
        <color indexed="8"/>
        <rFont val="Times New Roman"/>
        <family val="1"/>
      </rPr>
      <t xml:space="preserve"> 26 (M) 0.37 mm thick Color</t>
    </r>
  </si>
  <si>
    <r>
      <t>CGI sheet</t>
    </r>
    <r>
      <rPr>
        <b/>
        <sz val="9"/>
        <color indexed="8"/>
        <rFont val="Times New Roman"/>
        <family val="1"/>
      </rPr>
      <t xml:space="preserve"> 28 (H) 0.31 mm thick colour</t>
    </r>
  </si>
  <si>
    <r>
      <t>CGI sheet</t>
    </r>
    <r>
      <rPr>
        <b/>
        <sz val="9"/>
        <color indexed="8"/>
        <rFont val="Times New Roman"/>
        <family val="1"/>
      </rPr>
      <t xml:space="preserve"> 28 (H) 0.31 mm thick plane</t>
    </r>
  </si>
  <si>
    <r>
      <t>Plane GI sheet</t>
    </r>
    <r>
      <rPr>
        <b/>
        <sz val="9"/>
        <color indexed="8"/>
        <rFont val="Times New Roman"/>
        <family val="1"/>
      </rPr>
      <t xml:space="preserve"> 26 (H) 0.41 mm thick plane</t>
    </r>
  </si>
  <si>
    <r>
      <t>Plane GI sheet</t>
    </r>
    <r>
      <rPr>
        <b/>
        <sz val="9"/>
        <color indexed="8"/>
        <rFont val="Times New Roman"/>
        <family val="1"/>
      </rPr>
      <t xml:space="preserve"> 26 (M) 0.37 mm thick plane</t>
    </r>
  </si>
  <si>
    <r>
      <t>Plane GI sheet</t>
    </r>
    <r>
      <rPr>
        <b/>
        <sz val="9"/>
        <color indexed="8"/>
        <rFont val="Times New Roman"/>
        <family val="1"/>
      </rPr>
      <t xml:space="preserve"> 26 (L) 0.35 mm thick plane</t>
    </r>
  </si>
  <si>
    <t>2hp motor unit consum per hour 2.19 kw</t>
  </si>
  <si>
    <t>ktm pg-32(1) 102 series window</t>
  </si>
  <si>
    <t>ktm pg-32(2) 102 series window</t>
  </si>
  <si>
    <t>ktm pg-32(3) 102 series window</t>
  </si>
  <si>
    <t>ktm pg-32(4) 102 series window</t>
  </si>
  <si>
    <t>ktm pg-32(1) 90 series window</t>
  </si>
  <si>
    <t>ktm pg-33(2) 90 series window</t>
  </si>
  <si>
    <t>ktm pg-33(3) 90 series window</t>
  </si>
  <si>
    <t>ktm pg-33(4) 90 series window</t>
  </si>
  <si>
    <t>ktm pg-33(5) 90 series window</t>
  </si>
  <si>
    <t>ktm pg-33(6) 90 series window</t>
  </si>
  <si>
    <t>ktm pg-33(7) 90 series window</t>
  </si>
  <si>
    <t>ktm pg-33(1) 102 series partition</t>
  </si>
  <si>
    <t>ktm pg-33(2) 102 series partition</t>
  </si>
  <si>
    <t>ktm pg-33(1) 64 series partition</t>
  </si>
  <si>
    <t>ktm pg-33(2) 64 series partition</t>
  </si>
  <si>
    <t>Providing and installation of project signboards in ( 25mm *25mm hollow square pipe frame fitted in 50mm  MS pipe vertical post 2.7 m height with fitting all complete ) with size of 1.8 x 1.2 m flex print  as per specification and instruction of engineer.</t>
  </si>
  <si>
    <t>NO</t>
  </si>
  <si>
    <t>L.21</t>
  </si>
  <si>
    <t>54-2423</t>
  </si>
  <si>
    <t>L.22</t>
  </si>
  <si>
    <t>54-2446</t>
  </si>
  <si>
    <t>Providing and installation of flex print  good  project signboards with size of 1.8 x 1.2 m as per specification and instruction of engineer.</t>
  </si>
  <si>
    <t>Readymix concreate M10</t>
  </si>
  <si>
    <t>Readymix concreate M15</t>
  </si>
  <si>
    <t>Readymix concreate M20</t>
  </si>
  <si>
    <t>Readymix concreate M25</t>
  </si>
  <si>
    <t>Readymix concreate M30</t>
  </si>
  <si>
    <t>Readymix concreate M35</t>
  </si>
  <si>
    <t>Readymix concreate M40</t>
  </si>
  <si>
    <t>Readymix concreate M45</t>
  </si>
  <si>
    <t>Site Clearence cutting&amp; removing the herbs, levelling the surface ETC before the construction work as per instruction &amp; specification complete work</t>
  </si>
  <si>
    <t>Earthwork in excavation in medium type soils in foundation including 10m hauling distance and 1.5 m. lift manually all complete in approval of site engineer.</t>
  </si>
  <si>
    <t>Earthwork in excavation in gravel  type soils in foundation including 10m hauling distance and 1.5 m. lift manually all complete in approval of site engineer.</t>
  </si>
  <si>
    <t>Hollow Concreate Block (150x 150 x300 mm)Masonry Work in 1:4 cemet sand mortar  in perfect line level finish including  supply of materails, wetting the bricks, racking the joints and curing the work for at least 7 days all complete as per approved drawing, Specification and instruction of site engineer.</t>
  </si>
  <si>
    <t>C13</t>
  </si>
  <si>
    <t>b/ ljZn]if0fsf] nflu ! a==ld= lnOPsf]</t>
  </si>
  <si>
    <t>No</t>
  </si>
  <si>
    <t>m.t</t>
  </si>
  <si>
    <t>cu.m</t>
  </si>
  <si>
    <t>b/ k|lt a=dL=sf]</t>
  </si>
  <si>
    <t>Block Size</t>
  </si>
  <si>
    <t>15*15*30cm</t>
  </si>
  <si>
    <t>For 1 sqm=13no</t>
  </si>
  <si>
    <t>TMT. Reinforcement bar tested including straightening, cleaning, cutting, bending and fixing in position with 20 B.G. annealed binding wire as per drawing and as per instruction &amp; specification complete work</t>
  </si>
  <si>
    <t xml:space="preserve">Supplying and Laying of 25 mm or 1" thick P.C.C. (1:2:4) work in floor  good finish including supply of materials, racking the joint, wetting of surfaces &amp; curing the work at least 7days all complete  as per approved drawing, Specification and instruction of site engineer. all complete.                </t>
  </si>
  <si>
    <t xml:space="preserve">Supplying and Laying of 38 mm or 1½" thick P.C.C. (1:2:4) work in floor  good finish including supply of materials, racking the joint, wetting of surfaces &amp; curing the work at least 7days all complete  as per approved drawing, Specification and instruction of site engineer. all complete.                </t>
  </si>
  <si>
    <t xml:space="preserve">Supplying and Laying of 50 mm or 2" thick P.C.C. (1:2:4) work in floor  good finish including supply of materials, racking the joint, wetting of surfaces &amp; curing the work at least 7days all complete  as per approved drawing, Specification and instruction of site engineer. all complete.                </t>
  </si>
  <si>
    <t xml:space="preserve">Supplying and Laying of 75 mm or 3" thick P.C.C. (1:2:4) work in floor  good finish including supply of materials, racking the joint, wetting of surfaces &amp; curing the work at least 7days all complete  as per approved drawing, Specification and instruction of site engineer. all complete.                </t>
  </si>
  <si>
    <r>
      <rPr>
        <b/>
        <sz val="10"/>
        <color indexed="8"/>
        <rFont val="Times New Roman"/>
        <family val="1"/>
      </rPr>
      <t xml:space="preserve"> Lab equipment:-</t>
    </r>
    <r>
      <rPr>
        <sz val="10"/>
        <color indexed="8"/>
        <rFont val="Times New Roman"/>
        <family val="1"/>
      </rPr>
      <t>(Sieve Analyusis, Hydrometer Analysis, Atterberg's Limit, Specific Gravity, Natural Moisture Content, Direct Shear Test, Unconfined Compression Test, Conlolidation Test, Conducting SPT at 1.5m interval using auto trip hammer syster including collection of samples, sealing etc, Retrieving undisturbed samples for consolidation and shear strength tests for per BH.</t>
    </r>
  </si>
  <si>
    <r>
      <t xml:space="preserve">150X150X300 </t>
    </r>
    <r>
      <rPr>
        <b/>
        <sz val="10"/>
        <color indexed="8"/>
        <rFont val="Preeti"/>
      </rPr>
      <t>Pd=Pd=sf] xf]nf] Ans</t>
    </r>
  </si>
  <si>
    <r>
      <t xml:space="preserve">Wood </t>
    </r>
    <r>
      <rPr>
        <b/>
        <sz val="10"/>
        <color indexed="8"/>
        <rFont val="Times New Roman"/>
        <family val="1"/>
      </rPr>
      <t>Local</t>
    </r>
  </si>
  <si>
    <r>
      <t xml:space="preserve">Wood </t>
    </r>
    <r>
      <rPr>
        <b/>
        <sz val="10"/>
        <rFont val="Times New Roman"/>
        <family val="1"/>
      </rPr>
      <t>Local</t>
    </r>
  </si>
  <si>
    <r>
      <t>gf]6</t>
    </r>
    <r>
      <rPr>
        <sz val="10"/>
        <color indexed="8"/>
        <rFont val="Preeti"/>
      </rPr>
      <t xml:space="preserve"> M sf7 M ^ k6s;dd k|of]u ug{ ;lsg] To;kl5 @%Ü d"No afFsL /xg] lx;fan] ul/Psf] </t>
    </r>
  </si>
  <si>
    <r>
      <t>26 (H) 0.41 mm</t>
    </r>
    <r>
      <rPr>
        <i/>
        <sz val="10"/>
        <color indexed="8"/>
        <rFont val="Times New Roman"/>
        <family val="1"/>
      </rPr>
      <t xml:space="preserve"> thick colored C.G.I. sheet roofing work </t>
    </r>
  </si>
  <si>
    <r>
      <t>CGI sheet</t>
    </r>
    <r>
      <rPr>
        <b/>
        <sz val="10"/>
        <color indexed="8"/>
        <rFont val="Times New Roman"/>
        <family val="1"/>
      </rPr>
      <t xml:space="preserve"> 26 (H) 0.41 mm thick color</t>
    </r>
  </si>
  <si>
    <r>
      <t>26 (H) 0.41mm</t>
    </r>
    <r>
      <rPr>
        <i/>
        <sz val="10"/>
        <color indexed="8"/>
        <rFont val="Times New Roman"/>
        <family val="1"/>
      </rPr>
      <t xml:space="preserve"> thick plane C.G.I. sheet roofing work </t>
    </r>
  </si>
  <si>
    <r>
      <t>CGI sheet</t>
    </r>
    <r>
      <rPr>
        <b/>
        <sz val="10"/>
        <color indexed="8"/>
        <rFont val="Times New Roman"/>
        <family val="1"/>
      </rPr>
      <t xml:space="preserve"> 26 (H) 0.41 mm thick Plane</t>
    </r>
  </si>
  <si>
    <r>
      <t>26 (L) 0.37mm</t>
    </r>
    <r>
      <rPr>
        <i/>
        <sz val="10"/>
        <color indexed="8"/>
        <rFont val="Times New Roman"/>
        <family val="1"/>
      </rPr>
      <t xml:space="preserve"> thick  plane C.G.I. sheet roofing work </t>
    </r>
  </si>
  <si>
    <r>
      <t>CGI sheet</t>
    </r>
    <r>
      <rPr>
        <b/>
        <sz val="10"/>
        <color indexed="8"/>
        <rFont val="Times New Roman"/>
        <family val="1"/>
      </rPr>
      <t xml:space="preserve"> 26 (L) 0.37 mm thick Plane</t>
    </r>
  </si>
  <si>
    <r>
      <t>26 (M) 0.37 mm</t>
    </r>
    <r>
      <rPr>
        <i/>
        <sz val="10"/>
        <color indexed="8"/>
        <rFont val="Times New Roman"/>
        <family val="1"/>
      </rPr>
      <t xml:space="preserve"> thick  colour C.G.I. sheet roofing work </t>
    </r>
  </si>
  <si>
    <r>
      <t>CGI sheet</t>
    </r>
    <r>
      <rPr>
        <b/>
        <sz val="10"/>
        <color indexed="8"/>
        <rFont val="Times New Roman"/>
        <family val="1"/>
      </rPr>
      <t xml:space="preserve"> 26 (M) 0.37 mm thick colour</t>
    </r>
  </si>
  <si>
    <r>
      <t xml:space="preserve">28 (H) </t>
    </r>
    <r>
      <rPr>
        <i/>
        <sz val="10"/>
        <color indexed="8"/>
        <rFont val="Times New Roman"/>
        <family val="1"/>
      </rPr>
      <t xml:space="preserve"> </t>
    </r>
    <r>
      <rPr>
        <b/>
        <i/>
        <sz val="10"/>
        <color indexed="8"/>
        <rFont val="Times New Roman"/>
        <family val="1"/>
      </rPr>
      <t xml:space="preserve">G.I. plane </t>
    </r>
    <r>
      <rPr>
        <i/>
        <sz val="10"/>
        <color indexed="8"/>
        <rFont val="Times New Roman"/>
        <family val="1"/>
      </rPr>
      <t xml:space="preserve">ridge  cover </t>
    </r>
  </si>
  <si>
    <r>
      <t>26 (H) 0.41 mm</t>
    </r>
    <r>
      <rPr>
        <i/>
        <sz val="10"/>
        <color indexed="8"/>
        <rFont val="Times New Roman"/>
        <family val="1"/>
      </rPr>
      <t xml:space="preserve"> thick plane G.I. sheet roofing work </t>
    </r>
  </si>
  <si>
    <r>
      <t xml:space="preserve">GI sheet </t>
    </r>
    <r>
      <rPr>
        <b/>
        <sz val="10"/>
        <color indexed="8"/>
        <rFont val="Times New Roman"/>
        <family val="1"/>
      </rPr>
      <t>26 (H) 0.41 mm thick plane</t>
    </r>
  </si>
  <si>
    <r>
      <t>26 (M) 0.37 mm</t>
    </r>
    <r>
      <rPr>
        <i/>
        <sz val="10"/>
        <color indexed="8"/>
        <rFont val="Times New Roman"/>
        <family val="1"/>
      </rPr>
      <t xml:space="preserve"> thick plane G.I. sheet roofing work </t>
    </r>
  </si>
  <si>
    <r>
      <t>CGI sheet</t>
    </r>
    <r>
      <rPr>
        <b/>
        <sz val="10"/>
        <color indexed="8"/>
        <rFont val="Times New Roman"/>
        <family val="1"/>
      </rPr>
      <t xml:space="preserve"> 26 (M) 0.37 mm thick plain</t>
    </r>
  </si>
  <si>
    <r>
      <t>24 (H) 0.50 mm</t>
    </r>
    <r>
      <rPr>
        <i/>
        <sz val="10"/>
        <color indexed="8"/>
        <rFont val="Times New Roman"/>
        <family val="1"/>
      </rPr>
      <t xml:space="preserve"> thick </t>
    </r>
    <r>
      <rPr>
        <b/>
        <i/>
        <sz val="10"/>
        <color indexed="8"/>
        <rFont val="Times New Roman"/>
        <family val="1"/>
      </rPr>
      <t>Colour</t>
    </r>
    <r>
      <rPr>
        <i/>
        <sz val="10"/>
        <color indexed="8"/>
        <rFont val="Times New Roman"/>
        <family val="1"/>
      </rPr>
      <t xml:space="preserve"> G.I. sheet roofing work </t>
    </r>
  </si>
  <si>
    <r>
      <t>CGI sheet</t>
    </r>
    <r>
      <rPr>
        <b/>
        <sz val="10"/>
        <color indexed="8"/>
        <rFont val="Times New Roman"/>
        <family val="1"/>
      </rPr>
      <t xml:space="preserve"> 24 (H) 0.50 mm thick colour</t>
    </r>
  </si>
  <si>
    <r>
      <t>26 (M) 0.41 mm</t>
    </r>
    <r>
      <rPr>
        <i/>
        <sz val="10"/>
        <color indexed="8"/>
        <rFont val="Times New Roman"/>
        <family val="1"/>
      </rPr>
      <t xml:space="preserve"> thick </t>
    </r>
    <r>
      <rPr>
        <b/>
        <i/>
        <sz val="10"/>
        <color indexed="8"/>
        <rFont val="Times New Roman"/>
        <family val="1"/>
      </rPr>
      <t>Colour</t>
    </r>
    <r>
      <rPr>
        <i/>
        <sz val="10"/>
        <color indexed="8"/>
        <rFont val="Times New Roman"/>
        <family val="1"/>
      </rPr>
      <t xml:space="preserve"> G.I. sheet roofing work </t>
    </r>
  </si>
  <si>
    <r>
      <t xml:space="preserve">GI sheet </t>
    </r>
    <r>
      <rPr>
        <b/>
        <sz val="10"/>
        <color indexed="8"/>
        <rFont val="Times New Roman"/>
        <family val="1"/>
      </rPr>
      <t>26 (M) 0.41 mm thick Colour</t>
    </r>
  </si>
  <si>
    <r>
      <t>150 mm breadth upto 450 mm C. G. I. plane sheet Gutter fixing work with 3x40 mm  M.S. bracke,t nut bolt &amp;  washer .</t>
    </r>
    <r>
      <rPr>
        <i/>
        <sz val="10"/>
        <color indexed="8"/>
        <rFont val="Times New Roman"/>
        <family val="1"/>
      </rPr>
      <t xml:space="preserve"> </t>
    </r>
  </si>
  <si>
    <r>
      <t>150 mm breadth upto 450 mm C. G. I. colour sheet Gutter fixing work with 3x40 mm  M.S. bracke,t nut bolt &amp;  washer .</t>
    </r>
    <r>
      <rPr>
        <i/>
        <sz val="10"/>
        <color indexed="8"/>
        <rFont val="Times New Roman"/>
        <family val="1"/>
      </rPr>
      <t xml:space="preserve"> </t>
    </r>
  </si>
  <si>
    <r>
      <t xml:space="preserve">Clay tile  </t>
    </r>
    <r>
      <rPr>
        <i/>
        <sz val="10"/>
        <color indexed="8"/>
        <rFont val="Times New Roman"/>
        <family val="1"/>
      </rPr>
      <t xml:space="preserve">ridge  cover  </t>
    </r>
  </si>
  <si>
    <r>
      <t>2.0 mm</t>
    </r>
    <r>
      <rPr>
        <i/>
        <sz val="10"/>
        <color indexed="8"/>
        <rFont val="Times New Roman"/>
        <family val="1"/>
      </rPr>
      <t xml:space="preserve"> thick fiber glass corgated sheet roofing work </t>
    </r>
  </si>
  <si>
    <r>
      <t>Fiber glass</t>
    </r>
    <r>
      <rPr>
        <b/>
        <sz val="10"/>
        <color indexed="8"/>
        <rFont val="Times New Roman"/>
        <family val="1"/>
      </rPr>
      <t xml:space="preserve"> 2.0 mm thick </t>
    </r>
    <r>
      <rPr>
        <sz val="10"/>
        <color indexed="8"/>
        <rFont val="Times New Roman"/>
        <family val="1"/>
      </rPr>
      <t>corgated</t>
    </r>
  </si>
  <si>
    <r>
      <t xml:space="preserve">1.20 mm thick fiber glass </t>
    </r>
    <r>
      <rPr>
        <i/>
        <sz val="10"/>
        <color indexed="8"/>
        <rFont val="Times New Roman"/>
        <family val="1"/>
      </rPr>
      <t xml:space="preserve">ridge  cover </t>
    </r>
  </si>
  <si>
    <r>
      <t>Fiber glass</t>
    </r>
    <r>
      <rPr>
        <b/>
        <sz val="10"/>
        <color indexed="8"/>
        <rFont val="Times New Roman"/>
        <family val="1"/>
      </rPr>
      <t xml:space="preserve"> 1.20 mm thick </t>
    </r>
    <r>
      <rPr>
        <sz val="10"/>
        <color indexed="8"/>
        <rFont val="Times New Roman"/>
        <family val="1"/>
      </rPr>
      <t>ridge cover (0.60m width)</t>
    </r>
  </si>
  <si>
    <r>
      <t>Readymade colour concrete tile laying work on cement sand (1:4) screeding</t>
    </r>
    <r>
      <rPr>
        <i/>
        <sz val="10"/>
        <color indexed="8"/>
        <rFont val="Times New Roman"/>
        <family val="1"/>
      </rPr>
      <t xml:space="preserve"> </t>
    </r>
  </si>
  <si>
    <r>
      <t xml:space="preserve">Wood </t>
    </r>
    <r>
      <rPr>
        <b/>
        <sz val="10"/>
        <color indexed="8"/>
        <rFont val="Times New Roman"/>
        <family val="1"/>
      </rPr>
      <t>Sal</t>
    </r>
  </si>
  <si>
    <r>
      <t>2 mm</t>
    </r>
    <r>
      <rPr>
        <i/>
        <sz val="10"/>
        <color indexed="8"/>
        <rFont val="Times New Roman"/>
        <family val="1"/>
      </rPr>
      <t xml:space="preserve"> thick UPVC roofing sheet roofing work </t>
    </r>
  </si>
  <si>
    <r>
      <t xml:space="preserve">UPVC roofing sheet </t>
    </r>
    <r>
      <rPr>
        <b/>
        <sz val="10"/>
        <color indexed="8"/>
        <rFont val="Times New Roman"/>
        <family val="1"/>
      </rPr>
      <t xml:space="preserve">2 mm thick </t>
    </r>
  </si>
  <si>
    <r>
      <t>3 mm</t>
    </r>
    <r>
      <rPr>
        <i/>
        <sz val="10"/>
        <color indexed="8"/>
        <rFont val="Times New Roman"/>
        <family val="1"/>
      </rPr>
      <t xml:space="preserve"> thick UPVC roofing sheet roofing work </t>
    </r>
  </si>
  <si>
    <r>
      <t xml:space="preserve">UPVC roofing sheet </t>
    </r>
    <r>
      <rPr>
        <b/>
        <sz val="10"/>
        <color indexed="8"/>
        <rFont val="Times New Roman"/>
        <family val="1"/>
      </rPr>
      <t xml:space="preserve">3 mm thick </t>
    </r>
  </si>
  <si>
    <r>
      <t xml:space="preserve">Sal wood </t>
    </r>
    <r>
      <rPr>
        <i/>
        <sz val="10"/>
        <color indexed="8"/>
        <rFont val="Times New Roman"/>
        <family val="1"/>
      </rPr>
      <t>works for chaukhats with all complete.</t>
    </r>
  </si>
  <si>
    <r>
      <t xml:space="preserve">Local wood </t>
    </r>
    <r>
      <rPr>
        <i/>
        <sz val="10"/>
        <color indexed="8"/>
        <rFont val="Times New Roman"/>
        <family val="1"/>
      </rPr>
      <t>works for chaukhats with all complete.</t>
    </r>
  </si>
  <si>
    <r>
      <t xml:space="preserve">32 x 75 mm thick </t>
    </r>
    <r>
      <rPr>
        <b/>
        <i/>
        <sz val="10"/>
        <color indexed="8"/>
        <rFont val="Times New Roman"/>
        <family val="1"/>
      </rPr>
      <t xml:space="preserve">sal wood </t>
    </r>
    <r>
      <rPr>
        <i/>
        <sz val="10"/>
        <color indexed="8"/>
        <rFont val="Times New Roman"/>
        <family val="1"/>
      </rPr>
      <t>frame with 4 mm thick fully glazed shutter fixing work with all complete. Size of shutter  1.829 x 1.22 =2.23 Sqm.</t>
    </r>
  </si>
  <si>
    <r>
      <t>Glass 4 mm thick-</t>
    </r>
    <r>
      <rPr>
        <b/>
        <sz val="10"/>
        <color indexed="8"/>
        <rFont val="Times New Roman"/>
        <family val="1"/>
      </rPr>
      <t>Plane</t>
    </r>
  </si>
  <si>
    <r>
      <t xml:space="preserve">32 x 75 mm thick </t>
    </r>
    <r>
      <rPr>
        <b/>
        <i/>
        <sz val="10"/>
        <color indexed="8"/>
        <rFont val="Times New Roman"/>
        <family val="1"/>
      </rPr>
      <t xml:space="preserve">sal wood </t>
    </r>
    <r>
      <rPr>
        <i/>
        <sz val="10"/>
        <color indexed="8"/>
        <rFont val="Times New Roman"/>
        <family val="1"/>
      </rPr>
      <t>frame with 3 mm thick fully glazed shutter fixing work with all complete. Size of shutter  1.829 x 1.22 =2.23 Sqm.</t>
    </r>
  </si>
  <si>
    <r>
      <t>Glass 3 mm thick-</t>
    </r>
    <r>
      <rPr>
        <b/>
        <sz val="10"/>
        <color indexed="8"/>
        <rFont val="Times New Roman"/>
        <family val="1"/>
      </rPr>
      <t>Plane</t>
    </r>
  </si>
  <si>
    <r>
      <t xml:space="preserve">32 x 75 mm thick </t>
    </r>
    <r>
      <rPr>
        <b/>
        <i/>
        <sz val="10"/>
        <color indexed="8"/>
        <rFont val="Times New Roman"/>
        <family val="1"/>
      </rPr>
      <t xml:space="preserve">Gamhair wood </t>
    </r>
    <r>
      <rPr>
        <i/>
        <sz val="10"/>
        <color indexed="8"/>
        <rFont val="Times New Roman"/>
        <family val="1"/>
      </rPr>
      <t>frame with 4 mm thick fully glazed shutter fixing work with all complete. Size of shutter  1.829 x 1.22 =2.23 Sqm.</t>
    </r>
  </si>
  <si>
    <r>
      <t xml:space="preserve">Wood </t>
    </r>
    <r>
      <rPr>
        <b/>
        <sz val="10"/>
        <color indexed="8"/>
        <rFont val="Times New Roman"/>
        <family val="1"/>
      </rPr>
      <t>Gamhair</t>
    </r>
  </si>
  <si>
    <r>
      <t xml:space="preserve">Ply wood </t>
    </r>
    <r>
      <rPr>
        <b/>
        <sz val="10"/>
        <color indexed="8"/>
        <rFont val="Times New Roman"/>
        <family val="1"/>
      </rPr>
      <t xml:space="preserve">4 mm thick </t>
    </r>
    <r>
      <rPr>
        <sz val="10"/>
        <color indexed="8"/>
        <rFont val="Times New Roman"/>
        <family val="1"/>
      </rPr>
      <t>commercial</t>
    </r>
  </si>
  <si>
    <r>
      <t xml:space="preserve">Ply wood </t>
    </r>
    <r>
      <rPr>
        <b/>
        <sz val="10"/>
        <color indexed="8"/>
        <rFont val="Times New Roman"/>
        <family val="1"/>
      </rPr>
      <t xml:space="preserve">4 mm thick </t>
    </r>
    <r>
      <rPr>
        <sz val="10"/>
        <color indexed="8"/>
        <rFont val="Times New Roman"/>
        <family val="1"/>
      </rPr>
      <t>Teak</t>
    </r>
  </si>
  <si>
    <r>
      <t xml:space="preserve">Ply wood </t>
    </r>
    <r>
      <rPr>
        <b/>
        <sz val="10"/>
        <color indexed="8"/>
        <rFont val="Times New Roman"/>
        <family val="1"/>
      </rPr>
      <t xml:space="preserve">6 mm thick </t>
    </r>
    <r>
      <rPr>
        <sz val="10"/>
        <color indexed="8"/>
        <rFont val="Times New Roman"/>
        <family val="1"/>
      </rPr>
      <t>commercial</t>
    </r>
  </si>
  <si>
    <r>
      <t xml:space="preserve">Ply wood </t>
    </r>
    <r>
      <rPr>
        <b/>
        <sz val="10"/>
        <color indexed="8"/>
        <rFont val="Times New Roman"/>
        <family val="1"/>
      </rPr>
      <t xml:space="preserve">12 mm thick </t>
    </r>
    <r>
      <rPr>
        <sz val="10"/>
        <color indexed="8"/>
        <rFont val="Times New Roman"/>
        <family val="1"/>
      </rPr>
      <t>commercial</t>
    </r>
  </si>
  <si>
    <r>
      <t xml:space="preserve">Ply wood </t>
    </r>
    <r>
      <rPr>
        <b/>
        <sz val="10"/>
        <color indexed="8"/>
        <rFont val="Times New Roman"/>
        <family val="1"/>
      </rPr>
      <t xml:space="preserve">12 mm thick </t>
    </r>
    <r>
      <rPr>
        <sz val="10"/>
        <color indexed="8"/>
        <rFont val="Times New Roman"/>
        <family val="1"/>
      </rPr>
      <t>water proof</t>
    </r>
  </si>
  <si>
    <r>
      <t xml:space="preserve">25 mm or 1" thick </t>
    </r>
    <r>
      <rPr>
        <i/>
        <sz val="10"/>
        <color indexed="8"/>
        <rFont val="Times New Roman"/>
        <family val="1"/>
      </rPr>
      <t xml:space="preserve">P.C.C. (1:2:4) work in floor with all complete.                             </t>
    </r>
  </si>
  <si>
    <r>
      <t xml:space="preserve">38 mm or 1½" thick </t>
    </r>
    <r>
      <rPr>
        <i/>
        <sz val="10"/>
        <color indexed="8"/>
        <rFont val="Times New Roman"/>
        <family val="1"/>
      </rPr>
      <t xml:space="preserve">P.C.C. (1:2:4) work in floor with all complete.                                                </t>
    </r>
  </si>
  <si>
    <r>
      <t xml:space="preserve">50 mm or 2" thick </t>
    </r>
    <r>
      <rPr>
        <i/>
        <sz val="10"/>
        <color indexed="8"/>
        <rFont val="Times New Roman"/>
        <family val="1"/>
      </rPr>
      <t xml:space="preserve">P.C.C. (1:2:4) work in floor with all complete.                                </t>
    </r>
  </si>
  <si>
    <r>
      <t xml:space="preserve">75 mm or 3" thick </t>
    </r>
    <r>
      <rPr>
        <i/>
        <sz val="10"/>
        <color indexed="8"/>
        <rFont val="Times New Roman"/>
        <family val="1"/>
      </rPr>
      <t xml:space="preserve">P.C.C. (1:2:4) work in floor with all complete. </t>
    </r>
  </si>
  <si>
    <r>
      <t xml:space="preserve">Brick </t>
    </r>
    <r>
      <rPr>
        <b/>
        <sz val="10"/>
        <color indexed="8"/>
        <rFont val="Times New Roman"/>
        <family val="1"/>
      </rPr>
      <t>Bat</t>
    </r>
  </si>
  <si>
    <r>
      <t xml:space="preserve">20 mm. thick cement sand plaster work 1:3 </t>
    </r>
    <r>
      <rPr>
        <i/>
        <sz val="10"/>
        <color indexed="8"/>
        <rFont val="Times New Roman"/>
        <family val="1"/>
      </rPr>
      <t>on wall etc.</t>
    </r>
  </si>
  <si>
    <r>
      <t>20 mm. thick cement sand plaster work 1:4</t>
    </r>
    <r>
      <rPr>
        <i/>
        <sz val="10"/>
        <color indexed="8"/>
        <rFont val="Times New Roman"/>
        <family val="1"/>
      </rPr>
      <t xml:space="preserve"> on wall etc.</t>
    </r>
  </si>
  <si>
    <r>
      <t xml:space="preserve">20 mm. thick cement sand plaster work1:6 </t>
    </r>
    <r>
      <rPr>
        <i/>
        <sz val="10"/>
        <color indexed="8"/>
        <rFont val="Times New Roman"/>
        <family val="1"/>
      </rPr>
      <t>on wall etc.</t>
    </r>
  </si>
  <si>
    <r>
      <t xml:space="preserve">25 mm. thick mud plaster </t>
    </r>
    <r>
      <rPr>
        <i/>
        <sz val="10"/>
        <color indexed="8"/>
        <rFont val="Times New Roman"/>
        <family val="1"/>
      </rPr>
      <t>on wall etc.</t>
    </r>
  </si>
  <si>
    <r>
      <t xml:space="preserve">12.5 mm. thick mud plaster </t>
    </r>
    <r>
      <rPr>
        <i/>
        <sz val="10"/>
        <color indexed="8"/>
        <rFont val="Times New Roman"/>
        <family val="1"/>
      </rPr>
      <t>on wall etc.</t>
    </r>
  </si>
  <si>
    <r>
      <t>Flush  pointing works in 1:1 Cement   sand mortar</t>
    </r>
    <r>
      <rPr>
        <i/>
        <sz val="10"/>
        <color indexed="8"/>
        <rFont val="Times New Roman"/>
        <family val="1"/>
      </rPr>
      <t xml:space="preserve"> on Brick masonry wall </t>
    </r>
  </si>
  <si>
    <r>
      <t>Flush  pointing works in 1:2 Cement   sand mortar</t>
    </r>
    <r>
      <rPr>
        <i/>
        <sz val="10"/>
        <color indexed="8"/>
        <rFont val="Times New Roman"/>
        <family val="1"/>
      </rPr>
      <t xml:space="preserve"> on Brick masonry work </t>
    </r>
  </si>
  <si>
    <r>
      <t xml:space="preserve">Flush  pointing works in 1:3 Cement   sand mortar </t>
    </r>
    <r>
      <rPr>
        <i/>
        <sz val="10"/>
        <color indexed="8"/>
        <rFont val="Times New Roman"/>
        <family val="1"/>
      </rPr>
      <t>on Brick masonry wall</t>
    </r>
  </si>
  <si>
    <r>
      <t xml:space="preserve">Rulled  pointing works in 1:1 Cement   sand mortar </t>
    </r>
    <r>
      <rPr>
        <i/>
        <sz val="10"/>
        <color indexed="8"/>
        <rFont val="Times New Roman"/>
        <family val="1"/>
      </rPr>
      <t>on Brick masonry wall</t>
    </r>
  </si>
  <si>
    <r>
      <t xml:space="preserve">Ruled pointing works in 1:2 Cement   sand mortar </t>
    </r>
    <r>
      <rPr>
        <i/>
        <sz val="10"/>
        <color indexed="8"/>
        <rFont val="Times New Roman"/>
        <family val="1"/>
      </rPr>
      <t xml:space="preserve">on Brick masonry work </t>
    </r>
  </si>
  <si>
    <r>
      <t>Ruled  pointing works in 1:3 Cement   sand mortar</t>
    </r>
    <r>
      <rPr>
        <i/>
        <sz val="10"/>
        <color indexed="8"/>
        <rFont val="Times New Roman"/>
        <family val="1"/>
      </rPr>
      <t xml:space="preserve"> on Brick masonry wall</t>
    </r>
  </si>
  <si>
    <r>
      <t>Flush/Rulled  pointing works in 1:1 Cement   sand mortar</t>
    </r>
    <r>
      <rPr>
        <i/>
        <sz val="10"/>
        <color indexed="8"/>
        <rFont val="Times New Roman"/>
        <family val="1"/>
      </rPr>
      <t xml:space="preserve"> on Stone masonry wall</t>
    </r>
  </si>
  <si>
    <r>
      <t xml:space="preserve">Flush/Rulled  pointing works in 1:2 Cement   sand mortar </t>
    </r>
    <r>
      <rPr>
        <i/>
        <sz val="10"/>
        <color indexed="8"/>
        <rFont val="Times New Roman"/>
        <family val="1"/>
      </rPr>
      <t xml:space="preserve">on Stone masonry work </t>
    </r>
  </si>
  <si>
    <r>
      <t>Flush/Rulled  pointing works in 1:3 Cement   sand mortar</t>
    </r>
    <r>
      <rPr>
        <i/>
        <sz val="10"/>
        <color indexed="8"/>
        <rFont val="Times New Roman"/>
        <family val="1"/>
      </rPr>
      <t xml:space="preserve"> on Stone masonry work </t>
    </r>
  </si>
  <si>
    <r>
      <t xml:space="preserve">Flush/Rulled  pointing works in 1:3 Cement   sand mortar </t>
    </r>
    <r>
      <rPr>
        <i/>
        <sz val="10"/>
        <color indexed="8"/>
        <rFont val="Times New Roman"/>
        <family val="1"/>
      </rPr>
      <t xml:space="preserve">on Aslar Stone masonry work </t>
    </r>
  </si>
  <si>
    <r>
      <t>1:3 Cement   sand pointing</t>
    </r>
    <r>
      <rPr>
        <i/>
        <sz val="10"/>
        <color indexed="8"/>
        <rFont val="Times New Roman"/>
        <family val="1"/>
      </rPr>
      <t xml:space="preserve"> </t>
    </r>
    <r>
      <rPr>
        <b/>
        <i/>
        <sz val="10"/>
        <color indexed="8"/>
        <rFont val="Times New Roman"/>
        <family val="1"/>
      </rPr>
      <t xml:space="preserve">on 450 mm x 450 mm flat stone </t>
    </r>
    <r>
      <rPr>
        <i/>
        <sz val="10"/>
        <color indexed="8"/>
        <rFont val="Times New Roman"/>
        <family val="1"/>
      </rPr>
      <t>paving joints.</t>
    </r>
  </si>
  <si>
    <r>
      <t>1:1 Cement   sand pointing</t>
    </r>
    <r>
      <rPr>
        <i/>
        <sz val="10"/>
        <color indexed="8"/>
        <rFont val="Times New Roman"/>
        <family val="1"/>
      </rPr>
      <t xml:space="preserve"> </t>
    </r>
    <r>
      <rPr>
        <b/>
        <i/>
        <sz val="10"/>
        <color indexed="8"/>
        <rFont val="Times New Roman"/>
        <family val="1"/>
      </rPr>
      <t xml:space="preserve">on Teliya brick </t>
    </r>
    <r>
      <rPr>
        <i/>
        <sz val="10"/>
        <color indexed="8"/>
        <rFont val="Times New Roman"/>
        <family val="1"/>
      </rPr>
      <t>paving joints.</t>
    </r>
  </si>
  <si>
    <r>
      <t xml:space="preserve">3 mm thick Cement  sand 1:1 </t>
    </r>
    <r>
      <rPr>
        <i/>
        <sz val="10"/>
        <color indexed="8"/>
        <rFont val="Times New Roman"/>
        <family val="1"/>
      </rPr>
      <t>flushing plaster</t>
    </r>
  </si>
  <si>
    <r>
      <t>3 mm thick lime</t>
    </r>
    <r>
      <rPr>
        <i/>
        <sz val="10"/>
        <color indexed="8"/>
        <rFont val="Times New Roman"/>
        <family val="1"/>
      </rPr>
      <t xml:space="preserve"> flushing plaster</t>
    </r>
  </si>
  <si>
    <r>
      <t xml:space="preserve">3 mm thick Cement </t>
    </r>
    <r>
      <rPr>
        <i/>
        <sz val="10"/>
        <color indexed="8"/>
        <rFont val="Times New Roman"/>
        <family val="1"/>
      </rPr>
      <t xml:space="preserve">  flushing plaster</t>
    </r>
  </si>
  <si>
    <r>
      <t xml:space="preserve">Two coat white washing </t>
    </r>
    <r>
      <rPr>
        <i/>
        <sz val="10"/>
        <color indexed="8"/>
        <rFont val="Times New Roman"/>
        <family val="1"/>
      </rPr>
      <t>work on wall.</t>
    </r>
  </si>
  <si>
    <r>
      <t>Three coat white washing</t>
    </r>
    <r>
      <rPr>
        <i/>
        <sz val="10"/>
        <color indexed="8"/>
        <rFont val="Times New Roman"/>
        <family val="1"/>
      </rPr>
      <t xml:space="preserve"> work on wall.</t>
    </r>
  </si>
  <si>
    <r>
      <t xml:space="preserve">white washing </t>
    </r>
    <r>
      <rPr>
        <i/>
        <sz val="10"/>
        <color indexed="8"/>
        <rFont val="Times New Roman"/>
        <family val="1"/>
      </rPr>
      <t>work in old surface.</t>
    </r>
  </si>
  <si>
    <r>
      <t xml:space="preserve">One coat distemper </t>
    </r>
    <r>
      <rPr>
        <i/>
        <sz val="10"/>
        <color indexed="8"/>
        <rFont val="Times New Roman"/>
        <family val="1"/>
      </rPr>
      <t>painting work over primer coat.</t>
    </r>
  </si>
  <si>
    <r>
      <t>Two coat distemper</t>
    </r>
    <r>
      <rPr>
        <i/>
        <sz val="10"/>
        <color indexed="8"/>
        <rFont val="Times New Roman"/>
        <family val="1"/>
      </rPr>
      <t xml:space="preserve"> painting work over primer coat.</t>
    </r>
  </si>
  <si>
    <r>
      <t>One coat distemper</t>
    </r>
    <r>
      <rPr>
        <i/>
        <sz val="10"/>
        <color indexed="8"/>
        <rFont val="Times New Roman"/>
        <family val="1"/>
      </rPr>
      <t xml:space="preserve"> painting work without primer coat.</t>
    </r>
  </si>
  <si>
    <r>
      <t xml:space="preserve">Two coat distemper </t>
    </r>
    <r>
      <rPr>
        <i/>
        <sz val="10"/>
        <color indexed="8"/>
        <rFont val="Times New Roman"/>
        <family val="1"/>
      </rPr>
      <t>painting work without primer coat.</t>
    </r>
  </si>
  <si>
    <r>
      <t xml:space="preserve">One coat weather proof </t>
    </r>
    <r>
      <rPr>
        <i/>
        <sz val="10"/>
        <color indexed="8"/>
        <rFont val="Times New Roman"/>
        <family val="1"/>
      </rPr>
      <t>painting work over primer coat.</t>
    </r>
  </si>
  <si>
    <r>
      <t xml:space="preserve">Two coat weather proof  </t>
    </r>
    <r>
      <rPr>
        <i/>
        <sz val="10"/>
        <color indexed="8"/>
        <rFont val="Times New Roman"/>
        <family val="1"/>
      </rPr>
      <t>painting work over primer coat.</t>
    </r>
  </si>
  <si>
    <r>
      <t xml:space="preserve">One coat weather proof </t>
    </r>
    <r>
      <rPr>
        <i/>
        <sz val="10"/>
        <color indexed="8"/>
        <rFont val="Times New Roman"/>
        <family val="1"/>
      </rPr>
      <t>painting work without primer coat.</t>
    </r>
  </si>
  <si>
    <r>
      <t xml:space="preserve">Two coat weather proof </t>
    </r>
    <r>
      <rPr>
        <i/>
        <sz val="10"/>
        <color indexed="8"/>
        <rFont val="Times New Roman"/>
        <family val="1"/>
      </rPr>
      <t xml:space="preserve"> painting work without primer coat.</t>
    </r>
  </si>
  <si>
    <r>
      <t>One coat water proof cement</t>
    </r>
    <r>
      <rPr>
        <i/>
        <sz val="10"/>
        <color indexed="8"/>
        <rFont val="Times New Roman"/>
        <family val="1"/>
      </rPr>
      <t xml:space="preserve"> paint painting work in old surface</t>
    </r>
  </si>
  <si>
    <r>
      <t>Two coat water proof cement</t>
    </r>
    <r>
      <rPr>
        <i/>
        <sz val="10"/>
        <color indexed="8"/>
        <rFont val="Times New Roman"/>
        <family val="1"/>
      </rPr>
      <t xml:space="preserve"> paint painting work in old surface</t>
    </r>
  </si>
  <si>
    <r>
      <t xml:space="preserve">One coat white cement </t>
    </r>
    <r>
      <rPr>
        <i/>
        <sz val="10"/>
        <color indexed="8"/>
        <rFont val="Times New Roman"/>
        <family val="1"/>
      </rPr>
      <t>paint  painting work .</t>
    </r>
  </si>
  <si>
    <r>
      <t xml:space="preserve">Two coat white cement </t>
    </r>
    <r>
      <rPr>
        <i/>
        <sz val="10"/>
        <color indexed="8"/>
        <rFont val="Times New Roman"/>
        <family val="1"/>
      </rPr>
      <t>paint  painting work .</t>
    </r>
  </si>
  <si>
    <r>
      <t xml:space="preserve">One coat enamel </t>
    </r>
    <r>
      <rPr>
        <i/>
        <sz val="10"/>
        <color indexed="8"/>
        <rFont val="Times New Roman"/>
        <family val="1"/>
      </rPr>
      <t>painting work over primer coat in wooden surface.</t>
    </r>
  </si>
  <si>
    <r>
      <t xml:space="preserve">Enamel </t>
    </r>
    <r>
      <rPr>
        <b/>
        <sz val="10"/>
        <color indexed="8"/>
        <rFont val="Times New Roman"/>
        <family val="1"/>
      </rPr>
      <t>Primer</t>
    </r>
  </si>
  <si>
    <r>
      <t xml:space="preserve">Two coat enamel </t>
    </r>
    <r>
      <rPr>
        <i/>
        <sz val="10"/>
        <color indexed="8"/>
        <rFont val="Times New Roman"/>
        <family val="1"/>
      </rPr>
      <t>painting work over primer coat in wooden surface.</t>
    </r>
  </si>
  <si>
    <r>
      <t>One coat plastic emulsion</t>
    </r>
    <r>
      <rPr>
        <i/>
        <sz val="10"/>
        <color indexed="8"/>
        <rFont val="Times New Roman"/>
        <family val="1"/>
      </rPr>
      <t xml:space="preserve"> painting work over primer coat.</t>
    </r>
  </si>
  <si>
    <r>
      <t>Two coat plastic emulsion</t>
    </r>
    <r>
      <rPr>
        <i/>
        <sz val="10"/>
        <color indexed="8"/>
        <rFont val="Times New Roman"/>
        <family val="1"/>
      </rPr>
      <t xml:space="preserve"> painting work over primer coat.</t>
    </r>
  </si>
  <si>
    <r>
      <t xml:space="preserve">Two coat aluminium </t>
    </r>
    <r>
      <rPr>
        <i/>
        <sz val="10"/>
        <color indexed="8"/>
        <rFont val="Times New Roman"/>
        <family val="1"/>
      </rPr>
      <t>painting work over primer coat in metal surface.</t>
    </r>
  </si>
  <si>
    <r>
      <t xml:space="preserve">Red oxide </t>
    </r>
    <r>
      <rPr>
        <b/>
        <sz val="10"/>
        <color indexed="8"/>
        <rFont val="Times New Roman"/>
        <family val="1"/>
      </rPr>
      <t>Primer</t>
    </r>
  </si>
  <si>
    <r>
      <t>One coat varnish</t>
    </r>
    <r>
      <rPr>
        <i/>
        <sz val="10"/>
        <color indexed="8"/>
        <rFont val="Times New Roman"/>
        <family val="1"/>
      </rPr>
      <t xml:space="preserve"> painting work .</t>
    </r>
  </si>
  <si>
    <r>
      <t xml:space="preserve">Two coat varnish </t>
    </r>
    <r>
      <rPr>
        <i/>
        <sz val="10"/>
        <color indexed="8"/>
        <rFont val="Times New Roman"/>
        <family val="1"/>
      </rPr>
      <t>painting work .</t>
    </r>
  </si>
  <si>
    <r>
      <t>Three coat chapra</t>
    </r>
    <r>
      <rPr>
        <i/>
        <sz val="10"/>
        <color indexed="8"/>
        <rFont val="Times New Roman"/>
        <family val="1"/>
      </rPr>
      <t xml:space="preserve"> painting   work .</t>
    </r>
  </si>
  <si>
    <r>
      <t xml:space="preserve">One coat RED OXIDE </t>
    </r>
    <r>
      <rPr>
        <i/>
        <sz val="10"/>
        <color indexed="8"/>
        <rFont val="Times New Roman"/>
        <family val="1"/>
      </rPr>
      <t xml:space="preserve"> painting work .</t>
    </r>
  </si>
  <si>
    <r>
      <t xml:space="preserve">Two coat RED OXIDE </t>
    </r>
    <r>
      <rPr>
        <i/>
        <sz val="10"/>
        <color indexed="8"/>
        <rFont val="Times New Roman"/>
        <family val="1"/>
      </rPr>
      <t xml:space="preserve"> painting work .</t>
    </r>
  </si>
  <si>
    <r>
      <t>One coat water proof cement paint</t>
    </r>
    <r>
      <rPr>
        <i/>
        <sz val="10"/>
        <color indexed="8"/>
        <rFont val="Times New Roman"/>
        <family val="1"/>
      </rPr>
      <t xml:space="preserve"> painting work in plastered surface</t>
    </r>
  </si>
  <si>
    <r>
      <t xml:space="preserve">Two coat water proof cement </t>
    </r>
    <r>
      <rPr>
        <i/>
        <sz val="10"/>
        <color indexed="8"/>
        <rFont val="Times New Roman"/>
        <family val="1"/>
      </rPr>
      <t xml:space="preserve"> paint painting work in plastered surface</t>
    </r>
  </si>
  <si>
    <r>
      <t xml:space="preserve"> ENAMEL </t>
    </r>
    <r>
      <rPr>
        <i/>
        <sz val="10"/>
        <color indexed="8"/>
        <rFont val="Times New Roman"/>
        <family val="1"/>
      </rPr>
      <t xml:space="preserve">paint painting work over linceed oil in face brick wall </t>
    </r>
  </si>
  <si>
    <r>
      <t xml:space="preserve">One coat enamel </t>
    </r>
    <r>
      <rPr>
        <i/>
        <sz val="10"/>
        <color indexed="8"/>
        <rFont val="Times New Roman"/>
        <family val="1"/>
      </rPr>
      <t>painting work without primer coat in wooden surface.</t>
    </r>
  </si>
  <si>
    <r>
      <t xml:space="preserve">Two coat enamel </t>
    </r>
    <r>
      <rPr>
        <i/>
        <sz val="10"/>
        <color indexed="8"/>
        <rFont val="Times New Roman"/>
        <family val="1"/>
      </rPr>
      <t>painting work without primer coat in wooden surface.</t>
    </r>
  </si>
  <si>
    <r>
      <t>One coat plastic emulsion</t>
    </r>
    <r>
      <rPr>
        <i/>
        <sz val="10"/>
        <color indexed="8"/>
        <rFont val="Times New Roman"/>
        <family val="1"/>
      </rPr>
      <t xml:space="preserve"> painting work without primer coat.</t>
    </r>
  </si>
  <si>
    <r>
      <t>Two coat plastic emulsion</t>
    </r>
    <r>
      <rPr>
        <i/>
        <sz val="10"/>
        <color indexed="8"/>
        <rFont val="Times New Roman"/>
        <family val="1"/>
      </rPr>
      <t xml:space="preserve"> painting work without primer coat.</t>
    </r>
  </si>
  <si>
    <r>
      <t xml:space="preserve">One coat aluminium </t>
    </r>
    <r>
      <rPr>
        <i/>
        <sz val="10"/>
        <color indexed="8"/>
        <rFont val="Times New Roman"/>
        <family val="1"/>
      </rPr>
      <t>painting work without primer coat in metal surface.</t>
    </r>
  </si>
  <si>
    <r>
      <t xml:space="preserve">Two coat aluminium </t>
    </r>
    <r>
      <rPr>
        <i/>
        <sz val="10"/>
        <color indexed="8"/>
        <rFont val="Times New Roman"/>
        <family val="1"/>
      </rPr>
      <t>painting work without primer coat in metal surface.</t>
    </r>
  </si>
  <si>
    <r>
      <t xml:space="preserve">One coat RED OXIDE </t>
    </r>
    <r>
      <rPr>
        <i/>
        <sz val="10"/>
        <color indexed="8"/>
        <rFont val="Times New Roman"/>
        <family val="1"/>
      </rPr>
      <t xml:space="preserve"> painting work without primer coat</t>
    </r>
  </si>
  <si>
    <r>
      <t xml:space="preserve">Two coat RED OXIDE </t>
    </r>
    <r>
      <rPr>
        <i/>
        <sz val="10"/>
        <color indexed="8"/>
        <rFont val="Times New Roman"/>
        <family val="1"/>
      </rPr>
      <t xml:space="preserve"> painting work without primer coat</t>
    </r>
  </si>
  <si>
    <r>
      <t>Two coat washable distemper</t>
    </r>
    <r>
      <rPr>
        <i/>
        <sz val="10"/>
        <color indexed="8"/>
        <rFont val="Times New Roman"/>
        <family val="1"/>
      </rPr>
      <t xml:space="preserve"> painting work over primer coat.</t>
    </r>
  </si>
  <si>
    <r>
      <t xml:space="preserve">20 mm thick D.P.C. work </t>
    </r>
    <r>
      <rPr>
        <i/>
        <sz val="10"/>
        <color indexed="8"/>
        <rFont val="Times New Roman"/>
        <family val="1"/>
      </rPr>
      <t xml:space="preserve">in cement sand mortar in 1:2 with W.P.Compound.  </t>
    </r>
  </si>
  <si>
    <r>
      <t xml:space="preserve">25 mm thick D.P.C. work </t>
    </r>
    <r>
      <rPr>
        <i/>
        <sz val="10"/>
        <color indexed="8"/>
        <rFont val="Times New Roman"/>
        <family val="1"/>
      </rPr>
      <t>in cement concrete in 1:1</t>
    </r>
    <r>
      <rPr>
        <sz val="10"/>
        <color indexed="8"/>
        <rFont val="Times New Roman"/>
        <family val="1"/>
      </rPr>
      <t xml:space="preserve">½:3 withwith W.P.Compound.  </t>
    </r>
  </si>
  <si>
    <r>
      <t xml:space="preserve">38 mm thick D.P.C. work </t>
    </r>
    <r>
      <rPr>
        <i/>
        <sz val="10"/>
        <color indexed="8"/>
        <rFont val="Times New Roman"/>
        <family val="1"/>
      </rPr>
      <t>in cement concrete in 1:2</t>
    </r>
    <r>
      <rPr>
        <sz val="10"/>
        <color indexed="8"/>
        <rFont val="Times New Roman"/>
        <family val="1"/>
      </rPr>
      <t xml:space="preserve">:4 with with W.P.Compound.  </t>
    </r>
  </si>
  <si>
    <r>
      <t xml:space="preserve">One layer tarfelt </t>
    </r>
    <r>
      <rPr>
        <i/>
        <sz val="10"/>
        <color indexed="8"/>
        <rFont val="Times New Roman"/>
        <family val="1"/>
      </rPr>
      <t>laying  work.</t>
    </r>
  </si>
  <si>
    <r>
      <t xml:space="preserve">Two layer tarfelt </t>
    </r>
    <r>
      <rPr>
        <i/>
        <sz val="10"/>
        <color indexed="8"/>
        <rFont val="Times New Roman"/>
        <family val="1"/>
      </rPr>
      <t>laying  work.</t>
    </r>
  </si>
  <si>
    <r>
      <t xml:space="preserve">One layer damp proof grade tarfelt </t>
    </r>
    <r>
      <rPr>
        <i/>
        <sz val="10"/>
        <color indexed="8"/>
        <rFont val="Times New Roman"/>
        <family val="1"/>
      </rPr>
      <t>laying  work.</t>
    </r>
  </si>
  <si>
    <r>
      <t xml:space="preserve">Two layer damp proof grade tarfelt </t>
    </r>
    <r>
      <rPr>
        <i/>
        <sz val="10"/>
        <color indexed="8"/>
        <rFont val="Times New Roman"/>
        <family val="1"/>
      </rPr>
      <t>laying  work.</t>
    </r>
  </si>
  <si>
    <r>
      <t xml:space="preserve">Dismantling work of mud masonry wall </t>
    </r>
    <r>
      <rPr>
        <i/>
        <sz val="10"/>
        <color indexed="8"/>
        <rFont val="Times New Roman"/>
        <family val="1"/>
      </rPr>
      <t>&amp; removing of material upto 10 mtr lead.</t>
    </r>
  </si>
  <si>
    <r>
      <t xml:space="preserve">Dismantling work of cement masonry wall </t>
    </r>
    <r>
      <rPr>
        <i/>
        <sz val="10"/>
        <color indexed="8"/>
        <rFont val="Times New Roman"/>
        <family val="1"/>
      </rPr>
      <t>&amp; removing of material upto 10 mtr lead.</t>
    </r>
  </si>
  <si>
    <r>
      <t xml:space="preserve">Dismantling work of R.C.C. / R.B.C. </t>
    </r>
    <r>
      <rPr>
        <i/>
        <sz val="10"/>
        <color indexed="8"/>
        <rFont val="Times New Roman"/>
        <family val="1"/>
      </rPr>
      <t>&amp; removing of material upto 10 mtr lead.</t>
    </r>
  </si>
  <si>
    <r>
      <t xml:space="preserve">Dismantling work of P.C.C. / L.C.C. </t>
    </r>
    <r>
      <rPr>
        <i/>
        <sz val="10"/>
        <color indexed="8"/>
        <rFont val="Times New Roman"/>
        <family val="1"/>
      </rPr>
      <t>&amp; removing of material upto 10 mtr lead.</t>
    </r>
  </si>
  <si>
    <r>
      <t>Dismantling work of cement sand  / lime surkhee plaster</t>
    </r>
    <r>
      <rPr>
        <i/>
        <sz val="10"/>
        <color indexed="8"/>
        <rFont val="Times New Roman"/>
        <family val="1"/>
      </rPr>
      <t xml:space="preserve"> &amp; removing of material upto 10 mtr lead.</t>
    </r>
  </si>
  <si>
    <r>
      <t>Dismantling work of tile roof</t>
    </r>
    <r>
      <rPr>
        <i/>
        <sz val="10"/>
        <color indexed="8"/>
        <rFont val="Times New Roman"/>
        <family val="1"/>
      </rPr>
      <t xml:space="preserve"> &amp; removing of all material wood, tile upto 10 mtr lead.</t>
    </r>
  </si>
  <si>
    <r>
      <t>W</t>
    </r>
    <r>
      <rPr>
        <i/>
        <sz val="10"/>
        <color indexed="8"/>
        <rFont val="Times New Roman"/>
        <family val="1"/>
      </rPr>
      <t>ood preservative paint painting work</t>
    </r>
  </si>
  <si>
    <r>
      <t xml:space="preserve">Dismantling work of cgi sheet roof  </t>
    </r>
    <r>
      <rPr>
        <i/>
        <sz val="10"/>
        <color indexed="8"/>
        <rFont val="Times New Roman"/>
        <family val="1"/>
      </rPr>
      <t>&amp; removing of all material wood, cgi sheet upto 10 mtr lead.</t>
    </r>
  </si>
  <si>
    <r>
      <t xml:space="preserve">3 x 20mm Metal Grill </t>
    </r>
    <r>
      <rPr>
        <i/>
        <sz val="10"/>
        <color indexed="8"/>
        <rFont val="Times New Roman"/>
        <family val="1"/>
      </rPr>
      <t>including manufacturing, fitting, painting with Aluminium paint, sand papering all complete(15kg/sqm)</t>
    </r>
  </si>
  <si>
    <r>
      <t xml:space="preserve">4.5 x 20mm Metal Grill </t>
    </r>
    <r>
      <rPr>
        <i/>
        <sz val="10"/>
        <color indexed="8"/>
        <rFont val="Times New Roman"/>
        <family val="1"/>
      </rPr>
      <t>including manufacturing, fitting, painting with Aluminium paint, sand papering all complete(21.5 kg/sqm)</t>
    </r>
  </si>
  <si>
    <r>
      <t>Providing &amp;  fixing MS folded sheet  rolling shutters</t>
    </r>
    <r>
      <rPr>
        <i/>
        <sz val="10"/>
        <color indexed="8"/>
        <rFont val="Times New Roman"/>
        <family val="1"/>
      </rPr>
      <t xml:space="preserve"> with iron clamps, spring and axle of good quality finish with one coat red- oxide paint on shutter and oiling on spring and axle.</t>
    </r>
  </si>
  <si>
    <r>
      <t>Providing and fixing MS gate as per drawing with 50 mm X 50 mm X 3 mm MS angle, 25 mm X 25 mm MS square pipe, 16 gauge MS flat sheet, 12 mm X 3 mm  MS flat ,</t>
    </r>
    <r>
      <rPr>
        <i/>
        <sz val="10"/>
        <color indexed="8"/>
        <rFont val="Times New Roman"/>
        <family val="1"/>
      </rPr>
      <t xml:space="preserve"> ready made pivot hing welded to 175 mm long angle hold fast embedded in concrete and iron locking arrangement over one coat primer .</t>
    </r>
  </si>
  <si>
    <r>
      <t>Providing and fixing MS gate as per drawing with 50 mm X 50 mm X 3 mm MS angle, 25 mm X 25 mm MS square pipe,</t>
    </r>
    <r>
      <rPr>
        <i/>
        <sz val="10"/>
        <color indexed="8"/>
        <rFont val="Times New Roman"/>
        <family val="1"/>
      </rPr>
      <t xml:space="preserve">  ready made pivot hing welded to 175 mm long angle hold fast embedded in concrete and iron locking arrangement over one coat primer.</t>
    </r>
  </si>
  <si>
    <r>
      <t>Supplying and fixing of Barbed wire 14 gauge</t>
    </r>
    <r>
      <rPr>
        <i/>
        <sz val="10"/>
        <color indexed="8"/>
        <rFont val="Times New Roman"/>
        <family val="1"/>
      </rPr>
      <t xml:space="preserve"> including hooks, nails etc</t>
    </r>
  </si>
  <si>
    <r>
      <t>Supplying and fixing of Barbed wire 12 gauge</t>
    </r>
    <r>
      <rPr>
        <i/>
        <sz val="10"/>
        <color indexed="8"/>
        <rFont val="Times New Roman"/>
        <family val="1"/>
      </rPr>
      <t xml:space="preserve"> including hooks, nails etc 5 H+2D with 75x100 mm sal wood 2100 mm long .</t>
    </r>
  </si>
  <si>
    <r>
      <rPr>
        <b/>
        <sz val="10"/>
        <color indexed="8"/>
        <rFont val="Times New Roman"/>
        <family val="1"/>
      </rPr>
      <t>Stainless Steel</t>
    </r>
    <r>
      <rPr>
        <sz val="10"/>
        <color indexed="8"/>
        <rFont val="Times New Roman"/>
        <family val="1"/>
      </rPr>
      <t xml:space="preserve"> 50mm dia Handrail pipe,in between 20 mm dia sspipe 3 line ,40 mm vertical post 8/8 ft apart and 75 mm baluster pipe  with 900 mm height all complete </t>
    </r>
  </si>
  <si>
    <r>
      <t xml:space="preserve"> !) dL=dL= afSnf] </t>
    </r>
    <r>
      <rPr>
        <sz val="10"/>
        <color indexed="8"/>
        <rFont val="Times New Roman"/>
        <family val="1"/>
      </rPr>
      <t>Verti-fied 6fOn tof/L Prepacked adheshive d;nfdf nufpg] sfd .</t>
    </r>
  </si>
  <si>
    <r>
      <rPr>
        <sz val="10"/>
        <color indexed="8"/>
        <rFont val="Times New Roman"/>
        <family val="1"/>
      </rPr>
      <t>24"x24" Virtifried  Tile  as per approved standard of manufactured country !M$ l;d]G6 afn'jfdf 5fKg] sfd  .</t>
    </r>
  </si>
  <si>
    <r>
      <t xml:space="preserve">Good quality local chimney made  Brickwork in 1:3 Cement : sand mortar up to </t>
    </r>
    <r>
      <rPr>
        <b/>
        <sz val="12"/>
        <color indexed="8"/>
        <rFont val="Times New Roman"/>
        <family val="1"/>
      </rPr>
      <t xml:space="preserve">Ground floor </t>
    </r>
    <r>
      <rPr>
        <sz val="12"/>
        <color indexed="8"/>
        <rFont val="Times New Roman"/>
        <family val="1"/>
      </rPr>
      <t>in perfect line level finish including supply of materials, wetting the bricks, racking the joints and curing the work for at least 7 days all complete as per approved drawing, Specification and instruction of site engineer.</t>
    </r>
  </si>
  <si>
    <r>
      <t>Good quality local chimney made  Brickwork in 1:3 Cement : sand mortar up to</t>
    </r>
    <r>
      <rPr>
        <b/>
        <sz val="12"/>
        <color indexed="8"/>
        <rFont val="Times New Roman"/>
        <family val="1"/>
      </rPr>
      <t xml:space="preserve"> FIRST </t>
    </r>
    <r>
      <rPr>
        <sz val="12"/>
        <color indexed="8"/>
        <rFont val="Times New Roman"/>
        <family val="1"/>
      </rPr>
      <t xml:space="preserve"> floor in perfect line level finish including supply of materials, wetting the bricks, racking the joints and curing the work for at least 7 days all complete as per approved drawing, Specification and instruction of site engineer.</t>
    </r>
  </si>
  <si>
    <r>
      <t>Good quality local chimney made  Brickwork in 1:3 Cement : sand mortar up to</t>
    </r>
    <r>
      <rPr>
        <b/>
        <sz val="12"/>
        <color indexed="8"/>
        <rFont val="Times New Roman"/>
        <family val="1"/>
      </rPr>
      <t xml:space="preserve"> second  </t>
    </r>
    <r>
      <rPr>
        <sz val="12"/>
        <color indexed="8"/>
        <rFont val="Times New Roman"/>
        <family val="1"/>
      </rPr>
      <t xml:space="preserve"> floor in perfect line level finish including supply of materials, wetting the bricks, racking the joints and curing the work for at least 7 days all complete as per approved drawing, Specification and instruction of site engineer.</t>
    </r>
  </si>
  <si>
    <r>
      <t xml:space="preserve">Good quality local chimney made  Brickwork in 1:4 Cement : sand mortar up to </t>
    </r>
    <r>
      <rPr>
        <b/>
        <sz val="12"/>
        <color indexed="8"/>
        <rFont val="Times New Roman"/>
        <family val="1"/>
      </rPr>
      <t>Ground floor</t>
    </r>
    <r>
      <rPr>
        <sz val="12"/>
        <color indexed="8"/>
        <rFont val="Times New Roman"/>
        <family val="1"/>
      </rPr>
      <t xml:space="preserve"> in perfect line level finish including supply of materials, wetting the bricks, racking the joints and curing the work for at least 7 days all complete as per approved drawing, Specification and instruction of site engineer.</t>
    </r>
  </si>
  <si>
    <r>
      <t xml:space="preserve">Good quality local chimney made  Brickwork in 1:4 Cement : sand mortar up to </t>
    </r>
    <r>
      <rPr>
        <b/>
        <sz val="12"/>
        <color indexed="8"/>
        <rFont val="Times New Roman"/>
        <family val="1"/>
      </rPr>
      <t>FIRST  floor</t>
    </r>
    <r>
      <rPr>
        <sz val="12"/>
        <color indexed="8"/>
        <rFont val="Times New Roman"/>
        <family val="1"/>
      </rPr>
      <t xml:space="preserve"> in perfect line level finish including supply of materials, wetting the bricks, racking the joints and curing the work for at least 7 days all complete as per approved drawing, Specification and instruction of site engineer.</t>
    </r>
  </si>
  <si>
    <r>
      <t xml:space="preserve">Good quality local chimney made  Brickwork in 1:4 Cement : sand mortar up to </t>
    </r>
    <r>
      <rPr>
        <b/>
        <sz val="12"/>
        <color indexed="8"/>
        <rFont val="Times New Roman"/>
        <family val="1"/>
      </rPr>
      <t>second   floor</t>
    </r>
    <r>
      <rPr>
        <sz val="12"/>
        <color indexed="8"/>
        <rFont val="Times New Roman"/>
        <family val="1"/>
      </rPr>
      <t xml:space="preserve"> in perfect line level finish including supply of materials, wetting the bricks, racking the joints and curing the work for at least 7 days all complete as per approved drawing, Specification and instruction of site engineer.</t>
    </r>
  </si>
  <si>
    <r>
      <t xml:space="preserve">Good quality local chimney made  Brickwork in 1:6Cement : sand mortar up to </t>
    </r>
    <r>
      <rPr>
        <b/>
        <sz val="12"/>
        <color indexed="8"/>
        <rFont val="Times New Roman"/>
        <family val="1"/>
      </rPr>
      <t>Ground floor</t>
    </r>
    <r>
      <rPr>
        <sz val="12"/>
        <color indexed="8"/>
        <rFont val="Times New Roman"/>
        <family val="1"/>
      </rPr>
      <t xml:space="preserve"> in perfect line level finish including supply of materials, wetting the bricks, racking the joints and curing the work for at least 7 days all complete as per approved drawing, Specification and instruction of site engineer.</t>
    </r>
  </si>
  <si>
    <r>
      <t xml:space="preserve">Good quality local chimney made  Brickwork in 1:6 Cement : sand mortar up to </t>
    </r>
    <r>
      <rPr>
        <b/>
        <sz val="12"/>
        <color indexed="8"/>
        <rFont val="Times New Roman"/>
        <family val="1"/>
      </rPr>
      <t>FIRST  floor</t>
    </r>
    <r>
      <rPr>
        <sz val="12"/>
        <color indexed="8"/>
        <rFont val="Times New Roman"/>
        <family val="1"/>
      </rPr>
      <t xml:space="preserve"> in perfect line level finish including supply of materials, wetting the bricks, racking the joints and curing the work for at least 7 days all complete as per approved drawing, Specification and instruction of site engineer.</t>
    </r>
  </si>
  <si>
    <r>
      <t xml:space="preserve">Good quality local chimney made  Brickwork in 1:6Cement : sand mortar up to </t>
    </r>
    <r>
      <rPr>
        <b/>
        <sz val="12"/>
        <color indexed="8"/>
        <rFont val="Times New Roman"/>
        <family val="1"/>
      </rPr>
      <t>second   floo</t>
    </r>
    <r>
      <rPr>
        <sz val="12"/>
        <color indexed="8"/>
        <rFont val="Times New Roman"/>
        <family val="1"/>
      </rPr>
      <t>r in perfect line level finish including supply of materials, wetting the bricks, racking the joints and curing the work for at least 7 days all complete as per approved drawing, Specification and instruction of site engineer.</t>
    </r>
  </si>
  <si>
    <r>
      <t xml:space="preserve">Plain cement Concrete (PCC) in 1:3:6 ratio  for </t>
    </r>
    <r>
      <rPr>
        <b/>
        <sz val="12"/>
        <color indexed="8"/>
        <rFont val="Times New Roman"/>
        <family val="1"/>
      </rPr>
      <t>foundations</t>
    </r>
    <r>
      <rPr>
        <sz val="12"/>
        <color indexed="8"/>
        <rFont val="Times New Roman"/>
        <family val="1"/>
      </rPr>
      <t xml:space="preserve">  with approved quality of cement, sand and machine </t>
    </r>
    <r>
      <rPr>
        <b/>
        <sz val="12"/>
        <color indexed="8"/>
        <rFont val="Times New Roman"/>
        <family val="1"/>
      </rPr>
      <t>River Bed  aggregate</t>
    </r>
    <r>
      <rPr>
        <sz val="12"/>
        <color indexed="8"/>
        <rFont val="Times New Roman"/>
        <family val="1"/>
      </rPr>
      <t xml:space="preserv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</si>
  <si>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1:2:4 ratio  for </t>
    </r>
    <r>
      <rPr>
        <b/>
        <sz val="12"/>
        <color indexed="8"/>
        <rFont val="Times New Roman"/>
        <family val="1"/>
      </rPr>
      <t>foundations</t>
    </r>
    <r>
      <rPr>
        <sz val="12"/>
        <color indexed="8"/>
        <rFont val="Times New Roman"/>
        <family val="1"/>
      </rPr>
      <t xml:space="preserve">  with approved quality of cement, sand and machine </t>
    </r>
    <r>
      <rPr>
        <b/>
        <sz val="12"/>
        <color indexed="8"/>
        <rFont val="Times New Roman"/>
        <family val="1"/>
      </rPr>
      <t>River Bed  aggregate</t>
    </r>
    <r>
      <rPr>
        <sz val="12"/>
        <color indexed="8"/>
        <rFont val="Times New Roman"/>
        <family val="1"/>
      </rPr>
      <t xml:space="preserv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</si>
  <si>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1:2:4 ratio  for </t>
    </r>
    <r>
      <rPr>
        <b/>
        <sz val="12"/>
        <color indexed="8"/>
        <rFont val="Times New Roman"/>
        <family val="1"/>
      </rPr>
      <t>BEAM,SLAB ETC</t>
    </r>
    <r>
      <rPr>
        <sz val="12"/>
        <color indexed="8"/>
        <rFont val="Times New Roman"/>
        <family val="1"/>
      </rPr>
      <t xml:space="preserve">  with approved quality of cement, sand and machine </t>
    </r>
    <r>
      <rPr>
        <b/>
        <sz val="12"/>
        <color indexed="8"/>
        <rFont val="Times New Roman"/>
        <family val="1"/>
      </rPr>
      <t>River Bed  aggregate</t>
    </r>
    <r>
      <rPr>
        <sz val="12"/>
        <color indexed="8"/>
        <rFont val="Times New Roman"/>
        <family val="1"/>
      </rPr>
      <t xml:space="preserv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</si>
  <si>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1:1½:3 ratio  for </t>
    </r>
    <r>
      <rPr>
        <b/>
        <sz val="12"/>
        <color indexed="8"/>
        <rFont val="Times New Roman"/>
        <family val="1"/>
      </rPr>
      <t>BEAM,SLAB</t>
    </r>
    <r>
      <rPr>
        <sz val="12"/>
        <color indexed="8"/>
        <rFont val="Times New Roman"/>
        <family val="1"/>
      </rPr>
      <t xml:space="preserve"> ETC  with approved quality of cement, sand and machine </t>
    </r>
    <r>
      <rPr>
        <b/>
        <sz val="12"/>
        <color indexed="8"/>
        <rFont val="Times New Roman"/>
        <family val="1"/>
      </rPr>
      <t>River Bed  aggregate</t>
    </r>
    <r>
      <rPr>
        <sz val="12"/>
        <color indexed="8"/>
        <rFont val="Times New Roman"/>
        <family val="1"/>
      </rPr>
      <t xml:space="preserv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</si>
  <si>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1:1:2 ratio  for </t>
    </r>
    <r>
      <rPr>
        <b/>
        <sz val="12"/>
        <color indexed="8"/>
        <rFont val="Times New Roman"/>
        <family val="1"/>
      </rPr>
      <t>BEAM,SLAB</t>
    </r>
    <r>
      <rPr>
        <sz val="12"/>
        <color indexed="8"/>
        <rFont val="Times New Roman"/>
        <family val="1"/>
      </rPr>
      <t xml:space="preserve"> ETC  with approved quality of cement, sand and machine River Bed  aggregate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</si>
  <si>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1:3:6 ratio  for </t>
    </r>
    <r>
      <rPr>
        <b/>
        <sz val="12"/>
        <color indexed="8"/>
        <rFont val="Times New Roman"/>
        <family val="1"/>
      </rPr>
      <t>foundations</t>
    </r>
    <r>
      <rPr>
        <sz val="12"/>
        <color indexed="8"/>
        <rFont val="Times New Roman"/>
        <family val="1"/>
      </rPr>
      <t xml:space="preserve">  with approved quality of cement, sand and machine River Bed  aggregate including supply of materials,mixing, laying, curing the work at least 7 days etc all complete as per approved drawing, Specification and instruction of site engineer.</t>
    </r>
    <r>
      <rPr>
        <b/>
        <sz val="12"/>
        <color indexed="8"/>
        <rFont val="Times New Roman"/>
        <family val="1"/>
      </rPr>
      <t>USED MACHINE</t>
    </r>
  </si>
  <si>
    <r>
      <t xml:space="preserve">Plain cement Concrete (PCC) in 1:2:4 ratio  for </t>
    </r>
    <r>
      <rPr>
        <b/>
        <sz val="12"/>
        <color indexed="8"/>
        <rFont val="Times New Roman"/>
        <family val="1"/>
      </rPr>
      <t>foundations</t>
    </r>
    <r>
      <rPr>
        <sz val="12"/>
        <color indexed="8"/>
        <rFont val="Times New Roman"/>
        <family val="1"/>
      </rPr>
      <t xml:space="preserve">   with approved quality of cement, sand and machine </t>
    </r>
    <r>
      <rPr>
        <b/>
        <sz val="12"/>
        <color indexed="8"/>
        <rFont val="Times New Roman"/>
        <family val="1"/>
      </rPr>
      <t xml:space="preserve">River Bed  aggregate </t>
    </r>
    <r>
      <rPr>
        <sz val="12"/>
        <color indexed="8"/>
        <rFont val="Times New Roman"/>
        <family val="1"/>
      </rPr>
      <t>including supply of materials,mixing, laying, curing the work at least 7 days etc all complete as per approved drawing, Specification and instruction of site engineer.</t>
    </r>
    <r>
      <rPr>
        <b/>
        <sz val="12"/>
        <color indexed="8"/>
        <rFont val="Times New Roman"/>
        <family val="1"/>
      </rPr>
      <t>USED MACHINE</t>
    </r>
  </si>
  <si>
    <r>
      <t xml:space="preserve">Plain cement Concrete (PCC) in 1:1½:3 ratio  for BEAM,SLAB ETC  with approved quality of cement, sand and machine </t>
    </r>
    <r>
      <rPr>
        <b/>
        <sz val="12"/>
        <color indexed="8"/>
        <rFont val="Times New Roman"/>
        <family val="1"/>
      </rPr>
      <t>River Bed  aggregate</t>
    </r>
    <r>
      <rPr>
        <sz val="12"/>
        <color indexed="8"/>
        <rFont val="Times New Roman"/>
        <family val="1"/>
      </rPr>
      <t xml:space="preserve"> including supply of materials,mixing, laying, curing the work at least 7 days etc all complete as per approved drawing, Specification and instruction of site engineer</t>
    </r>
    <r>
      <rPr>
        <b/>
        <sz val="12"/>
        <color indexed="8"/>
        <rFont val="Times New Roman"/>
        <family val="1"/>
      </rPr>
      <t>.USED MACHINE</t>
    </r>
  </si>
  <si>
    <r>
      <t xml:space="preserve">Plain cement Concrete (PCC) in 1:1:2 ratio  for BEAM,SLAB ETC  with approved quality of cement, sand and machine </t>
    </r>
    <r>
      <rPr>
        <b/>
        <sz val="12"/>
        <color indexed="8"/>
        <rFont val="Times New Roman"/>
        <family val="1"/>
      </rPr>
      <t>River Bed  aggregate</t>
    </r>
    <r>
      <rPr>
        <sz val="12"/>
        <color indexed="8"/>
        <rFont val="Times New Roman"/>
        <family val="1"/>
      </rPr>
      <t xml:space="preserve"> including supply of materials,mixing, laying, curing the work at least 7 days etc all complete as per approved drawing, Specification and instruction of site engineer.USED MACHINE</t>
    </r>
  </si>
  <si>
    <r>
      <t xml:space="preserve">Plain cement Concrete (PCC) in 1:1:2 ratio  for </t>
    </r>
    <r>
      <rPr>
        <b/>
        <sz val="12"/>
        <color indexed="8"/>
        <rFont val="Times New Roman"/>
        <family val="1"/>
      </rPr>
      <t xml:space="preserve">,SLAB with  MICRO SILICA &amp; SUPER PLASTICISER </t>
    </r>
    <r>
      <rPr>
        <sz val="12"/>
        <color indexed="8"/>
        <rFont val="Times New Roman"/>
        <family val="1"/>
      </rPr>
      <t>approved quality of cement, sand and machine</t>
    </r>
    <r>
      <rPr>
        <b/>
        <sz val="12"/>
        <color indexed="8"/>
        <rFont val="Times New Roman"/>
        <family val="1"/>
      </rPr>
      <t xml:space="preserve"> River Bed  aggregate</t>
    </r>
    <r>
      <rPr>
        <sz val="12"/>
        <color indexed="8"/>
        <rFont val="Times New Roman"/>
        <family val="1"/>
      </rPr>
      <t xml:space="preserve"> including supply of materials,mixing, laying, curing the work at least 7 days etc all complete as per approved drawing, Specification and instruction of site engineer.</t>
    </r>
    <r>
      <rPr>
        <b/>
        <sz val="12"/>
        <color indexed="8"/>
        <rFont val="Times New Roman"/>
        <family val="1"/>
      </rPr>
      <t>USED MACHINE</t>
    </r>
  </si>
  <si>
    <r>
      <t xml:space="preserve">Plain cement Concrete (PCC) in 1:4:8 ratio  for </t>
    </r>
    <r>
      <rPr>
        <b/>
        <sz val="12"/>
        <color indexed="8"/>
        <rFont val="Times New Roman"/>
        <family val="1"/>
      </rPr>
      <t>foundations,WALL</t>
    </r>
    <r>
      <rPr>
        <sz val="12"/>
        <color indexed="8"/>
        <rFont val="Times New Roman"/>
        <family val="1"/>
      </rPr>
      <t xml:space="preserve">  with approved quality of cement, sand and machine </t>
    </r>
    <r>
      <rPr>
        <b/>
        <sz val="12"/>
        <color indexed="8"/>
        <rFont val="Times New Roman"/>
        <family val="1"/>
      </rPr>
      <t>CRUSHED OR STONE BALLAST</t>
    </r>
    <r>
      <rPr>
        <sz val="12"/>
        <color indexed="8"/>
        <rFont val="Times New Roman"/>
        <family val="1"/>
      </rPr>
      <t xml:space="preserve">  aggregate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</si>
  <si>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1:3:6 ratio  for </t>
    </r>
    <r>
      <rPr>
        <b/>
        <sz val="12"/>
        <color indexed="8"/>
        <rFont val="Times New Roman"/>
        <family val="1"/>
      </rPr>
      <t>foundations,WALL</t>
    </r>
    <r>
      <rPr>
        <sz val="12"/>
        <color indexed="8"/>
        <rFont val="Times New Roman"/>
        <family val="1"/>
      </rPr>
      <t xml:space="preserve">  with approved quality of cement, sand and machine </t>
    </r>
    <r>
      <rPr>
        <b/>
        <sz val="12"/>
        <color indexed="8"/>
        <rFont val="Times New Roman"/>
        <family val="1"/>
      </rPr>
      <t>CRUSHED OR STONE BALLAST</t>
    </r>
    <r>
      <rPr>
        <sz val="12"/>
        <color indexed="8"/>
        <rFont val="Times New Roman"/>
        <family val="1"/>
      </rPr>
      <t xml:space="preserve">  aggregate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</si>
  <si>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1:2:4 ratio  for </t>
    </r>
    <r>
      <rPr>
        <b/>
        <sz val="12"/>
        <color indexed="8"/>
        <rFont val="Times New Roman"/>
        <family val="1"/>
      </rPr>
      <t xml:space="preserve">foundations,WALL </t>
    </r>
    <r>
      <rPr>
        <sz val="12"/>
        <color indexed="8"/>
        <rFont val="Times New Roman"/>
        <family val="1"/>
      </rPr>
      <t xml:space="preserve">  with approved quality of cement, sand and machine </t>
    </r>
    <r>
      <rPr>
        <b/>
        <sz val="12"/>
        <color indexed="8"/>
        <rFont val="Times New Roman"/>
        <family val="1"/>
      </rPr>
      <t>CRUSHED OR STONE BALLAST</t>
    </r>
    <r>
      <rPr>
        <sz val="12"/>
        <color indexed="8"/>
        <rFont val="Times New Roman"/>
        <family val="1"/>
      </rPr>
      <t xml:space="preserve">  aggregate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</si>
  <si>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1:2:4 ratio  for </t>
    </r>
    <r>
      <rPr>
        <b/>
        <sz val="12"/>
        <color indexed="8"/>
        <rFont val="Times New Roman"/>
        <family val="1"/>
      </rPr>
      <t>SLAB,BEAM ,ETC</t>
    </r>
    <r>
      <rPr>
        <sz val="12"/>
        <color indexed="8"/>
        <rFont val="Times New Roman"/>
        <family val="1"/>
      </rPr>
      <t xml:space="preserve"> with approved quality of cement, sand and machine </t>
    </r>
    <r>
      <rPr>
        <b/>
        <sz val="12"/>
        <color indexed="8"/>
        <rFont val="Times New Roman"/>
        <family val="1"/>
      </rPr>
      <t>CRUSHED OR STONE BALLAST</t>
    </r>
    <r>
      <rPr>
        <sz val="12"/>
        <color indexed="8"/>
        <rFont val="Times New Roman"/>
        <family val="1"/>
      </rPr>
      <t xml:space="preserve">  aggregate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</si>
  <si>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1:1½:3 ratio  for </t>
    </r>
    <r>
      <rPr>
        <b/>
        <sz val="12"/>
        <color indexed="8"/>
        <rFont val="Times New Roman"/>
        <family val="1"/>
      </rPr>
      <t xml:space="preserve">SLAB,BEAM ,ETC </t>
    </r>
    <r>
      <rPr>
        <sz val="12"/>
        <color indexed="8"/>
        <rFont val="Times New Roman"/>
        <family val="1"/>
      </rPr>
      <t xml:space="preserve">with approved quality of cement, sand and machine </t>
    </r>
    <r>
      <rPr>
        <b/>
        <sz val="12"/>
        <color indexed="8"/>
        <rFont val="Times New Roman"/>
        <family val="1"/>
      </rPr>
      <t>CRUSHED OR STONE BALLAST</t>
    </r>
    <r>
      <rPr>
        <sz val="12"/>
        <color indexed="8"/>
        <rFont val="Times New Roman"/>
        <family val="1"/>
      </rPr>
      <t xml:space="preserve">  aggregate including supply of materials,mixing, laying, curing the work at least 7 days etc all complete as per approved drawing, Specification and instruction of site engineer.</t>
    </r>
    <r>
      <rPr>
        <b/>
        <sz val="12"/>
        <color indexed="8"/>
        <rFont val="Times New Roman"/>
        <family val="1"/>
      </rPr>
      <t>MANUAL</t>
    </r>
  </si>
  <si>
    <r>
      <t xml:space="preserve">Plain cement Concrete (PCC) in 1:1:2 ratio  for </t>
    </r>
    <r>
      <rPr>
        <b/>
        <sz val="12"/>
        <color indexed="8"/>
        <rFont val="Times New Roman"/>
        <family val="1"/>
      </rPr>
      <t>SLAB,BEAM ,ETC</t>
    </r>
    <r>
      <rPr>
        <sz val="12"/>
        <color indexed="8"/>
        <rFont val="Times New Roman"/>
        <family val="1"/>
      </rPr>
      <t xml:space="preserve">with approved quality of cement, sand and machine </t>
    </r>
    <r>
      <rPr>
        <b/>
        <sz val="12"/>
        <color indexed="8"/>
        <rFont val="Times New Roman"/>
        <family val="1"/>
      </rPr>
      <t>CRUSHED OR STONE BALLAST</t>
    </r>
    <r>
      <rPr>
        <sz val="12"/>
        <color indexed="8"/>
        <rFont val="Times New Roman"/>
        <family val="1"/>
      </rPr>
      <t xml:space="preserve">  aggregate including supply of materials,mixing, laying, curing the work at least 7 days etc all complete as per approved drawing, Specification and instruction of site engineer.</t>
    </r>
    <r>
      <rPr>
        <b/>
        <sz val="12"/>
        <color indexed="8"/>
        <rFont val="Times New Roman"/>
        <family val="1"/>
      </rPr>
      <t>MANUAL</t>
    </r>
  </si>
  <si>
    <r>
      <t>Plain cement Concrete (PCC) in 1:3:6 ratio  for FOUNDATION WALL with approved quality of cement, sand and machine CRUSHED OR STONE BALLAST  aggregate including supply of materials,mixing, laying, curing the work at least 7 days etc all complete as per approved drawing, Specification and instruction of site engineer.</t>
    </r>
    <r>
      <rPr>
        <b/>
        <sz val="12"/>
        <color indexed="8"/>
        <rFont val="Times New Roman"/>
        <family val="1"/>
      </rPr>
      <t xml:space="preserve">USED MACHINE </t>
    </r>
  </si>
  <si>
    <r>
      <t>Plain cement Concrete (PCC) in 1:2:4 ratio  for FOUNDATION WALL with approved quality of cement, sand and machine CRUSHED OR STONE BALLAST  aggregate including supply of materials,mixing, laying, curing the work at least 7 days etc all complete as per approved drawing, Specification and instruction of site engineer</t>
    </r>
    <r>
      <rPr>
        <b/>
        <sz val="12"/>
        <color indexed="8"/>
        <rFont val="Times New Roman"/>
        <family val="1"/>
      </rPr>
      <t xml:space="preserve">.USED MACHINE </t>
    </r>
  </si>
  <si>
    <r>
      <t xml:space="preserve">Plain cement Concrete (PCC) in 1:1½:3ratio  for </t>
    </r>
    <r>
      <rPr>
        <b/>
        <sz val="12"/>
        <color indexed="8"/>
        <rFont val="Times New Roman"/>
        <family val="1"/>
      </rPr>
      <t>SLAB,BEAM ETC</t>
    </r>
    <r>
      <rPr>
        <sz val="12"/>
        <color indexed="8"/>
        <rFont val="Times New Roman"/>
        <family val="1"/>
      </rPr>
      <t xml:space="preserve">  with approved quality of cement, sand and machine CRUSHED OR STONE BALLAST  aggregate including supply of materials,mixing, laying, curing the work at least 7 days etc all complete as per approved drawing, Specification and instruction of site engineer.</t>
    </r>
    <r>
      <rPr>
        <b/>
        <sz val="12"/>
        <color indexed="8"/>
        <rFont val="Times New Roman"/>
        <family val="1"/>
      </rPr>
      <t xml:space="preserve">USED MACHINE </t>
    </r>
  </si>
  <si>
    <r>
      <t xml:space="preserve">Plain cement Concrete (PCC) in 1:1:2ratio  for </t>
    </r>
    <r>
      <rPr>
        <b/>
        <sz val="12"/>
        <color indexed="8"/>
        <rFont val="Times New Roman"/>
        <family val="1"/>
      </rPr>
      <t>SLAB,BEAM ETC</t>
    </r>
    <r>
      <rPr>
        <sz val="12"/>
        <color indexed="8"/>
        <rFont val="Times New Roman"/>
        <family val="1"/>
      </rPr>
      <t xml:space="preserve">  with approved quality of cement, sand and machine CRUSHED OR STONE BALLAST  aggregate including supply of materials,mixing, laying, curing the work at least 7 days etc all complete as per approved drawing, Specification and instruction of site engineer.</t>
    </r>
    <r>
      <rPr>
        <b/>
        <sz val="12"/>
        <color indexed="8"/>
        <rFont val="Times New Roman"/>
        <family val="1"/>
      </rPr>
      <t xml:space="preserve">USED MACHINE </t>
    </r>
  </si>
  <si>
    <r>
      <t xml:space="preserve">Plain cement Concrete (PCC) in 1:1:2 ratio  for ,SLAB with  MICRO SILICA &amp; SUPER PLASTICISER approved quality of cement, sand and machine </t>
    </r>
    <r>
      <rPr>
        <b/>
        <sz val="12"/>
        <color indexed="8"/>
        <rFont val="Times New Roman"/>
        <family val="1"/>
      </rPr>
      <t>CRUSHED OR STONE BALLAST</t>
    </r>
    <r>
      <rPr>
        <sz val="12"/>
        <color indexed="8"/>
        <rFont val="Times New Roman"/>
        <family val="1"/>
      </rPr>
      <t xml:space="preserve">  including supply of materials,mixing, laying, curing the work at least 7 days etc all complete as per approved drawing, Specification and instruction of site engineer.USED MACHINE</t>
    </r>
  </si>
  <si>
    <r>
      <rPr>
        <b/>
        <sz val="12"/>
        <color indexed="8"/>
        <rFont val="Times New Roman"/>
        <family val="1"/>
      </rPr>
      <t xml:space="preserve">READY MIX CONCRETE </t>
    </r>
    <r>
      <rPr>
        <sz val="12"/>
        <color indexed="8"/>
        <rFont val="Times New Roman"/>
        <family val="1"/>
      </rPr>
      <t xml:space="preserve"> with approved quality of cement, sand and machine CRUSHED OR STONE BALLAST  aggregate including supply of materials,mixing, laying, curing the work at least 7 days etc all complete as per approved drawing, Specification and instruction of site engineer</t>
    </r>
  </si>
  <si>
    <r>
      <t>Formwork, shuttering, centering</t>
    </r>
    <r>
      <rPr>
        <b/>
        <sz val="12"/>
        <color indexed="8"/>
        <rFont val="Times New Roman"/>
        <family val="1"/>
      </rPr>
      <t xml:space="preserve"> ( COLUMN with LOCAL WOOD  </t>
    </r>
    <r>
      <rPr>
        <sz val="12"/>
        <color indexed="8"/>
        <rFont val="Times New Roman"/>
        <family val="1"/>
      </rPr>
      <t xml:space="preserve">for all works necessary propping, scaffolding, staging, supporting inclusive of wedging and cutting holes for utilization till the support if fully unyielding nett  all complete as per approved drawing, Specification and instruction of site engineer. </t>
    </r>
  </si>
  <si>
    <r>
      <t xml:space="preserve">Formwork, shuttering, centering </t>
    </r>
    <r>
      <rPr>
        <b/>
        <sz val="12"/>
        <color indexed="8"/>
        <rFont val="Times New Roman"/>
        <family val="1"/>
      </rPr>
      <t>(COLUMN )</t>
    </r>
    <r>
      <rPr>
        <sz val="12"/>
        <color indexed="8"/>
        <rFont val="Times New Roman"/>
        <family val="1"/>
      </rPr>
      <t xml:space="preserve"> with 19mm thick waterproof ply board and steel props  for all works necessary propping, scaffolding, staging, supporting inclusive of wedging and cutting holes for utilization till the support if fully unyielding nett  all complete as per approved drawing, Specification and instruction of site engineer. </t>
    </r>
  </si>
  <si>
    <r>
      <t xml:space="preserve">Formwork, shuttering, centering </t>
    </r>
    <r>
      <rPr>
        <b/>
        <sz val="12"/>
        <color indexed="8"/>
        <rFont val="Times New Roman"/>
        <family val="1"/>
      </rPr>
      <t xml:space="preserve">(BEAM  ) </t>
    </r>
    <r>
      <rPr>
        <sz val="12"/>
        <color indexed="8"/>
        <rFont val="Times New Roman"/>
        <family val="1"/>
      </rPr>
      <t xml:space="preserve">with 19mm thick waterproof ply board and steel props  for all works necessary propping, scaffolding, staging, supporting inclusive of wedging and cutting holes for utilization till the support if fully unyielding nett  all complete as per approved drawing, Specification and instruction of site engineer. </t>
    </r>
  </si>
  <si>
    <r>
      <t xml:space="preserve">Formwork, shuttering, centering </t>
    </r>
    <r>
      <rPr>
        <b/>
        <sz val="12"/>
        <color indexed="8"/>
        <rFont val="Times New Roman"/>
        <family val="1"/>
      </rPr>
      <t xml:space="preserve">(SLAB  </t>
    </r>
    <r>
      <rPr>
        <sz val="12"/>
        <color indexed="8"/>
        <rFont val="Times New Roman"/>
        <family val="1"/>
      </rPr>
      <t xml:space="preserve">) with 19mm thick waterproof ply board and steel props  for all works necessary propping, scaffolding, staging, supporting inclusive of wedging and cutting holes for utilization till the support if fully unyielding nett  all complete as per approved drawing, Specification and instruction of site engineer. </t>
    </r>
  </si>
  <si>
    <r>
      <t>Formwork, shuttering, centering (SLAB  ) with 19mm thick waterproof ply board and</t>
    </r>
    <r>
      <rPr>
        <b/>
        <sz val="12"/>
        <color indexed="8"/>
        <rFont val="Times New Roman"/>
        <family val="1"/>
      </rPr>
      <t xml:space="preserve"> BAMBOO PROP</t>
    </r>
    <r>
      <rPr>
        <sz val="12"/>
        <color indexed="8"/>
        <rFont val="Times New Roman"/>
        <family val="1"/>
      </rPr>
      <t xml:space="preserve">S for all works necessary propping, scaffolding, staging, supporting inclusive of wedging and cutting holes for utilization till the support if fully unyielding nett  all complete as per approved drawing, Specification and instruction of site engineer. </t>
    </r>
  </si>
  <si>
    <t>DUDBC NORMS</t>
  </si>
  <si>
    <t xml:space="preserve">RAINAS MUNICIPALITY </t>
  </si>
  <si>
    <t>TINPIPLE,LAMJUNG</t>
  </si>
  <si>
    <t>FISCAL YEAR  :  2082/083</t>
  </si>
  <si>
    <t>F / Y  :  2082/083</t>
  </si>
  <si>
    <t>आ.व.०८२०८३</t>
  </si>
  <si>
    <t>Average</t>
  </si>
  <si>
    <t>170.5/1.13</t>
  </si>
  <si>
    <t>metric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</si>
</sst>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0.0000"/>
    <numFmt numFmtId="166" formatCode="0.00000"/>
    <numFmt numFmtId="167" formatCode="_(* #,##0.000_);_(* \(#,##0.000\);_(* &quot;-&quot;??_);_(@_)"/>
    <numFmt numFmtId="168" formatCode="0.0"/>
  </numFmts>
  <fonts count="97">
    <font>
      <sz val="10"/>
      <name val="Arial"/>
    </font>
    <font>
      <sz val="10"/>
      <name val="Arial"/>
      <family val="2"/>
    </font>
    <font>
      <sz val="8"/>
      <name val="Arial"/>
      <family val="2"/>
    </font>
    <font>
      <b/>
      <sz val="9"/>
      <name val="Arial"/>
      <family val="2"/>
    </font>
    <font>
      <sz val="9"/>
      <name val="Arial"/>
      <family val="2"/>
    </font>
    <font>
      <b/>
      <i/>
      <sz val="9"/>
      <name val="Arial"/>
      <family val="2"/>
    </font>
    <font>
      <sz val="9"/>
      <name val="Arial"/>
      <family val="2"/>
    </font>
    <font>
      <b/>
      <i/>
      <sz val="9"/>
      <name val="Arial"/>
      <family val="2"/>
    </font>
    <font>
      <i/>
      <sz val="9"/>
      <name val="Arial"/>
      <family val="2"/>
    </font>
    <font>
      <sz val="12"/>
      <name val="Preeti"/>
    </font>
    <font>
      <sz val="10"/>
      <name val="Fontasy Himali"/>
      <family val="5"/>
    </font>
    <font>
      <b/>
      <sz val="12"/>
      <name val="Aragon"/>
    </font>
    <font>
      <b/>
      <sz val="10"/>
      <name val="Arial"/>
      <family val="2"/>
    </font>
    <font>
      <b/>
      <i/>
      <sz val="9"/>
      <color indexed="10"/>
      <name val="Arial"/>
      <family val="2"/>
    </font>
    <font>
      <sz val="14"/>
      <color indexed="8"/>
      <name val="Himalli"/>
    </font>
    <font>
      <sz val="10"/>
      <color indexed="8"/>
      <name val="Arial"/>
      <family val="2"/>
    </font>
    <font>
      <sz val="12"/>
      <name val="Arial"/>
      <family val="2"/>
    </font>
    <font>
      <b/>
      <sz val="16"/>
      <name val="Preeti"/>
    </font>
    <font>
      <sz val="16"/>
      <name val="Preeti"/>
    </font>
    <font>
      <b/>
      <sz val="20"/>
      <name val="Preeti"/>
    </font>
    <font>
      <b/>
      <sz val="22"/>
      <name val="Preeti"/>
    </font>
    <font>
      <b/>
      <sz val="24"/>
      <name val="Preeti"/>
    </font>
    <font>
      <b/>
      <sz val="28"/>
      <name val="Preeti"/>
    </font>
    <font>
      <b/>
      <sz val="53"/>
      <name val="Preeti"/>
    </font>
    <font>
      <b/>
      <sz val="35"/>
      <name val="Preeti"/>
    </font>
    <font>
      <b/>
      <sz val="36"/>
      <name val="Preeti"/>
    </font>
    <font>
      <b/>
      <u/>
      <sz val="20"/>
      <name val="Preeti"/>
    </font>
    <font>
      <b/>
      <sz val="11"/>
      <name val="Times New Roman"/>
      <family val="1"/>
    </font>
    <font>
      <sz val="11"/>
      <name val="Times New Roman"/>
      <family val="1"/>
    </font>
    <font>
      <sz val="11"/>
      <name val="Arial"/>
      <family val="2"/>
    </font>
    <font>
      <b/>
      <vertAlign val="superscript"/>
      <sz val="11"/>
      <name val="Times New Roman"/>
      <family val="1"/>
    </font>
    <font>
      <sz val="10"/>
      <name val="Times New Roman"/>
      <family val="1"/>
    </font>
    <font>
      <sz val="8"/>
      <name val="Times New Roman"/>
      <family val="1"/>
    </font>
    <font>
      <b/>
      <sz val="10"/>
      <name val="Times New Roman"/>
      <family val="1"/>
    </font>
    <font>
      <b/>
      <vertAlign val="superscript"/>
      <sz val="10"/>
      <name val="Times New Roman"/>
      <family val="1"/>
    </font>
    <font>
      <b/>
      <sz val="14"/>
      <name val="Times New Roman"/>
      <family val="1"/>
    </font>
    <font>
      <sz val="14"/>
      <name val="Times New Roman"/>
      <family val="1"/>
    </font>
    <font>
      <sz val="14"/>
      <name val="Arial"/>
      <family val="2"/>
    </font>
    <font>
      <b/>
      <sz val="26"/>
      <name val="Preeti"/>
    </font>
    <font>
      <b/>
      <sz val="18"/>
      <name val="Preeti"/>
    </font>
    <font>
      <b/>
      <sz val="14"/>
      <name val="Preeti"/>
    </font>
    <font>
      <sz val="12"/>
      <name val="Fontasy Himali"/>
      <family val="5"/>
    </font>
    <font>
      <sz val="12"/>
      <name val="Nepali_DLS_I"/>
      <family val="5"/>
    </font>
    <font>
      <sz val="14"/>
      <name val="Preeti"/>
    </font>
    <font>
      <sz val="10"/>
      <name val="Nepali_DLS_I"/>
      <family val="5"/>
    </font>
    <font>
      <sz val="12"/>
      <name val="Times New Roman"/>
      <family val="1"/>
    </font>
    <font>
      <b/>
      <i/>
      <u/>
      <sz val="16"/>
      <name val="Times New Roman"/>
      <family val="1"/>
    </font>
    <font>
      <b/>
      <i/>
      <u/>
      <sz val="14"/>
      <name val="Times New Roman"/>
      <family val="1"/>
    </font>
    <font>
      <b/>
      <u/>
      <sz val="36"/>
      <name val="Preeti"/>
    </font>
    <font>
      <b/>
      <sz val="9"/>
      <name val="Times New Roman"/>
      <family val="1"/>
    </font>
    <font>
      <sz val="9"/>
      <name val="Times New Roman"/>
      <family val="1"/>
    </font>
    <font>
      <b/>
      <sz val="12"/>
      <name val="Times New Roman"/>
      <family val="1"/>
    </font>
    <font>
      <sz val="36"/>
      <name val="Times New Roman"/>
      <family val="1"/>
    </font>
    <font>
      <b/>
      <sz val="16"/>
      <name val="Times New Roman"/>
      <family val="1"/>
    </font>
    <font>
      <sz val="28"/>
      <name val="Times New Roman"/>
      <family val="1"/>
    </font>
    <font>
      <sz val="48"/>
      <name val="Times New Roman"/>
      <family val="1"/>
    </font>
    <font>
      <b/>
      <sz val="8"/>
      <name val="Times New Roman"/>
      <family val="1"/>
    </font>
    <font>
      <b/>
      <sz val="36"/>
      <name val="Times New Roman"/>
      <family val="1"/>
    </font>
    <font>
      <sz val="10"/>
      <name val="Kalimati"/>
      <charset val="1"/>
    </font>
    <font>
      <sz val="9"/>
      <color indexed="8"/>
      <name val="Times New Roman"/>
      <family val="1"/>
    </font>
    <font>
      <b/>
      <sz val="9"/>
      <color indexed="8"/>
      <name val="Times New Roman"/>
      <family val="1"/>
    </font>
    <font>
      <b/>
      <sz val="8"/>
      <name val="Kalimati"/>
      <charset val="1"/>
    </font>
    <font>
      <b/>
      <sz val="12"/>
      <color indexed="8"/>
      <name val="Times New Roman"/>
      <family val="1"/>
    </font>
    <font>
      <sz val="12"/>
      <color indexed="8"/>
      <name val="Times New Roman"/>
      <family val="1"/>
    </font>
    <font>
      <b/>
      <sz val="10"/>
      <color indexed="8"/>
      <name val="Times New Roman"/>
      <family val="1"/>
    </font>
    <font>
      <sz val="10"/>
      <color indexed="8"/>
      <name val="Times New Roman"/>
      <family val="1"/>
    </font>
    <font>
      <b/>
      <sz val="10"/>
      <color indexed="8"/>
      <name val="Preeti"/>
    </font>
    <font>
      <b/>
      <i/>
      <sz val="10"/>
      <name val="Times New Roman"/>
      <family val="1"/>
    </font>
    <font>
      <sz val="10"/>
      <color indexed="8"/>
      <name val="Preeti"/>
    </font>
    <font>
      <i/>
      <sz val="10"/>
      <color indexed="8"/>
      <name val="Times New Roman"/>
      <family val="1"/>
    </font>
    <font>
      <b/>
      <i/>
      <sz val="10"/>
      <color indexed="8"/>
      <name val="Times New Roman"/>
      <family val="1"/>
    </font>
    <font>
      <sz val="11"/>
      <color theme="1"/>
      <name val="Calibri"/>
      <family val="2"/>
      <scheme val="minor"/>
    </font>
    <font>
      <sz val="10"/>
      <color theme="1"/>
      <name val="Arial Black"/>
      <family val="2"/>
    </font>
    <font>
      <sz val="14"/>
      <color theme="1"/>
      <name val="Himalli"/>
    </font>
    <font>
      <sz val="12"/>
      <color theme="1"/>
      <name val="Himalli"/>
    </font>
    <font>
      <sz val="10"/>
      <color theme="1"/>
      <name val="Arial"/>
      <family val="2"/>
    </font>
    <font>
      <b/>
      <sz val="16"/>
      <color rgb="FFFF0000"/>
      <name val="Himalli"/>
    </font>
    <font>
      <sz val="9"/>
      <color theme="1"/>
      <name val="Times New Roman"/>
      <family val="1"/>
    </font>
    <font>
      <b/>
      <sz val="9"/>
      <color theme="1"/>
      <name val="Times New Roman"/>
      <family val="1"/>
    </font>
    <font>
      <b/>
      <sz val="10"/>
      <color rgb="FFFF0000"/>
      <name val="Times New Roman"/>
      <family val="1"/>
    </font>
    <font>
      <sz val="9"/>
      <color rgb="FFFF0000"/>
      <name val="Times New Roman"/>
      <family val="1"/>
    </font>
    <font>
      <sz val="12"/>
      <color theme="1"/>
      <name val="Times New Roman"/>
      <family val="1"/>
    </font>
    <font>
      <b/>
      <sz val="12"/>
      <color theme="1"/>
      <name val="Times New Roman"/>
      <family val="1"/>
    </font>
    <font>
      <b/>
      <sz val="10"/>
      <color theme="1"/>
      <name val="Times New Roman"/>
      <family val="1"/>
    </font>
    <font>
      <sz val="10"/>
      <color theme="1"/>
      <name val="Times New Roman"/>
      <family val="1"/>
    </font>
    <font>
      <b/>
      <i/>
      <sz val="10"/>
      <color theme="1"/>
      <name val="Times New Roman"/>
      <family val="1"/>
    </font>
    <font>
      <b/>
      <sz val="10"/>
      <color theme="1"/>
      <name val="Preeti"/>
    </font>
    <font>
      <sz val="10"/>
      <color theme="1"/>
      <name val="Preeti"/>
    </font>
    <font>
      <i/>
      <sz val="10"/>
      <color theme="1"/>
      <name val="Times New Roman"/>
      <family val="1"/>
    </font>
    <font>
      <i/>
      <sz val="12"/>
      <color theme="1"/>
      <name val="Times New Roman"/>
      <family val="1"/>
    </font>
    <font>
      <sz val="24"/>
      <color rgb="FFFF0000"/>
      <name val="Times New Roman"/>
      <family val="1"/>
    </font>
    <font>
      <sz val="11"/>
      <color theme="1"/>
      <name val="Times New Roman"/>
      <family val="1"/>
    </font>
    <font>
      <b/>
      <u/>
      <sz val="12"/>
      <color theme="1"/>
      <name val="Times New Roman"/>
      <family val="1"/>
    </font>
    <font>
      <b/>
      <u/>
      <sz val="9"/>
      <color theme="1"/>
      <name val="Times New Roman"/>
      <family val="1"/>
    </font>
    <font>
      <u/>
      <sz val="10"/>
      <color theme="1"/>
      <name val="Preeti"/>
    </font>
    <font>
      <b/>
      <sz val="53"/>
      <color theme="0"/>
      <name val="Preeti"/>
    </font>
    <font>
      <sz val="9"/>
      <color rgb="FF00B050"/>
      <name val="Times New Roman"/>
      <family val="1"/>
    </font>
  </fonts>
  <fills count="15">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8" tint="-0.24997711111789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diagonal/>
    </border>
    <border>
      <left/>
      <right style="hair">
        <color indexed="64"/>
      </right>
      <top/>
      <bottom/>
      <diagonal/>
    </border>
    <border>
      <left style="hair">
        <color indexed="64"/>
      </left>
      <right style="hair">
        <color indexed="64"/>
      </right>
      <top/>
      <bottom/>
      <diagonal/>
    </border>
    <border>
      <left/>
      <right style="medium">
        <color indexed="64"/>
      </right>
      <top/>
      <bottom/>
      <diagonal/>
    </border>
    <border>
      <left style="hair">
        <color indexed="64"/>
      </left>
      <right style="hair">
        <color indexed="64"/>
      </right>
      <top/>
      <bottom style="hair">
        <color indexed="64"/>
      </bottom>
      <diagonal/>
    </border>
    <border>
      <left/>
      <right style="medium">
        <color indexed="64"/>
      </right>
      <top/>
      <bottom style="hair">
        <color indexed="64"/>
      </bottom>
      <diagonal/>
    </border>
    <border>
      <left style="medium">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medium">
        <color indexed="64"/>
      </right>
      <top style="hair">
        <color indexed="64"/>
      </top>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hair">
        <color indexed="64"/>
      </top>
      <bottom/>
      <diagonal/>
    </border>
    <border>
      <left/>
      <right style="hair">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hair">
        <color indexed="64"/>
      </right>
      <top style="hair">
        <color indexed="64"/>
      </top>
      <bottom style="hair">
        <color indexed="64"/>
      </bottom>
      <diagonal/>
    </border>
    <border>
      <left/>
      <right/>
      <top style="hair">
        <color indexed="64"/>
      </top>
      <bottom/>
      <diagonal/>
    </border>
    <border>
      <left/>
      <right style="medium">
        <color indexed="64"/>
      </right>
      <top style="medium">
        <color indexed="64"/>
      </top>
      <bottom style="hair">
        <color indexed="64"/>
      </bottom>
      <diagonal/>
    </border>
    <border>
      <left style="hair">
        <color indexed="64"/>
      </left>
      <right style="medium">
        <color indexed="64"/>
      </right>
      <top style="hair">
        <color indexed="64"/>
      </top>
      <bottom/>
      <diagonal/>
    </border>
    <border>
      <left/>
      <right style="medium">
        <color indexed="64"/>
      </right>
      <top/>
      <bottom style="medium">
        <color indexed="64"/>
      </bottom>
      <diagonal/>
    </border>
    <border>
      <left style="thin">
        <color indexed="64"/>
      </left>
      <right/>
      <top/>
      <bottom/>
      <diagonal/>
    </border>
    <border>
      <left style="thin">
        <color indexed="64"/>
      </left>
      <right style="hair">
        <color indexed="64"/>
      </right>
      <top style="hair">
        <color indexed="64"/>
      </top>
      <bottom/>
      <diagonal/>
    </border>
    <border>
      <left style="thin">
        <color indexed="64"/>
      </left>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diagonal/>
    </border>
    <border>
      <left style="thin">
        <color indexed="64"/>
      </left>
      <right/>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bottom style="hair">
        <color indexed="64"/>
      </bottom>
      <diagonal/>
    </border>
    <border>
      <left/>
      <right style="thin">
        <color indexed="64"/>
      </right>
      <top style="medium">
        <color indexed="64"/>
      </top>
      <bottom style="medium">
        <color indexed="64"/>
      </bottom>
      <diagonal/>
    </border>
  </borders>
  <cellStyleXfs count="18">
    <xf numFmtId="0" fontId="0" fillId="0" borderId="0"/>
    <xf numFmtId="43" fontId="1" fillId="0" borderId="0" applyFont="0" applyFill="0" applyBorder="0" applyAlignment="0" applyProtection="0"/>
    <xf numFmtId="43" fontId="1" fillId="0" borderId="0" applyFont="0" applyFill="0" applyBorder="0" applyAlignment="0" applyProtection="0"/>
    <xf numFmtId="43" fontId="72" fillId="0" borderId="0" applyFont="0" applyFill="0" applyBorder="0" applyAlignment="0" applyProtection="0"/>
    <xf numFmtId="44" fontId="1" fillId="0" borderId="0" applyFont="0" applyFill="0" applyBorder="0" applyAlignment="0" applyProtection="0"/>
    <xf numFmtId="44" fontId="72" fillId="0" borderId="0" applyFont="0" applyFill="0" applyBorder="0" applyAlignment="0" applyProtection="0"/>
    <xf numFmtId="0" fontId="1" fillId="0" borderId="0"/>
    <xf numFmtId="0" fontId="1" fillId="0" borderId="0">
      <alignment horizontal="justify" vertical="justify" wrapText="1"/>
    </xf>
    <xf numFmtId="0" fontId="1" fillId="0" borderId="0"/>
    <xf numFmtId="0" fontId="1" fillId="0" borderId="0"/>
    <xf numFmtId="0" fontId="71" fillId="0" borderId="0"/>
    <xf numFmtId="0" fontId="1" fillId="0" borderId="0"/>
    <xf numFmtId="0" fontId="1" fillId="0" borderId="0"/>
    <xf numFmtId="0" fontId="1" fillId="0" borderId="0"/>
    <xf numFmtId="0" fontId="1" fillId="0" borderId="0"/>
    <xf numFmtId="0" fontId="16" fillId="0" borderId="0"/>
    <xf numFmtId="0" fontId="1" fillId="0" borderId="0"/>
    <xf numFmtId="0" fontId="72" fillId="0" borderId="0"/>
  </cellStyleXfs>
  <cellXfs count="1082">
    <xf numFmtId="0" fontId="0" fillId="0" borderId="0" xfId="0"/>
    <xf numFmtId="0" fontId="4" fillId="0" borderId="0" xfId="0" applyFont="1"/>
    <xf numFmtId="0" fontId="4" fillId="0" borderId="1" xfId="0" applyFont="1" applyBorder="1"/>
    <xf numFmtId="0" fontId="6" fillId="0" borderId="0" xfId="0" applyFont="1"/>
    <xf numFmtId="0" fontId="4" fillId="0" borderId="1" xfId="0" applyFont="1" applyBorder="1" applyAlignment="1">
      <alignment horizontal="left"/>
    </xf>
    <xf numFmtId="2" fontId="4" fillId="0" borderId="1" xfId="0" applyNumberFormat="1" applyFont="1" applyBorder="1" applyAlignment="1">
      <alignment horizontal="center"/>
    </xf>
    <xf numFmtId="0" fontId="8" fillId="0" borderId="0" xfId="0" applyFont="1"/>
    <xf numFmtId="0" fontId="5" fillId="2" borderId="1" xfId="0" applyFont="1" applyFill="1" applyBorder="1" applyAlignment="1">
      <alignment horizontal="center" vertical="center" wrapText="1"/>
    </xf>
    <xf numFmtId="2" fontId="7" fillId="2" borderId="1" xfId="0" applyNumberFormat="1" applyFont="1" applyFill="1" applyBorder="1" applyAlignment="1">
      <alignment horizontal="center" vertical="center"/>
    </xf>
    <xf numFmtId="0" fontId="6" fillId="0" borderId="1" xfId="0" applyFont="1" applyBorder="1"/>
    <xf numFmtId="2" fontId="6" fillId="0" borderId="1" xfId="0" applyNumberFormat="1" applyFont="1" applyBorder="1" applyAlignment="1">
      <alignment horizontal="center"/>
    </xf>
    <xf numFmtId="164" fontId="4" fillId="0" borderId="1" xfId="0" applyNumberFormat="1" applyFont="1" applyBorder="1" applyAlignment="1">
      <alignment horizontal="center"/>
    </xf>
    <xf numFmtId="0" fontId="4" fillId="0" borderId="2" xfId="0" applyFont="1" applyBorder="1"/>
    <xf numFmtId="0" fontId="0" fillId="0" borderId="1" xfId="0" applyBorder="1"/>
    <xf numFmtId="0" fontId="0" fillId="0" borderId="0" xfId="0" applyAlignment="1">
      <alignment horizontal="center"/>
    </xf>
    <xf numFmtId="0" fontId="7"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2" fontId="8" fillId="4" borderId="1" xfId="0" applyNumberFormat="1" applyFont="1" applyFill="1" applyBorder="1" applyAlignment="1">
      <alignment horizontal="center" vertical="center"/>
    </xf>
    <xf numFmtId="0" fontId="8" fillId="4" borderId="1" xfId="0" applyFont="1" applyFill="1" applyBorder="1" applyAlignment="1">
      <alignment horizontal="center" vertical="center" wrapText="1"/>
    </xf>
    <xf numFmtId="164" fontId="6" fillId="0" borderId="1" xfId="0" applyNumberFormat="1" applyFont="1" applyBorder="1" applyAlignment="1">
      <alignment horizontal="center"/>
    </xf>
    <xf numFmtId="0" fontId="7"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64" fontId="4" fillId="0" borderId="1" xfId="0" applyNumberFormat="1" applyFont="1" applyBorder="1" applyAlignment="1">
      <alignment horizontal="right"/>
    </xf>
    <xf numFmtId="43" fontId="6" fillId="0" borderId="1" xfId="1" applyFont="1" applyBorder="1" applyAlignment="1">
      <alignment horizontal="center"/>
    </xf>
    <xf numFmtId="43" fontId="6" fillId="0" borderId="1" xfId="1" applyFont="1" applyBorder="1"/>
    <xf numFmtId="43" fontId="4" fillId="0" borderId="1" xfId="1" applyFont="1" applyBorder="1" applyAlignment="1">
      <alignment horizontal="right"/>
    </xf>
    <xf numFmtId="2" fontId="5" fillId="2" borderId="1" xfId="0" applyNumberFormat="1" applyFont="1" applyFill="1" applyBorder="1" applyAlignment="1">
      <alignment horizontal="center" vertical="center"/>
    </xf>
    <xf numFmtId="164" fontId="6" fillId="0" borderId="1" xfId="0" applyNumberFormat="1" applyFont="1" applyBorder="1" applyAlignment="1">
      <alignment horizontal="right"/>
    </xf>
    <xf numFmtId="43" fontId="4" fillId="0" borderId="1" xfId="1" applyFont="1" applyBorder="1"/>
    <xf numFmtId="43" fontId="4" fillId="0" borderId="1" xfId="1" applyFont="1" applyBorder="1" applyAlignment="1">
      <alignment horizontal="center"/>
    </xf>
    <xf numFmtId="43" fontId="7" fillId="3" borderId="1" xfId="1" applyFont="1" applyFill="1" applyBorder="1" applyAlignment="1">
      <alignment horizontal="center" vertical="center"/>
    </xf>
    <xf numFmtId="43" fontId="7" fillId="5" borderId="1" xfId="1" applyFont="1" applyFill="1" applyBorder="1" applyAlignment="1">
      <alignment horizontal="center" vertical="center"/>
    </xf>
    <xf numFmtId="43" fontId="7" fillId="2" borderId="1" xfId="1" applyFont="1" applyFill="1" applyBorder="1" applyAlignment="1">
      <alignment horizontal="center" vertical="center"/>
    </xf>
    <xf numFmtId="43" fontId="5" fillId="2" borderId="1" xfId="1" applyFont="1" applyFill="1" applyBorder="1" applyAlignment="1">
      <alignment horizontal="center" vertical="center"/>
    </xf>
    <xf numFmtId="43" fontId="8" fillId="4" borderId="1" xfId="1" applyFont="1" applyFill="1" applyBorder="1" applyAlignment="1">
      <alignment horizontal="center" vertical="center"/>
    </xf>
    <xf numFmtId="43" fontId="5" fillId="2" borderId="1" xfId="1" applyFont="1" applyFill="1" applyBorder="1" applyAlignment="1">
      <alignment horizontal="center" vertical="center" wrapText="1"/>
    </xf>
    <xf numFmtId="43" fontId="8" fillId="4" borderId="3" xfId="1" applyFont="1" applyFill="1" applyBorder="1" applyAlignment="1">
      <alignment horizontal="center" vertical="center"/>
    </xf>
    <xf numFmtId="0" fontId="1" fillId="6" borderId="1" xfId="0" applyFont="1" applyFill="1" applyBorder="1"/>
    <xf numFmtId="0" fontId="1" fillId="0" borderId="1" xfId="0" applyFont="1" applyBorder="1" applyAlignment="1">
      <alignment wrapText="1"/>
    </xf>
    <xf numFmtId="0" fontId="4" fillId="0" borderId="1" xfId="0" applyFont="1" applyBorder="1" applyAlignment="1">
      <alignment horizontal="left" wrapText="1"/>
    </xf>
    <xf numFmtId="0" fontId="6" fillId="0" borderId="1" xfId="0" applyFont="1" applyBorder="1" applyAlignment="1">
      <alignment horizont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vertical="center"/>
    </xf>
    <xf numFmtId="0" fontId="4" fillId="0" borderId="1" xfId="0" applyFont="1" applyBorder="1" applyAlignment="1">
      <alignment horizontal="center"/>
    </xf>
    <xf numFmtId="0" fontId="6" fillId="0" borderId="7" xfId="0" applyFont="1" applyBorder="1" applyAlignment="1">
      <alignment horizontal="center" vertical="center"/>
    </xf>
    <xf numFmtId="0" fontId="4" fillId="0" borderId="1" xfId="0" applyFont="1" applyBorder="1" applyAlignment="1">
      <alignment horizontal="center" vertical="center"/>
    </xf>
    <xf numFmtId="0" fontId="73" fillId="0" borderId="0" xfId="0" applyFont="1"/>
    <xf numFmtId="0" fontId="74" fillId="0" borderId="6" xfId="0" applyFont="1" applyBorder="1" applyAlignment="1">
      <alignment horizontal="center" vertical="center"/>
    </xf>
    <xf numFmtId="0" fontId="73" fillId="7" borderId="8" xfId="0" applyFont="1" applyFill="1" applyBorder="1" applyAlignment="1">
      <alignment vertical="center" wrapText="1"/>
    </xf>
    <xf numFmtId="0" fontId="73" fillId="0" borderId="9" xfId="0" applyFont="1" applyBorder="1" applyAlignment="1">
      <alignment vertical="center" wrapText="1"/>
    </xf>
    <xf numFmtId="0" fontId="73" fillId="0" borderId="9" xfId="0" applyFont="1" applyBorder="1" applyAlignment="1">
      <alignment horizontal="center" vertical="center" wrapText="1"/>
    </xf>
    <xf numFmtId="0" fontId="74" fillId="0" borderId="7" xfId="0" applyFont="1" applyBorder="1" applyAlignment="1">
      <alignment horizontal="center" vertical="center"/>
    </xf>
    <xf numFmtId="0" fontId="73" fillId="0" borderId="1" xfId="0" applyFont="1" applyBorder="1" applyAlignment="1">
      <alignment horizontal="center" vertical="center" wrapText="1"/>
    </xf>
    <xf numFmtId="0" fontId="73" fillId="0" borderId="10" xfId="0" applyFont="1" applyBorder="1" applyAlignment="1">
      <alignment horizontal="center" vertical="center" wrapText="1"/>
    </xf>
    <xf numFmtId="0" fontId="73" fillId="0" borderId="0" xfId="0" applyFont="1" applyAlignment="1">
      <alignment horizontal="center" vertical="center" wrapText="1"/>
    </xf>
    <xf numFmtId="0" fontId="73" fillId="0" borderId="7" xfId="0" applyFont="1" applyBorder="1" applyAlignment="1">
      <alignment horizontal="center" vertical="center" wrapText="1"/>
    </xf>
    <xf numFmtId="0" fontId="73" fillId="0" borderId="6" xfId="0" applyFont="1" applyBorder="1" applyAlignment="1">
      <alignment horizontal="center" vertical="center" wrapText="1"/>
    </xf>
    <xf numFmtId="0" fontId="73" fillId="0" borderId="3" xfId="0" applyFont="1" applyBorder="1" applyAlignment="1">
      <alignment horizontal="center" vertical="center" wrapText="1"/>
    </xf>
    <xf numFmtId="0" fontId="74" fillId="0" borderId="3" xfId="0" applyFont="1" applyBorder="1" applyAlignment="1">
      <alignment horizontal="center" vertical="center"/>
    </xf>
    <xf numFmtId="0" fontId="73" fillId="7" borderId="5" xfId="0" applyFont="1" applyFill="1" applyBorder="1" applyAlignment="1">
      <alignment vertical="center" wrapText="1"/>
    </xf>
    <xf numFmtId="0" fontId="74" fillId="0" borderId="2" xfId="0" applyFont="1" applyBorder="1" applyAlignment="1">
      <alignment horizontal="center" vertical="center"/>
    </xf>
    <xf numFmtId="0" fontId="74" fillId="0" borderId="11" xfId="0" applyFont="1" applyBorder="1" applyAlignment="1">
      <alignment horizontal="center" vertical="center"/>
    </xf>
    <xf numFmtId="0" fontId="75" fillId="0" borderId="12" xfId="0" applyFont="1" applyBorder="1" applyAlignment="1">
      <alignment horizontal="center" vertical="center"/>
    </xf>
    <xf numFmtId="0" fontId="74" fillId="0" borderId="1" xfId="0" applyFont="1" applyBorder="1" applyAlignment="1">
      <alignment horizontal="center" vertical="center"/>
    </xf>
    <xf numFmtId="0" fontId="73" fillId="0" borderId="4" xfId="0" applyFont="1" applyBorder="1" applyAlignment="1">
      <alignment horizontal="center" vertical="center" wrapText="1"/>
    </xf>
    <xf numFmtId="0" fontId="73" fillId="0" borderId="12" xfId="0" applyFont="1" applyBorder="1" applyAlignment="1">
      <alignment horizontal="center" vertical="center" wrapText="1"/>
    </xf>
    <xf numFmtId="0" fontId="3" fillId="0" borderId="12" xfId="0" applyFont="1" applyBorder="1" applyAlignment="1">
      <alignment horizontal="center" vertical="center"/>
    </xf>
    <xf numFmtId="2" fontId="5" fillId="8" borderId="1" xfId="0" applyNumberFormat="1" applyFont="1" applyFill="1" applyBorder="1" applyAlignment="1">
      <alignment horizontal="center" vertical="center"/>
    </xf>
    <xf numFmtId="0" fontId="5" fillId="8" borderId="1" xfId="0" applyFont="1" applyFill="1" applyBorder="1" applyAlignment="1">
      <alignment horizontal="center" vertical="center" wrapText="1"/>
    </xf>
    <xf numFmtId="43" fontId="5" fillId="8" borderId="1" xfId="1" applyFont="1" applyFill="1" applyBorder="1" applyAlignment="1">
      <alignment horizontal="center" vertical="center"/>
    </xf>
    <xf numFmtId="43" fontId="7" fillId="8" borderId="1" xfId="1" applyFont="1" applyFill="1" applyBorder="1" applyAlignment="1">
      <alignment horizontal="center" vertical="center"/>
    </xf>
    <xf numFmtId="43" fontId="5" fillId="8" borderId="1" xfId="1" applyFont="1" applyFill="1" applyBorder="1" applyAlignment="1">
      <alignment horizontal="center" vertical="center" wrapText="1"/>
    </xf>
    <xf numFmtId="0" fontId="76" fillId="0" borderId="12" xfId="0" applyFont="1" applyBorder="1"/>
    <xf numFmtId="0" fontId="76" fillId="0" borderId="4" xfId="0" applyFont="1" applyBorder="1"/>
    <xf numFmtId="0" fontId="4" fillId="0" borderId="3" xfId="0" applyFont="1" applyBorder="1" applyAlignment="1">
      <alignment horizontal="center" vertical="center"/>
    </xf>
    <xf numFmtId="43" fontId="4" fillId="0" borderId="3" xfId="1" applyFont="1" applyBorder="1" applyAlignment="1">
      <alignment horizontal="center" vertical="center"/>
    </xf>
    <xf numFmtId="0" fontId="4" fillId="0" borderId="7" xfId="0" applyFont="1" applyBorder="1" applyAlignment="1">
      <alignment horizontal="center" vertical="center"/>
    </xf>
    <xf numFmtId="2" fontId="6" fillId="7" borderId="1" xfId="0" applyNumberFormat="1" applyFont="1" applyFill="1" applyBorder="1" applyAlignment="1">
      <alignment horizontal="right" vertical="center"/>
    </xf>
    <xf numFmtId="0" fontId="72" fillId="0" borderId="0" xfId="17"/>
    <xf numFmtId="0" fontId="18" fillId="0" borderId="0" xfId="17" applyFont="1" applyAlignment="1">
      <alignment horizontal="center"/>
    </xf>
    <xf numFmtId="0" fontId="18" fillId="0" borderId="0" xfId="17" applyFont="1"/>
    <xf numFmtId="0" fontId="22" fillId="0" borderId="0" xfId="17" applyFont="1" applyAlignment="1">
      <alignment horizontal="center"/>
    </xf>
    <xf numFmtId="0" fontId="18" fillId="0" borderId="0" xfId="17" applyFont="1" applyAlignment="1">
      <alignment vertical="top" wrapText="1"/>
    </xf>
    <xf numFmtId="2" fontId="18" fillId="0" borderId="0" xfId="17" applyNumberFormat="1" applyFont="1"/>
    <xf numFmtId="0" fontId="17" fillId="0" borderId="0" xfId="17" applyFont="1" applyAlignment="1">
      <alignment horizontal="center"/>
    </xf>
    <xf numFmtId="0" fontId="18" fillId="0" borderId="0" xfId="17" applyFont="1" applyAlignment="1">
      <alignment horizontal="right"/>
    </xf>
    <xf numFmtId="0" fontId="18" fillId="0" borderId="0" xfId="17" applyFont="1" applyAlignment="1">
      <alignment horizontal="left" vertical="top" wrapText="1"/>
    </xf>
    <xf numFmtId="0" fontId="18" fillId="0" borderId="0" xfId="17" applyFont="1" applyAlignment="1">
      <alignment horizontal="center" vertical="center"/>
    </xf>
    <xf numFmtId="0" fontId="24" fillId="0" borderId="0" xfId="17" applyFont="1" applyAlignment="1">
      <alignment horizontal="center" vertical="top" wrapText="1"/>
    </xf>
    <xf numFmtId="0" fontId="19" fillId="0" borderId="0" xfId="17" applyFont="1" applyAlignment="1">
      <alignment horizontal="center" vertical="top" wrapText="1"/>
    </xf>
    <xf numFmtId="0" fontId="27" fillId="0" borderId="13" xfId="0" applyFont="1" applyBorder="1" applyAlignment="1">
      <alignment horizontal="left"/>
    </xf>
    <xf numFmtId="0" fontId="27" fillId="0" borderId="10" xfId="0" applyFont="1" applyBorder="1"/>
    <xf numFmtId="0" fontId="28" fillId="0" borderId="10" xfId="0" applyFont="1" applyBorder="1"/>
    <xf numFmtId="0" fontId="28" fillId="0" borderId="10" xfId="0" applyFont="1" applyBorder="1" applyAlignment="1">
      <alignment horizontal="center"/>
    </xf>
    <xf numFmtId="2" fontId="28" fillId="0" borderId="14" xfId="0" applyNumberFormat="1" applyFont="1" applyBorder="1"/>
    <xf numFmtId="0" fontId="29" fillId="0" borderId="0" xfId="0" applyFont="1"/>
    <xf numFmtId="2" fontId="28" fillId="0" borderId="10" xfId="0" applyNumberFormat="1" applyFont="1" applyBorder="1"/>
    <xf numFmtId="2" fontId="28" fillId="0" borderId="15" xfId="0" applyNumberFormat="1" applyFont="1" applyBorder="1"/>
    <xf numFmtId="0" fontId="31" fillId="0" borderId="16" xfId="0" applyFont="1" applyBorder="1" applyAlignment="1">
      <alignment horizontal="left"/>
    </xf>
    <xf numFmtId="0" fontId="31" fillId="0" borderId="17" xfId="0" applyFont="1" applyBorder="1"/>
    <xf numFmtId="0" fontId="31" fillId="0" borderId="18" xfId="0" applyFont="1" applyBorder="1"/>
    <xf numFmtId="0" fontId="31" fillId="0" borderId="18" xfId="0" applyFont="1" applyBorder="1" applyAlignment="1">
      <alignment horizontal="center"/>
    </xf>
    <xf numFmtId="2" fontId="31" fillId="0" borderId="18" xfId="0" applyNumberFormat="1" applyFont="1" applyBorder="1"/>
    <xf numFmtId="2" fontId="31" fillId="0" borderId="19" xfId="0" applyNumberFormat="1" applyFont="1" applyBorder="1"/>
    <xf numFmtId="0" fontId="31" fillId="0" borderId="17" xfId="0" applyFont="1" applyBorder="1" applyAlignment="1">
      <alignment horizontal="right"/>
    </xf>
    <xf numFmtId="0" fontId="31" fillId="0" borderId="20" xfId="0" applyFont="1" applyBorder="1"/>
    <xf numFmtId="0" fontId="31" fillId="0" borderId="20" xfId="0" applyFont="1" applyBorder="1" applyAlignment="1">
      <alignment horizontal="center"/>
    </xf>
    <xf numFmtId="2" fontId="31" fillId="0" borderId="20" xfId="0" applyNumberFormat="1" applyFont="1" applyBorder="1"/>
    <xf numFmtId="2" fontId="31" fillId="6" borderId="20" xfId="0" applyNumberFormat="1" applyFont="1" applyFill="1" applyBorder="1"/>
    <xf numFmtId="2" fontId="31" fillId="0" borderId="21" xfId="0" applyNumberFormat="1" applyFont="1" applyBorder="1"/>
    <xf numFmtId="0" fontId="31" fillId="0" borderId="22" xfId="0" applyFont="1" applyBorder="1" applyAlignment="1">
      <alignment horizontal="left"/>
    </xf>
    <xf numFmtId="0" fontId="31" fillId="0" borderId="23" xfId="0" applyFont="1" applyBorder="1" applyAlignment="1">
      <alignment horizontal="right"/>
    </xf>
    <xf numFmtId="0" fontId="31" fillId="0" borderId="24" xfId="0" applyFont="1" applyBorder="1"/>
    <xf numFmtId="2" fontId="31" fillId="0" borderId="24" xfId="0" applyNumberFormat="1" applyFont="1" applyBorder="1" applyAlignment="1">
      <alignment horizontal="center"/>
    </xf>
    <xf numFmtId="2" fontId="31" fillId="0" borderId="24" xfId="0" applyNumberFormat="1" applyFont="1" applyBorder="1" applyAlignment="1">
      <alignment horizontal="right"/>
    </xf>
    <xf numFmtId="2" fontId="31" fillId="6" borderId="24" xfId="0" applyNumberFormat="1" applyFont="1" applyFill="1" applyBorder="1"/>
    <xf numFmtId="2" fontId="31" fillId="0" borderId="25" xfId="0" applyNumberFormat="1" applyFont="1" applyBorder="1"/>
    <xf numFmtId="0" fontId="31" fillId="0" borderId="26" xfId="0" applyFont="1" applyBorder="1" applyAlignment="1">
      <alignment horizontal="left"/>
    </xf>
    <xf numFmtId="0" fontId="31" fillId="0" borderId="27" xfId="0" applyFont="1" applyBorder="1" applyAlignment="1">
      <alignment horizontal="right"/>
    </xf>
    <xf numFmtId="0" fontId="31" fillId="0" borderId="24" xfId="0" applyFont="1" applyBorder="1" applyAlignment="1">
      <alignment horizontal="center"/>
    </xf>
    <xf numFmtId="2" fontId="31" fillId="0" borderId="24" xfId="0" applyNumberFormat="1" applyFont="1" applyBorder="1"/>
    <xf numFmtId="0" fontId="31" fillId="0" borderId="13" xfId="0" applyFont="1" applyBorder="1" applyAlignment="1">
      <alignment horizontal="left"/>
    </xf>
    <xf numFmtId="0" fontId="33" fillId="0" borderId="10" xfId="0" applyFont="1" applyBorder="1"/>
    <xf numFmtId="0" fontId="31" fillId="0" borderId="10" xfId="0" applyFont="1" applyBorder="1"/>
    <xf numFmtId="0" fontId="31" fillId="0" borderId="10" xfId="0" applyFont="1" applyBorder="1" applyAlignment="1">
      <alignment horizontal="center"/>
    </xf>
    <xf numFmtId="0" fontId="31" fillId="0" borderId="28" xfId="0" applyFont="1" applyBorder="1"/>
    <xf numFmtId="2" fontId="33" fillId="0" borderId="29" xfId="0" applyNumberFormat="1" applyFont="1" applyBorder="1"/>
    <xf numFmtId="0" fontId="27" fillId="0" borderId="22" xfId="0" applyFont="1" applyBorder="1" applyAlignment="1">
      <alignment horizontal="left"/>
    </xf>
    <xf numFmtId="0" fontId="27" fillId="0" borderId="30" xfId="0" applyFont="1" applyBorder="1"/>
    <xf numFmtId="0" fontId="28" fillId="0" borderId="31" xfId="0" applyFont="1" applyBorder="1"/>
    <xf numFmtId="0" fontId="28" fillId="0" borderId="31" xfId="0" applyFont="1" applyBorder="1" applyAlignment="1">
      <alignment horizontal="center"/>
    </xf>
    <xf numFmtId="2" fontId="28" fillId="0" borderId="31" xfId="0" applyNumberFormat="1" applyFont="1" applyBorder="1"/>
    <xf numFmtId="0" fontId="28" fillId="0" borderId="30" xfId="0" applyFont="1" applyBorder="1"/>
    <xf numFmtId="2" fontId="28" fillId="0" borderId="32" xfId="0" applyNumberFormat="1" applyFont="1" applyBorder="1"/>
    <xf numFmtId="0" fontId="31" fillId="0" borderId="33" xfId="0" applyFont="1" applyBorder="1"/>
    <xf numFmtId="0" fontId="31" fillId="0" borderId="34" xfId="0" applyFont="1" applyBorder="1"/>
    <xf numFmtId="0" fontId="31" fillId="0" borderId="34" xfId="0" applyFont="1" applyBorder="1" applyAlignment="1">
      <alignment horizontal="center"/>
    </xf>
    <xf numFmtId="2" fontId="31" fillId="0" borderId="34" xfId="0" applyNumberFormat="1" applyFont="1" applyBorder="1"/>
    <xf numFmtId="2" fontId="31" fillId="0" borderId="35" xfId="0" applyNumberFormat="1" applyFont="1" applyBorder="1"/>
    <xf numFmtId="0" fontId="31" fillId="6" borderId="20" xfId="0" applyFont="1" applyFill="1" applyBorder="1"/>
    <xf numFmtId="0" fontId="31" fillId="6" borderId="24" xfId="0" applyFont="1" applyFill="1" applyBorder="1"/>
    <xf numFmtId="0" fontId="31" fillId="0" borderId="36" xfId="0" applyFont="1" applyBorder="1" applyAlignment="1">
      <alignment horizontal="left"/>
    </xf>
    <xf numFmtId="0" fontId="33" fillId="0" borderId="37" xfId="0" applyFont="1" applyBorder="1"/>
    <xf numFmtId="0" fontId="31" fillId="0" borderId="37" xfId="0" applyFont="1" applyBorder="1"/>
    <xf numFmtId="0" fontId="31" fillId="0" borderId="37" xfId="0" applyFont="1" applyBorder="1" applyAlignment="1">
      <alignment horizontal="center"/>
    </xf>
    <xf numFmtId="0" fontId="31" fillId="0" borderId="38" xfId="0" applyFont="1" applyBorder="1"/>
    <xf numFmtId="0" fontId="31" fillId="0" borderId="39" xfId="0" applyFont="1" applyBorder="1" applyAlignment="1">
      <alignment horizontal="left"/>
    </xf>
    <xf numFmtId="0" fontId="31" fillId="0" borderId="40" xfId="0" applyFont="1" applyBorder="1"/>
    <xf numFmtId="0" fontId="31" fillId="0" borderId="41" xfId="0" applyFont="1" applyBorder="1" applyAlignment="1">
      <alignment horizontal="left"/>
    </xf>
    <xf numFmtId="0" fontId="33" fillId="0" borderId="42" xfId="0" applyFont="1" applyBorder="1"/>
    <xf numFmtId="0" fontId="31" fillId="0" borderId="42" xfId="0" applyFont="1" applyBorder="1"/>
    <xf numFmtId="0" fontId="31" fillId="0" borderId="42" xfId="0" applyFont="1" applyBorder="1" applyAlignment="1">
      <alignment horizontal="center"/>
    </xf>
    <xf numFmtId="2" fontId="33" fillId="0" borderId="43" xfId="0" applyNumberFormat="1" applyFont="1" applyBorder="1"/>
    <xf numFmtId="0" fontId="34" fillId="0" borderId="0" xfId="0" applyFont="1" applyAlignment="1">
      <alignment horizontal="left"/>
    </xf>
    <xf numFmtId="0" fontId="33" fillId="0" borderId="0" xfId="0" applyFont="1"/>
    <xf numFmtId="0" fontId="31" fillId="0" borderId="0" xfId="0" applyFont="1"/>
    <xf numFmtId="0" fontId="31" fillId="0" borderId="0" xfId="0" applyFont="1" applyAlignment="1">
      <alignment horizontal="center"/>
    </xf>
    <xf numFmtId="2" fontId="33" fillId="0" borderId="0" xfId="0" applyNumberFormat="1" applyFont="1"/>
    <xf numFmtId="0" fontId="31" fillId="0" borderId="0" xfId="0" applyFont="1" applyAlignment="1">
      <alignment horizontal="left"/>
    </xf>
    <xf numFmtId="0" fontId="31" fillId="0" borderId="42" xfId="0" applyFont="1" applyBorder="1" applyAlignment="1">
      <alignment horizontal="left"/>
    </xf>
    <xf numFmtId="2" fontId="33" fillId="0" borderId="42" xfId="0" applyNumberFormat="1" applyFont="1" applyBorder="1"/>
    <xf numFmtId="0" fontId="35" fillId="0" borderId="44" xfId="0" applyFont="1" applyBorder="1"/>
    <xf numFmtId="0" fontId="35" fillId="0" borderId="45" xfId="0" applyFont="1" applyBorder="1"/>
    <xf numFmtId="2" fontId="36" fillId="0" borderId="43" xfId="0" applyNumberFormat="1" applyFont="1" applyBorder="1" applyAlignment="1">
      <alignment horizontal="right"/>
    </xf>
    <xf numFmtId="0" fontId="37" fillId="0" borderId="0" xfId="0" applyFont="1"/>
    <xf numFmtId="0" fontId="0" fillId="0" borderId="16" xfId="0" applyBorder="1"/>
    <xf numFmtId="2" fontId="0" fillId="0" borderId="19" xfId="0" applyNumberFormat="1" applyBorder="1"/>
    <xf numFmtId="0" fontId="33" fillId="0" borderId="46" xfId="0" applyFont="1" applyBorder="1" applyAlignment="1">
      <alignment horizontal="center" vertical="center" wrapText="1"/>
    </xf>
    <xf numFmtId="2" fontId="33" fillId="0" borderId="47" xfId="0" applyNumberFormat="1" applyFont="1" applyBorder="1" applyAlignment="1">
      <alignment horizontal="center" vertical="center" wrapText="1"/>
    </xf>
    <xf numFmtId="2" fontId="28" fillId="0" borderId="21" xfId="0" applyNumberFormat="1" applyFont="1" applyBorder="1"/>
    <xf numFmtId="0" fontId="31" fillId="0" borderId="48" xfId="0" applyFont="1" applyBorder="1" applyAlignment="1">
      <alignment horizontal="left"/>
    </xf>
    <xf numFmtId="0" fontId="33" fillId="0" borderId="49" xfId="0" applyFont="1" applyBorder="1"/>
    <xf numFmtId="0" fontId="31" fillId="0" borderId="49" xfId="0" applyFont="1" applyBorder="1"/>
    <xf numFmtId="0" fontId="31" fillId="0" borderId="49" xfId="0" applyFont="1" applyBorder="1" applyAlignment="1">
      <alignment horizontal="center"/>
    </xf>
    <xf numFmtId="0" fontId="31" fillId="0" borderId="35" xfId="0" applyFont="1" applyBorder="1"/>
    <xf numFmtId="0" fontId="27" fillId="8" borderId="22" xfId="0" applyFont="1" applyFill="1" applyBorder="1" applyAlignment="1">
      <alignment horizontal="left"/>
    </xf>
    <xf numFmtId="0" fontId="27" fillId="8" borderId="30" xfId="0" applyFont="1" applyFill="1" applyBorder="1"/>
    <xf numFmtId="0" fontId="28" fillId="8" borderId="30" xfId="0" applyFont="1" applyFill="1" applyBorder="1"/>
    <xf numFmtId="0" fontId="28" fillId="8" borderId="30" xfId="0" applyFont="1" applyFill="1" applyBorder="1" applyAlignment="1">
      <alignment horizontal="center"/>
    </xf>
    <xf numFmtId="2" fontId="28" fillId="8" borderId="30" xfId="0" applyNumberFormat="1" applyFont="1" applyFill="1" applyBorder="1"/>
    <xf numFmtId="2" fontId="28" fillId="8" borderId="50" xfId="0" applyNumberFormat="1" applyFont="1" applyFill="1" applyBorder="1"/>
    <xf numFmtId="0" fontId="31" fillId="8" borderId="39" xfId="0" applyFont="1" applyFill="1" applyBorder="1" applyAlignment="1">
      <alignment horizontal="left"/>
    </xf>
    <xf numFmtId="0" fontId="31" fillId="8" borderId="33" xfId="0" applyFont="1" applyFill="1" applyBorder="1"/>
    <xf numFmtId="0" fontId="31" fillId="8" borderId="34" xfId="0" applyFont="1" applyFill="1" applyBorder="1"/>
    <xf numFmtId="0" fontId="31" fillId="8" borderId="34" xfId="0" applyFont="1" applyFill="1" applyBorder="1" applyAlignment="1">
      <alignment horizontal="center"/>
    </xf>
    <xf numFmtId="2" fontId="31" fillId="8" borderId="34" xfId="0" applyNumberFormat="1" applyFont="1" applyFill="1" applyBorder="1"/>
    <xf numFmtId="2" fontId="31" fillId="8" borderId="51" xfId="0" applyNumberFormat="1" applyFont="1" applyFill="1" applyBorder="1"/>
    <xf numFmtId="0" fontId="31" fillId="8" borderId="22" xfId="0" applyFont="1" applyFill="1" applyBorder="1" applyAlignment="1">
      <alignment horizontal="left"/>
    </xf>
    <xf numFmtId="0" fontId="31" fillId="8" borderId="23" xfId="0" applyFont="1" applyFill="1" applyBorder="1" applyAlignment="1">
      <alignment horizontal="right"/>
    </xf>
    <xf numFmtId="0" fontId="31" fillId="8" borderId="20" xfId="0" applyFont="1" applyFill="1" applyBorder="1"/>
    <xf numFmtId="0" fontId="31" fillId="8" borderId="20" xfId="0" applyFont="1" applyFill="1" applyBorder="1" applyAlignment="1">
      <alignment horizontal="center"/>
    </xf>
    <xf numFmtId="2" fontId="31" fillId="8" borderId="20" xfId="0" applyNumberFormat="1" applyFont="1" applyFill="1" applyBorder="1"/>
    <xf numFmtId="2" fontId="31" fillId="8" borderId="21" xfId="0" applyNumberFormat="1" applyFont="1" applyFill="1" applyBorder="1"/>
    <xf numFmtId="0" fontId="31" fillId="8" borderId="26" xfId="0" applyFont="1" applyFill="1" applyBorder="1" applyAlignment="1">
      <alignment horizontal="left"/>
    </xf>
    <xf numFmtId="0" fontId="31" fillId="8" borderId="27" xfId="0" applyFont="1" applyFill="1" applyBorder="1" applyAlignment="1">
      <alignment horizontal="right"/>
    </xf>
    <xf numFmtId="0" fontId="31" fillId="8" borderId="24" xfId="0" applyFont="1" applyFill="1" applyBorder="1"/>
    <xf numFmtId="0" fontId="31" fillId="8" borderId="24" xfId="0" applyFont="1" applyFill="1" applyBorder="1" applyAlignment="1">
      <alignment horizontal="center"/>
    </xf>
    <xf numFmtId="2" fontId="31" fillId="8" borderId="24" xfId="0" applyNumberFormat="1" applyFont="1" applyFill="1" applyBorder="1"/>
    <xf numFmtId="2" fontId="31" fillId="8" borderId="25" xfId="0" applyNumberFormat="1" applyFont="1" applyFill="1" applyBorder="1"/>
    <xf numFmtId="0" fontId="31" fillId="8" borderId="13" xfId="0" applyFont="1" applyFill="1" applyBorder="1" applyAlignment="1">
      <alignment horizontal="left"/>
    </xf>
    <xf numFmtId="0" fontId="33" fillId="8" borderId="10" xfId="0" applyFont="1" applyFill="1" applyBorder="1"/>
    <xf numFmtId="0" fontId="31" fillId="8" borderId="10" xfId="0" applyFont="1" applyFill="1" applyBorder="1"/>
    <xf numFmtId="0" fontId="31" fillId="8" borderId="10" xfId="0" applyFont="1" applyFill="1" applyBorder="1" applyAlignment="1">
      <alignment horizontal="center"/>
    </xf>
    <xf numFmtId="0" fontId="31" fillId="8" borderId="40" xfId="0" applyFont="1" applyFill="1" applyBorder="1"/>
    <xf numFmtId="2" fontId="33" fillId="8" borderId="29" xfId="0" applyNumberFormat="1" applyFont="1" applyFill="1" applyBorder="1"/>
    <xf numFmtId="43" fontId="4" fillId="8" borderId="1" xfId="1" applyFont="1" applyFill="1" applyBorder="1"/>
    <xf numFmtId="43" fontId="5" fillId="9" borderId="1" xfId="1" applyFont="1" applyFill="1" applyBorder="1" applyAlignment="1">
      <alignment horizontal="center" vertical="center" wrapText="1"/>
    </xf>
    <xf numFmtId="43" fontId="6" fillId="8" borderId="1" xfId="1" applyFont="1" applyFill="1" applyBorder="1"/>
    <xf numFmtId="43" fontId="7" fillId="9" borderId="1" xfId="1" applyFont="1" applyFill="1" applyBorder="1" applyAlignment="1">
      <alignment horizontal="center" vertical="center"/>
    </xf>
    <xf numFmtId="0" fontId="9" fillId="0" borderId="0" xfId="0" applyFont="1"/>
    <xf numFmtId="0" fontId="6" fillId="8" borderId="0" xfId="0" applyFont="1" applyFill="1"/>
    <xf numFmtId="0" fontId="0" fillId="8" borderId="0" xfId="0" applyFill="1"/>
    <xf numFmtId="0" fontId="3" fillId="3" borderId="1" xfId="0" applyFont="1" applyFill="1" applyBorder="1" applyAlignment="1">
      <alignment horizontal="center" vertical="center" wrapText="1"/>
    </xf>
    <xf numFmtId="0" fontId="12" fillId="0" borderId="1" xfId="0" applyFont="1" applyBorder="1"/>
    <xf numFmtId="0" fontId="16" fillId="0" borderId="0" xfId="0" applyFont="1"/>
    <xf numFmtId="0" fontId="9" fillId="0" borderId="0" xfId="0" applyFont="1" applyAlignment="1">
      <alignment vertical="center"/>
    </xf>
    <xf numFmtId="0" fontId="16" fillId="0" borderId="0" xfId="0" applyFont="1" applyAlignment="1">
      <alignment vertical="center"/>
    </xf>
    <xf numFmtId="0" fontId="10" fillId="0" borderId="1" xfId="0" applyFont="1" applyBorder="1" applyAlignment="1">
      <alignment horizontal="center"/>
    </xf>
    <xf numFmtId="0" fontId="9" fillId="0" borderId="1" xfId="0" applyFont="1" applyBorder="1"/>
    <xf numFmtId="0" fontId="9" fillId="0" borderId="1" xfId="0" applyFont="1" applyBorder="1" applyAlignment="1">
      <alignment horizontal="center"/>
    </xf>
    <xf numFmtId="2" fontId="10" fillId="0" borderId="1" xfId="0" applyNumberFormat="1" applyFont="1" applyBorder="1"/>
    <xf numFmtId="0" fontId="41" fillId="0" borderId="0" xfId="0" applyFont="1"/>
    <xf numFmtId="0" fontId="9" fillId="0" borderId="1" xfId="0" applyFont="1" applyBorder="1" applyAlignment="1">
      <alignment vertical="center" wrapText="1"/>
    </xf>
    <xf numFmtId="0" fontId="9" fillId="0" borderId="1" xfId="0" applyFont="1" applyBorder="1" applyAlignment="1">
      <alignment horizontal="center" vertical="center"/>
    </xf>
    <xf numFmtId="2" fontId="10" fillId="0" borderId="1" xfId="0" applyNumberFormat="1" applyFont="1" applyBorder="1" applyAlignment="1">
      <alignment vertical="center"/>
    </xf>
    <xf numFmtId="0" fontId="9" fillId="0" borderId="1" xfId="0" applyFont="1" applyBorder="1" applyAlignment="1">
      <alignment vertical="center"/>
    </xf>
    <xf numFmtId="0" fontId="9" fillId="0" borderId="1" xfId="0" applyFont="1" applyBorder="1" applyAlignment="1">
      <alignment horizontal="center" vertical="top"/>
    </xf>
    <xf numFmtId="0" fontId="9" fillId="0" borderId="0" xfId="0" quotePrefix="1" applyFont="1" applyAlignment="1">
      <alignment horizontal="center"/>
    </xf>
    <xf numFmtId="0" fontId="9" fillId="0" borderId="0" xfId="0" applyFont="1" applyAlignment="1">
      <alignment horizontal="center" vertical="top"/>
    </xf>
    <xf numFmtId="2" fontId="10" fillId="0" borderId="0" xfId="0" applyNumberFormat="1" applyFont="1"/>
    <xf numFmtId="0" fontId="9" fillId="0" borderId="0" xfId="0" applyFont="1" applyAlignment="1">
      <alignment vertical="top"/>
    </xf>
    <xf numFmtId="0" fontId="9" fillId="0" borderId="0" xfId="0" quotePrefix="1" applyFont="1"/>
    <xf numFmtId="0" fontId="42" fillId="0" borderId="0" xfId="0" applyFont="1"/>
    <xf numFmtId="0" fontId="43" fillId="0" borderId="0" xfId="0" applyFont="1"/>
    <xf numFmtId="0" fontId="44" fillId="0" borderId="0" xfId="0" applyFont="1"/>
    <xf numFmtId="0" fontId="47" fillId="0" borderId="0" xfId="0" applyFont="1" applyAlignment="1">
      <alignment horizontal="center"/>
    </xf>
    <xf numFmtId="0" fontId="31" fillId="0" borderId="1" xfId="0" applyFont="1" applyBorder="1" applyAlignment="1">
      <alignment horizontal="center" vertical="center" wrapText="1"/>
    </xf>
    <xf numFmtId="0" fontId="31" fillId="0" borderId="1" xfId="0" applyFont="1" applyBorder="1" applyAlignment="1">
      <alignment horizontal="center"/>
    </xf>
    <xf numFmtId="2" fontId="31" fillId="0" borderId="1" xfId="0" applyNumberFormat="1" applyFont="1" applyBorder="1" applyAlignment="1">
      <alignment horizontal="center"/>
    </xf>
    <xf numFmtId="2" fontId="0" fillId="0" borderId="1" xfId="0" applyNumberFormat="1" applyBorder="1" applyAlignment="1">
      <alignment horizontal="center"/>
    </xf>
    <xf numFmtId="164" fontId="31" fillId="0" borderId="1" xfId="0" applyNumberFormat="1" applyFont="1" applyBorder="1" applyAlignment="1">
      <alignment horizontal="center"/>
    </xf>
    <xf numFmtId="0" fontId="45" fillId="0" borderId="0" xfId="0" applyFont="1" applyAlignment="1">
      <alignment horizontal="center"/>
    </xf>
    <xf numFmtId="0" fontId="45" fillId="0" borderId="0" xfId="0" applyFont="1"/>
    <xf numFmtId="0" fontId="4" fillId="8" borderId="1" xfId="0" applyFont="1" applyFill="1" applyBorder="1" applyAlignment="1">
      <alignment vertical="center" wrapText="1"/>
    </xf>
    <xf numFmtId="0" fontId="0" fillId="8" borderId="1" xfId="0" applyFill="1" applyBorder="1"/>
    <xf numFmtId="0" fontId="6" fillId="8" borderId="0" xfId="0" applyFont="1" applyFill="1" applyAlignment="1">
      <alignment horizontal="center"/>
    </xf>
    <xf numFmtId="0" fontId="3" fillId="8" borderId="0" xfId="0" applyFont="1" applyFill="1" applyAlignment="1">
      <alignment horizontal="center"/>
    </xf>
    <xf numFmtId="0" fontId="3" fillId="8" borderId="0" xfId="0" applyFont="1" applyFill="1"/>
    <xf numFmtId="0" fontId="3" fillId="8" borderId="0" xfId="0" applyFont="1" applyFill="1" applyAlignment="1">
      <alignment horizontal="right"/>
    </xf>
    <xf numFmtId="0" fontId="4" fillId="8" borderId="1" xfId="0" applyFont="1" applyFill="1" applyBorder="1" applyAlignment="1">
      <alignment horizontal="center" vertical="center" wrapText="1"/>
    </xf>
    <xf numFmtId="2" fontId="4" fillId="8" borderId="1" xfId="0" applyNumberFormat="1" applyFont="1" applyFill="1" applyBorder="1" applyAlignment="1">
      <alignment horizontal="right" vertical="center"/>
    </xf>
    <xf numFmtId="2" fontId="6" fillId="8" borderId="1" xfId="0" applyNumberFormat="1" applyFont="1" applyFill="1" applyBorder="1" applyAlignment="1">
      <alignment horizontal="right" vertical="center"/>
    </xf>
    <xf numFmtId="2" fontId="4" fillId="8" borderId="1" xfId="0" applyNumberFormat="1" applyFont="1" applyFill="1" applyBorder="1" applyAlignment="1">
      <alignment horizontal="center" vertical="center" wrapText="1"/>
    </xf>
    <xf numFmtId="0" fontId="12" fillId="8" borderId="1" xfId="0" applyFont="1" applyFill="1" applyBorder="1"/>
    <xf numFmtId="0" fontId="0" fillId="8" borderId="1" xfId="0" applyFill="1" applyBorder="1" applyAlignment="1">
      <alignment horizontal="center"/>
    </xf>
    <xf numFmtId="0" fontId="0" fillId="8" borderId="0" xfId="0" applyFill="1" applyAlignment="1">
      <alignment horizontal="center"/>
    </xf>
    <xf numFmtId="0" fontId="4" fillId="10" borderId="1" xfId="0" applyFont="1" applyFill="1" applyBorder="1" applyAlignment="1">
      <alignment vertical="center" wrapText="1"/>
    </xf>
    <xf numFmtId="0" fontId="45" fillId="0" borderId="1" xfId="0" applyFont="1" applyBorder="1"/>
    <xf numFmtId="0" fontId="0" fillId="11" borderId="0" xfId="0" applyFill="1"/>
    <xf numFmtId="0" fontId="77" fillId="0" borderId="0" xfId="0" applyFont="1" applyAlignment="1">
      <alignment horizontal="center"/>
    </xf>
    <xf numFmtId="0" fontId="77" fillId="0" borderId="0" xfId="0" applyFont="1" applyAlignment="1">
      <alignment vertical="center"/>
    </xf>
    <xf numFmtId="0" fontId="10" fillId="0" borderId="1" xfId="0" applyFont="1" applyBorder="1" applyAlignment="1">
      <alignment horizontal="center" vertical="center"/>
    </xf>
    <xf numFmtId="0" fontId="41" fillId="0" borderId="0" xfId="0" applyFont="1" applyAlignment="1">
      <alignment vertical="center"/>
    </xf>
    <xf numFmtId="0" fontId="49" fillId="0" borderId="0" xfId="0" applyFont="1"/>
    <xf numFmtId="0" fontId="50" fillId="0" borderId="0" xfId="0" applyFont="1"/>
    <xf numFmtId="0" fontId="49" fillId="0" borderId="16" xfId="0" applyFont="1" applyBorder="1" applyAlignment="1">
      <alignment horizontal="center"/>
    </xf>
    <xf numFmtId="0" fontId="49" fillId="0" borderId="0" xfId="0" applyFont="1" applyAlignment="1">
      <alignment horizontal="center"/>
    </xf>
    <xf numFmtId="0" fontId="49" fillId="0" borderId="19" xfId="0" applyFont="1" applyBorder="1" applyAlignment="1">
      <alignment horizontal="center"/>
    </xf>
    <xf numFmtId="0" fontId="50" fillId="0" borderId="16" xfId="0" applyFont="1" applyBorder="1"/>
    <xf numFmtId="0" fontId="50" fillId="0" borderId="0" xfId="0" applyFont="1" applyAlignment="1">
      <alignment horizontal="center"/>
    </xf>
    <xf numFmtId="0" fontId="50" fillId="0" borderId="19" xfId="0" applyFont="1" applyBorder="1" applyAlignment="1">
      <alignment horizontal="center"/>
    </xf>
    <xf numFmtId="0" fontId="51" fillId="0" borderId="0" xfId="0" applyFont="1"/>
    <xf numFmtId="0" fontId="51" fillId="0" borderId="16" xfId="0" applyFont="1" applyBorder="1"/>
    <xf numFmtId="0" fontId="31" fillId="0" borderId="19" xfId="0" applyFont="1" applyBorder="1"/>
    <xf numFmtId="0" fontId="51" fillId="0" borderId="19" xfId="0" applyFont="1" applyBorder="1"/>
    <xf numFmtId="0" fontId="51" fillId="0" borderId="16" xfId="0" quotePrefix="1" applyFont="1" applyBorder="1" applyAlignment="1">
      <alignment horizontal="center" vertical="center"/>
    </xf>
    <xf numFmtId="0" fontId="51" fillId="0" borderId="16" xfId="0" applyFont="1" applyBorder="1" applyAlignment="1">
      <alignment horizontal="center" vertical="center"/>
    </xf>
    <xf numFmtId="0" fontId="56" fillId="0" borderId="16" xfId="0" applyFont="1" applyBorder="1" applyAlignment="1">
      <alignment horizontal="center" wrapText="1"/>
    </xf>
    <xf numFmtId="0" fontId="50" fillId="0" borderId="41" xfId="0" applyFont="1" applyBorder="1"/>
    <xf numFmtId="0" fontId="50" fillId="0" borderId="42" xfId="0" applyFont="1" applyBorder="1"/>
    <xf numFmtId="0" fontId="50" fillId="0" borderId="42" xfId="0" applyFont="1" applyBorder="1" applyAlignment="1">
      <alignment horizontal="center"/>
    </xf>
    <xf numFmtId="0" fontId="50" fillId="0" borderId="52" xfId="0" applyFont="1" applyBorder="1" applyAlignment="1">
      <alignment horizontal="center"/>
    </xf>
    <xf numFmtId="43" fontId="77" fillId="0" borderId="1" xfId="1" applyFont="1" applyFill="1" applyBorder="1" applyAlignment="1">
      <alignment horizontal="center"/>
    </xf>
    <xf numFmtId="0" fontId="77" fillId="0" borderId="1" xfId="0" applyFont="1" applyBorder="1" applyAlignment="1">
      <alignment horizontal="left"/>
    </xf>
    <xf numFmtId="43" fontId="77" fillId="0" borderId="1" xfId="1" applyFont="1" applyFill="1" applyBorder="1"/>
    <xf numFmtId="0" fontId="77" fillId="0" borderId="0" xfId="0" applyFont="1"/>
    <xf numFmtId="43" fontId="77" fillId="0" borderId="0" xfId="1" applyFont="1" applyFill="1" applyBorder="1"/>
    <xf numFmtId="0" fontId="78" fillId="0" borderId="0" xfId="0" applyFont="1" applyAlignment="1">
      <alignment horizontal="center"/>
    </xf>
    <xf numFmtId="0" fontId="77" fillId="0" borderId="0" xfId="0" applyFont="1" applyAlignment="1">
      <alignment horizontal="center" vertical="top"/>
    </xf>
    <xf numFmtId="0" fontId="77" fillId="0" borderId="1" xfId="0" applyFont="1" applyBorder="1" applyAlignment="1">
      <alignment horizontal="left" wrapText="1"/>
    </xf>
    <xf numFmtId="43" fontId="77" fillId="0" borderId="1" xfId="1" applyFont="1" applyFill="1" applyBorder="1" applyAlignment="1">
      <alignment horizontal="center" vertical="center"/>
    </xf>
    <xf numFmtId="43" fontId="77" fillId="0" borderId="0" xfId="1" applyFont="1" applyFill="1" applyBorder="1" applyAlignment="1">
      <alignment horizontal="center"/>
    </xf>
    <xf numFmtId="0" fontId="77" fillId="0" borderId="1" xfId="0" applyFont="1" applyBorder="1" applyAlignment="1">
      <alignment vertical="center"/>
    </xf>
    <xf numFmtId="43" fontId="77" fillId="0" borderId="1" xfId="1" applyFont="1" applyFill="1" applyBorder="1" applyAlignment="1">
      <alignment vertical="center"/>
    </xf>
    <xf numFmtId="43" fontId="77" fillId="0" borderId="1" xfId="1" applyFont="1" applyFill="1" applyBorder="1" applyAlignment="1">
      <alignment horizontal="center" vertical="center" wrapText="1"/>
    </xf>
    <xf numFmtId="0" fontId="77" fillId="0" borderId="1" xfId="0" applyFont="1" applyBorder="1" applyAlignment="1">
      <alignment horizontal="left" vertical="center"/>
    </xf>
    <xf numFmtId="2" fontId="77" fillId="0" borderId="1" xfId="0" applyNumberFormat="1" applyFont="1" applyBorder="1" applyAlignment="1">
      <alignment horizontal="center" vertical="center"/>
    </xf>
    <xf numFmtId="0" fontId="77" fillId="0" borderId="1" xfId="0" applyFont="1" applyBorder="1" applyAlignment="1">
      <alignment horizontal="left" vertical="center" wrapText="1"/>
    </xf>
    <xf numFmtId="0" fontId="77" fillId="0" borderId="1" xfId="0" applyFont="1" applyBorder="1" applyAlignment="1">
      <alignment vertical="top" wrapText="1"/>
    </xf>
    <xf numFmtId="0" fontId="77" fillId="0" borderId="1" xfId="0" applyFont="1" applyBorder="1" applyAlignment="1">
      <alignment vertical="center" wrapText="1"/>
    </xf>
    <xf numFmtId="0" fontId="77" fillId="0" borderId="1" xfId="0" applyFont="1" applyBorder="1" applyAlignment="1">
      <alignment wrapText="1"/>
    </xf>
    <xf numFmtId="43" fontId="77" fillId="0" borderId="1" xfId="1" applyFont="1" applyFill="1" applyBorder="1" applyAlignment="1">
      <alignment horizontal="right"/>
    </xf>
    <xf numFmtId="43" fontId="78" fillId="0" borderId="0" xfId="1" applyFont="1" applyFill="1" applyBorder="1" applyAlignment="1"/>
    <xf numFmtId="43" fontId="77" fillId="0" borderId="1" xfId="1" applyFont="1" applyFill="1" applyBorder="1" applyAlignment="1">
      <alignment horizontal="right" vertical="center"/>
    </xf>
    <xf numFmtId="2" fontId="77"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0" fontId="31" fillId="8" borderId="0" xfId="0" applyFont="1" applyFill="1"/>
    <xf numFmtId="0" fontId="33" fillId="0" borderId="0" xfId="0" applyFont="1" applyAlignment="1">
      <alignment horizontal="center"/>
    </xf>
    <xf numFmtId="0" fontId="31" fillId="3" borderId="1" xfId="0" applyFont="1" applyFill="1" applyBorder="1" applyAlignment="1">
      <alignment horizontal="center" vertical="center" wrapText="1"/>
    </xf>
    <xf numFmtId="0" fontId="31" fillId="0" borderId="1" xfId="0" applyFont="1" applyBorder="1" applyAlignment="1">
      <alignment vertical="center" wrapText="1"/>
    </xf>
    <xf numFmtId="2" fontId="31" fillId="0" borderId="1" xfId="0" applyNumberFormat="1" applyFont="1" applyBorder="1" applyAlignment="1">
      <alignment horizontal="right" vertical="center"/>
    </xf>
    <xf numFmtId="2" fontId="31" fillId="0" borderId="1" xfId="0" applyNumberFormat="1" applyFont="1" applyBorder="1" applyAlignment="1">
      <alignment horizontal="center" vertical="center" wrapText="1"/>
    </xf>
    <xf numFmtId="2" fontId="31" fillId="0" borderId="53" xfId="0" applyNumberFormat="1" applyFont="1" applyBorder="1" applyAlignment="1">
      <alignment horizontal="right" vertical="center"/>
    </xf>
    <xf numFmtId="2" fontId="31" fillId="0" borderId="54" xfId="0" applyNumberFormat="1" applyFont="1" applyBorder="1" applyAlignment="1">
      <alignment horizontal="right" vertical="center"/>
    </xf>
    <xf numFmtId="0" fontId="79" fillId="0" borderId="0" xfId="0" applyFont="1" applyAlignment="1">
      <alignment horizontal="right"/>
    </xf>
    <xf numFmtId="0" fontId="77" fillId="0" borderId="1" xfId="0" applyFont="1" applyBorder="1" applyAlignment="1">
      <alignment horizontal="center"/>
    </xf>
    <xf numFmtId="0" fontId="77" fillId="0" borderId="1" xfId="0" applyFont="1" applyBorder="1" applyAlignment="1">
      <alignment horizontal="center" vertical="center"/>
    </xf>
    <xf numFmtId="164" fontId="77" fillId="0" borderId="1" xfId="0" applyNumberFormat="1" applyFont="1" applyBorder="1" applyAlignment="1">
      <alignment horizontal="center"/>
    </xf>
    <xf numFmtId="0" fontId="77" fillId="0" borderId="1" xfId="0" applyFont="1" applyBorder="1"/>
    <xf numFmtId="2" fontId="77" fillId="0" borderId="1" xfId="0" applyNumberFormat="1" applyFont="1" applyBorder="1" applyAlignment="1">
      <alignment horizontal="center"/>
    </xf>
    <xf numFmtId="0" fontId="58" fillId="0" borderId="0" xfId="0" applyFont="1" applyAlignment="1">
      <alignment vertical="center"/>
    </xf>
    <xf numFmtId="0" fontId="77" fillId="0" borderId="1" xfId="0" applyFont="1" applyBorder="1" applyAlignment="1">
      <alignment horizontal="center" vertical="top"/>
    </xf>
    <xf numFmtId="43" fontId="77" fillId="0" borderId="1" xfId="0" applyNumberFormat="1" applyFont="1" applyBorder="1" applyAlignment="1">
      <alignment horizontal="center" vertical="center"/>
    </xf>
    <xf numFmtId="0" fontId="77" fillId="0" borderId="1" xfId="0" applyFont="1" applyBorder="1" applyAlignment="1">
      <alignment horizontal="center" wrapText="1"/>
    </xf>
    <xf numFmtId="43" fontId="77" fillId="0" borderId="0" xfId="1" applyFont="1" applyFill="1" applyBorder="1" applyAlignment="1">
      <alignment horizontal="center" vertical="center"/>
    </xf>
    <xf numFmtId="43" fontId="77" fillId="0" borderId="0" xfId="1" applyFont="1" applyBorder="1" applyAlignment="1">
      <alignment horizontal="center" vertical="center"/>
    </xf>
    <xf numFmtId="43" fontId="77" fillId="0" borderId="0" xfId="1" applyFont="1" applyBorder="1" applyAlignment="1">
      <alignment horizontal="center"/>
    </xf>
    <xf numFmtId="43" fontId="77" fillId="0" borderId="0" xfId="1" applyFont="1" applyBorder="1"/>
    <xf numFmtId="43" fontId="78" fillId="0" borderId="0" xfId="1" applyFont="1" applyFill="1" applyBorder="1" applyAlignment="1">
      <alignment horizontal="center" vertical="center"/>
    </xf>
    <xf numFmtId="43" fontId="78" fillId="0" borderId="0" xfId="1" applyFont="1" applyFill="1" applyBorder="1" applyAlignment="1">
      <alignment horizontal="center"/>
    </xf>
    <xf numFmtId="1" fontId="77" fillId="0" borderId="1" xfId="0" applyNumberFormat="1" applyFont="1" applyBorder="1" applyAlignment="1">
      <alignment horizontal="center" vertical="center"/>
    </xf>
    <xf numFmtId="16" fontId="77" fillId="0" borderId="1" xfId="0" applyNumberFormat="1" applyFont="1" applyBorder="1" applyAlignment="1">
      <alignment horizontal="center" vertical="center"/>
    </xf>
    <xf numFmtId="43" fontId="77" fillId="0" borderId="0" xfId="0" applyNumberFormat="1" applyFont="1" applyAlignment="1">
      <alignment vertical="center"/>
    </xf>
    <xf numFmtId="0" fontId="61" fillId="0" borderId="6" xfId="0" applyFont="1" applyBorder="1" applyAlignment="1">
      <alignment horizontal="center" vertical="center"/>
    </xf>
    <xf numFmtId="2" fontId="10" fillId="12" borderId="1" xfId="0" applyNumberFormat="1" applyFont="1" applyFill="1" applyBorder="1"/>
    <xf numFmtId="2" fontId="10" fillId="12" borderId="1" xfId="0" applyNumberFormat="1" applyFont="1" applyFill="1" applyBorder="1" applyAlignment="1">
      <alignment vertical="center"/>
    </xf>
    <xf numFmtId="43" fontId="77" fillId="12" borderId="1" xfId="1" applyFont="1" applyFill="1" applyBorder="1" applyAlignment="1">
      <alignment horizontal="center" vertical="center"/>
    </xf>
    <xf numFmtId="0" fontId="77" fillId="12" borderId="1" xfId="0" applyFont="1" applyFill="1" applyBorder="1" applyAlignment="1">
      <alignment horizontal="center"/>
    </xf>
    <xf numFmtId="0" fontId="77" fillId="11" borderId="1" xfId="0" applyFont="1" applyFill="1" applyBorder="1" applyAlignment="1">
      <alignment horizontal="center" vertical="top"/>
    </xf>
    <xf numFmtId="0" fontId="77" fillId="11" borderId="1" xfId="0" applyFont="1" applyFill="1" applyBorder="1" applyAlignment="1">
      <alignment horizontal="left" wrapText="1"/>
    </xf>
    <xf numFmtId="0" fontId="77" fillId="11" borderId="1" xfId="0" applyFont="1" applyFill="1" applyBorder="1" applyAlignment="1">
      <alignment horizontal="center"/>
    </xf>
    <xf numFmtId="43" fontId="77" fillId="11" borderId="1" xfId="1" applyFont="1" applyFill="1" applyBorder="1" applyAlignment="1">
      <alignment horizontal="center" vertical="center"/>
    </xf>
    <xf numFmtId="43" fontId="77" fillId="11" borderId="1" xfId="1" applyFont="1" applyFill="1" applyBorder="1" applyAlignment="1">
      <alignment horizontal="center"/>
    </xf>
    <xf numFmtId="43" fontId="77" fillId="11" borderId="1" xfId="1" applyFont="1" applyFill="1" applyBorder="1"/>
    <xf numFmtId="0" fontId="77" fillId="11" borderId="0" xfId="0" applyFont="1" applyFill="1"/>
    <xf numFmtId="0" fontId="78" fillId="13" borderId="1" xfId="0" applyFont="1" applyFill="1" applyBorder="1" applyAlignment="1">
      <alignment horizontal="center" vertical="center" wrapText="1"/>
    </xf>
    <xf numFmtId="0" fontId="80" fillId="0" borderId="1" xfId="0" applyFont="1" applyBorder="1" applyAlignment="1">
      <alignment horizontal="center" vertical="top"/>
    </xf>
    <xf numFmtId="0" fontId="80" fillId="0" borderId="1" xfId="0" applyFont="1" applyBorder="1"/>
    <xf numFmtId="0" fontId="80" fillId="0" borderId="1" xfId="0" applyFont="1" applyBorder="1" applyAlignment="1">
      <alignment horizontal="center"/>
    </xf>
    <xf numFmtId="43" fontId="80" fillId="0" borderId="1" xfId="1" applyFont="1" applyFill="1" applyBorder="1" applyAlignment="1">
      <alignment horizontal="center" vertical="center"/>
    </xf>
    <xf numFmtId="43" fontId="80" fillId="0" borderId="1" xfId="1" applyFont="1" applyFill="1" applyBorder="1" applyAlignment="1">
      <alignment horizontal="center"/>
    </xf>
    <xf numFmtId="0" fontId="80" fillId="0" borderId="1" xfId="0" applyFont="1" applyBorder="1" applyAlignment="1">
      <alignment horizontal="center" vertical="center"/>
    </xf>
    <xf numFmtId="0" fontId="80" fillId="0" borderId="0" xfId="0" applyFont="1"/>
    <xf numFmtId="0" fontId="80" fillId="0" borderId="0" xfId="0" applyFont="1" applyAlignment="1">
      <alignment vertical="center"/>
    </xf>
    <xf numFmtId="0" fontId="80" fillId="0" borderId="1" xfId="0" applyFont="1" applyBorder="1" applyAlignment="1">
      <alignment vertical="center" wrapText="1"/>
    </xf>
    <xf numFmtId="43" fontId="80" fillId="0" borderId="1" xfId="1" applyFont="1" applyFill="1" applyBorder="1" applyAlignment="1">
      <alignment horizontal="right" vertical="center"/>
    </xf>
    <xf numFmtId="0" fontId="80" fillId="0" borderId="1" xfId="0" applyFont="1" applyBorder="1" applyAlignment="1">
      <alignment wrapText="1"/>
    </xf>
    <xf numFmtId="0" fontId="80" fillId="0" borderId="1" xfId="0" applyFont="1" applyBorder="1" applyAlignment="1">
      <alignment horizontal="center" vertical="center" wrapText="1"/>
    </xf>
    <xf numFmtId="0" fontId="77" fillId="13" borderId="1" xfId="0" applyFont="1" applyFill="1" applyBorder="1" applyAlignment="1">
      <alignment horizontal="center" vertical="top"/>
    </xf>
    <xf numFmtId="0" fontId="77" fillId="13" borderId="1" xfId="0" applyFont="1" applyFill="1" applyBorder="1"/>
    <xf numFmtId="0" fontId="77" fillId="13" borderId="1" xfId="0" applyFont="1" applyFill="1" applyBorder="1" applyAlignment="1">
      <alignment horizontal="center"/>
    </xf>
    <xf numFmtId="43" fontId="77" fillId="13" borderId="1" xfId="1" applyFont="1" applyFill="1" applyBorder="1" applyAlignment="1">
      <alignment horizontal="center" vertical="center"/>
    </xf>
    <xf numFmtId="43" fontId="77" fillId="13" borderId="1" xfId="1" applyFont="1" applyFill="1" applyBorder="1" applyAlignment="1">
      <alignment horizontal="center"/>
    </xf>
    <xf numFmtId="43" fontId="77" fillId="13" borderId="1" xfId="1" applyFont="1" applyFill="1" applyBorder="1" applyAlignment="1">
      <alignment horizontal="right"/>
    </xf>
    <xf numFmtId="0" fontId="77" fillId="13" borderId="1" xfId="0" applyFont="1" applyFill="1" applyBorder="1" applyAlignment="1">
      <alignment horizontal="center" vertical="center"/>
    </xf>
    <xf numFmtId="0" fontId="77" fillId="13" borderId="0" xfId="0" applyFont="1" applyFill="1"/>
    <xf numFmtId="0" fontId="77" fillId="12" borderId="1" xfId="0" applyFont="1" applyFill="1" applyBorder="1" applyAlignment="1">
      <alignment horizontal="center" vertical="top"/>
    </xf>
    <xf numFmtId="0" fontId="77" fillId="12" borderId="1" xfId="0" applyFont="1" applyFill="1" applyBorder="1"/>
    <xf numFmtId="43" fontId="77" fillId="12" borderId="1" xfId="1" applyFont="1" applyFill="1" applyBorder="1" applyAlignment="1">
      <alignment horizontal="center"/>
    </xf>
    <xf numFmtId="43" fontId="77" fillId="12" borderId="1" xfId="1" applyFont="1" applyFill="1" applyBorder="1" applyAlignment="1">
      <alignment horizontal="right"/>
    </xf>
    <xf numFmtId="0" fontId="77" fillId="12" borderId="1" xfId="0" applyFont="1" applyFill="1" applyBorder="1" applyAlignment="1">
      <alignment horizontal="center" vertical="center"/>
    </xf>
    <xf numFmtId="0" fontId="78" fillId="12" borderId="1" xfId="0" applyFont="1" applyFill="1" applyBorder="1" applyAlignment="1">
      <alignment horizontal="center" vertical="center" wrapText="1"/>
    </xf>
    <xf numFmtId="0" fontId="77" fillId="12" borderId="0" xfId="0" applyFont="1" applyFill="1"/>
    <xf numFmtId="43" fontId="80" fillId="0" borderId="1" xfId="1" applyFont="1" applyFill="1" applyBorder="1"/>
    <xf numFmtId="14" fontId="77" fillId="12" borderId="1" xfId="0" applyNumberFormat="1" applyFont="1" applyFill="1" applyBorder="1" applyAlignment="1">
      <alignment horizontal="center" vertical="center" wrapText="1"/>
    </xf>
    <xf numFmtId="0" fontId="77" fillId="12" borderId="1" xfId="0" applyFont="1" applyFill="1" applyBorder="1" applyAlignment="1">
      <alignment vertical="center"/>
    </xf>
    <xf numFmtId="43" fontId="77" fillId="12" borderId="1" xfId="1" applyFont="1" applyFill="1" applyBorder="1" applyAlignment="1">
      <alignment horizontal="right" vertical="center"/>
    </xf>
    <xf numFmtId="0" fontId="77" fillId="12" borderId="0" xfId="0" applyFont="1" applyFill="1" applyAlignment="1">
      <alignment vertical="center"/>
    </xf>
    <xf numFmtId="0" fontId="77" fillId="8" borderId="1" xfId="0" applyFont="1" applyFill="1" applyBorder="1" applyAlignment="1">
      <alignment horizontal="center" vertical="center"/>
    </xf>
    <xf numFmtId="0" fontId="77" fillId="8" borderId="1" xfId="0" applyFont="1" applyFill="1" applyBorder="1" applyAlignment="1">
      <alignment vertical="center"/>
    </xf>
    <xf numFmtId="43" fontId="77" fillId="8" borderId="1" xfId="1" applyFont="1" applyFill="1" applyBorder="1" applyAlignment="1">
      <alignment horizontal="center" vertical="center"/>
    </xf>
    <xf numFmtId="43" fontId="77" fillId="8" borderId="1" xfId="1" applyFont="1" applyFill="1" applyBorder="1" applyAlignment="1">
      <alignment horizontal="right" vertical="center"/>
    </xf>
    <xf numFmtId="0" fontId="77" fillId="8" borderId="1" xfId="0" applyFont="1" applyFill="1" applyBorder="1" applyAlignment="1">
      <alignment horizontal="center" vertical="center" wrapText="1"/>
    </xf>
    <xf numFmtId="0" fontId="77" fillId="8" borderId="0" xfId="0" applyFont="1" applyFill="1" applyAlignment="1">
      <alignment vertical="center"/>
    </xf>
    <xf numFmtId="17" fontId="77" fillId="13" borderId="1" xfId="0" applyNumberFormat="1" applyFont="1" applyFill="1" applyBorder="1" applyAlignment="1">
      <alignment horizontal="center" vertical="center" wrapText="1"/>
    </xf>
    <xf numFmtId="0" fontId="77" fillId="13" borderId="1" xfId="0" applyFont="1" applyFill="1" applyBorder="1" applyAlignment="1">
      <alignment vertical="center" wrapText="1"/>
    </xf>
    <xf numFmtId="43" fontId="77" fillId="13" borderId="1" xfId="1" applyFont="1" applyFill="1" applyBorder="1" applyAlignment="1">
      <alignment horizontal="right" vertical="center"/>
    </xf>
    <xf numFmtId="2" fontId="77" fillId="13" borderId="1" xfId="0" applyNumberFormat="1" applyFont="1" applyFill="1" applyBorder="1" applyAlignment="1">
      <alignment horizontal="center" vertical="center"/>
    </xf>
    <xf numFmtId="0" fontId="77" fillId="13" borderId="0" xfId="0" applyFont="1" applyFill="1" applyAlignment="1">
      <alignment vertical="center"/>
    </xf>
    <xf numFmtId="0" fontId="80" fillId="13" borderId="1" xfId="0" applyFont="1" applyFill="1" applyBorder="1" applyAlignment="1">
      <alignment horizontal="center" vertical="top"/>
    </xf>
    <xf numFmtId="0" fontId="80" fillId="13" borderId="1" xfId="0" applyFont="1" applyFill="1" applyBorder="1"/>
    <xf numFmtId="0" fontId="80" fillId="13" borderId="1" xfId="0" applyFont="1" applyFill="1" applyBorder="1" applyAlignment="1">
      <alignment horizontal="center"/>
    </xf>
    <xf numFmtId="43" fontId="80" fillId="13" borderId="1" xfId="1" applyFont="1" applyFill="1" applyBorder="1" applyAlignment="1">
      <alignment horizontal="center" vertical="center"/>
    </xf>
    <xf numFmtId="43" fontId="80" fillId="13" borderId="1" xfId="1" applyFont="1" applyFill="1" applyBorder="1" applyAlignment="1">
      <alignment horizontal="center"/>
    </xf>
    <xf numFmtId="43" fontId="80" fillId="13" borderId="1" xfId="1" applyFont="1" applyFill="1" applyBorder="1" applyAlignment="1">
      <alignment horizontal="right"/>
    </xf>
    <xf numFmtId="0" fontId="80" fillId="13" borderId="1" xfId="0" applyFont="1" applyFill="1" applyBorder="1" applyAlignment="1">
      <alignment horizontal="center" vertical="center"/>
    </xf>
    <xf numFmtId="0" fontId="80" fillId="13" borderId="0" xfId="0" applyFont="1" applyFill="1"/>
    <xf numFmtId="16" fontId="77" fillId="0" borderId="1" xfId="0" quotePrefix="1" applyNumberFormat="1" applyFont="1" applyBorder="1" applyAlignment="1">
      <alignment horizontal="center" vertical="center"/>
    </xf>
    <xf numFmtId="0" fontId="77" fillId="0" borderId="1" xfId="0" quotePrefix="1" applyFont="1" applyBorder="1" applyAlignment="1">
      <alignment horizontal="center" vertical="center"/>
    </xf>
    <xf numFmtId="0" fontId="77" fillId="11" borderId="1" xfId="0" applyFont="1" applyFill="1" applyBorder="1"/>
    <xf numFmtId="0" fontId="77" fillId="11" borderId="1" xfId="0" applyFont="1" applyFill="1" applyBorder="1" applyAlignment="1">
      <alignment horizontal="center" vertical="center"/>
    </xf>
    <xf numFmtId="0" fontId="77" fillId="13" borderId="1" xfId="0" applyFont="1" applyFill="1" applyBorder="1" applyAlignment="1">
      <alignment horizontal="left" vertical="center" wrapText="1"/>
    </xf>
    <xf numFmtId="43" fontId="77" fillId="13" borderId="1" xfId="1" applyFont="1" applyFill="1" applyBorder="1" applyAlignment="1">
      <alignment vertical="center"/>
    </xf>
    <xf numFmtId="0" fontId="77" fillId="13" borderId="1" xfId="0" applyFont="1" applyFill="1" applyBorder="1" applyAlignment="1">
      <alignment horizontal="left"/>
    </xf>
    <xf numFmtId="43" fontId="77" fillId="13" borderId="1" xfId="1" applyFont="1" applyFill="1" applyBorder="1"/>
    <xf numFmtId="3" fontId="77" fillId="13" borderId="1" xfId="0" applyNumberFormat="1" applyFont="1" applyFill="1" applyBorder="1" applyAlignment="1">
      <alignment horizontal="center" vertical="center"/>
    </xf>
    <xf numFmtId="17" fontId="77" fillId="0" borderId="1" xfId="0" quotePrefix="1" applyNumberFormat="1" applyFont="1" applyBorder="1" applyAlignment="1">
      <alignment horizontal="center" vertical="center"/>
    </xf>
    <xf numFmtId="0" fontId="80" fillId="13" borderId="1" xfId="0" applyFont="1" applyFill="1" applyBorder="1" applyAlignment="1">
      <alignment vertical="center" wrapText="1"/>
    </xf>
    <xf numFmtId="43" fontId="80" fillId="13" borderId="1" xfId="1" applyFont="1" applyFill="1" applyBorder="1" applyAlignment="1">
      <alignment vertical="center"/>
    </xf>
    <xf numFmtId="0" fontId="80" fillId="13" borderId="0" xfId="0" applyFont="1" applyFill="1" applyAlignment="1">
      <alignment vertical="center"/>
    </xf>
    <xf numFmtId="0" fontId="80" fillId="13" borderId="1" xfId="0" applyFont="1" applyFill="1" applyBorder="1" applyAlignment="1">
      <alignment horizontal="left"/>
    </xf>
    <xf numFmtId="43" fontId="80" fillId="13" borderId="1" xfId="1" applyFont="1" applyFill="1" applyBorder="1" applyAlignment="1">
      <alignment horizontal="right" vertical="center"/>
    </xf>
    <xf numFmtId="0" fontId="80" fillId="13" borderId="1" xfId="0" applyFont="1" applyFill="1" applyBorder="1" applyAlignment="1">
      <alignment wrapText="1"/>
    </xf>
    <xf numFmtId="2" fontId="80" fillId="13" borderId="1" xfId="0" applyNumberFormat="1" applyFont="1" applyFill="1" applyBorder="1" applyAlignment="1">
      <alignment horizontal="center"/>
    </xf>
    <xf numFmtId="0" fontId="77" fillId="10" borderId="1" xfId="0" applyFont="1" applyFill="1" applyBorder="1" applyAlignment="1">
      <alignment horizontal="center" vertical="top"/>
    </xf>
    <xf numFmtId="0" fontId="77" fillId="10" borderId="1" xfId="0" applyFont="1" applyFill="1" applyBorder="1" applyAlignment="1">
      <alignment horizontal="center"/>
    </xf>
    <xf numFmtId="0" fontId="77" fillId="10" borderId="0" xfId="0" applyFont="1" applyFill="1"/>
    <xf numFmtId="0" fontId="77" fillId="13" borderId="1" xfId="0" quotePrefix="1" applyFont="1" applyFill="1" applyBorder="1" applyAlignment="1">
      <alignment horizontal="center" vertical="center"/>
    </xf>
    <xf numFmtId="2" fontId="77" fillId="0" borderId="1" xfId="0" quotePrefix="1" applyNumberFormat="1" applyFont="1" applyBorder="1" applyAlignment="1">
      <alignment horizontal="center"/>
    </xf>
    <xf numFmtId="0" fontId="77" fillId="0" borderId="1" xfId="0" quotePrefix="1" applyFont="1" applyBorder="1" applyAlignment="1">
      <alignment horizontal="center"/>
    </xf>
    <xf numFmtId="0" fontId="81" fillId="0" borderId="0" xfId="0" applyFont="1"/>
    <xf numFmtId="0" fontId="81" fillId="0" borderId="0" xfId="0" applyFont="1" applyAlignment="1">
      <alignment horizontal="center"/>
    </xf>
    <xf numFmtId="2" fontId="31" fillId="0" borderId="1" xfId="0" quotePrefix="1" applyNumberFormat="1" applyFont="1" applyBorder="1" applyAlignment="1">
      <alignment horizontal="center" vertical="center" wrapText="1"/>
    </xf>
    <xf numFmtId="0" fontId="80" fillId="13" borderId="1" xfId="0" applyFont="1" applyFill="1" applyBorder="1" applyAlignment="1">
      <alignment horizontal="center" vertical="center" wrapText="1"/>
    </xf>
    <xf numFmtId="0" fontId="77" fillId="12" borderId="1" xfId="0" applyFont="1" applyFill="1" applyBorder="1" applyAlignment="1">
      <alignment horizontal="center" vertical="center" wrapText="1"/>
    </xf>
    <xf numFmtId="0" fontId="77" fillId="9" borderId="1" xfId="0" applyFont="1" applyFill="1" applyBorder="1" applyAlignment="1">
      <alignment horizontal="center" vertical="top"/>
    </xf>
    <xf numFmtId="0" fontId="77" fillId="9" borderId="1" xfId="0" applyFont="1" applyFill="1" applyBorder="1"/>
    <xf numFmtId="0" fontId="77" fillId="9" borderId="1" xfId="0" applyFont="1" applyFill="1" applyBorder="1" applyAlignment="1">
      <alignment horizontal="center"/>
    </xf>
    <xf numFmtId="43" fontId="77" fillId="9" borderId="1" xfId="1" applyFont="1" applyFill="1" applyBorder="1" applyAlignment="1">
      <alignment horizontal="center" vertical="center"/>
    </xf>
    <xf numFmtId="43" fontId="77" fillId="9" borderId="1" xfId="1" applyFont="1" applyFill="1" applyBorder="1" applyAlignment="1">
      <alignment horizontal="center"/>
    </xf>
    <xf numFmtId="43" fontId="77" fillId="9" borderId="1" xfId="1" applyFont="1" applyFill="1" applyBorder="1" applyAlignment="1">
      <alignment horizontal="right"/>
    </xf>
    <xf numFmtId="2" fontId="77" fillId="9" borderId="1" xfId="0" applyNumberFormat="1" applyFont="1" applyFill="1" applyBorder="1" applyAlignment="1">
      <alignment horizontal="center"/>
    </xf>
    <xf numFmtId="0" fontId="77" fillId="9" borderId="1" xfId="0" applyFont="1" applyFill="1" applyBorder="1" applyAlignment="1">
      <alignment horizontal="center" vertical="center"/>
    </xf>
    <xf numFmtId="0" fontId="77" fillId="9" borderId="0" xfId="0" applyFont="1" applyFill="1"/>
    <xf numFmtId="0" fontId="81" fillId="10" borderId="0" xfId="0" applyFont="1" applyFill="1" applyAlignment="1">
      <alignment vertical="center"/>
    </xf>
    <xf numFmtId="0" fontId="81" fillId="10" borderId="0" xfId="0" applyFont="1" applyFill="1" applyAlignment="1">
      <alignment horizontal="center" vertical="center" wrapText="1"/>
    </xf>
    <xf numFmtId="0" fontId="82" fillId="10" borderId="0" xfId="0" applyFont="1" applyFill="1" applyAlignment="1">
      <alignment horizontal="center" vertical="center"/>
    </xf>
    <xf numFmtId="0" fontId="81" fillId="10" borderId="0" xfId="0" applyFont="1" applyFill="1" applyAlignment="1">
      <alignment horizontal="center" vertical="center"/>
    </xf>
    <xf numFmtId="43" fontId="81" fillId="10" borderId="0" xfId="1" applyFont="1" applyFill="1" applyBorder="1" applyAlignment="1">
      <alignment vertical="center"/>
    </xf>
    <xf numFmtId="43" fontId="83" fillId="0" borderId="1" xfId="1" applyFont="1" applyFill="1" applyBorder="1"/>
    <xf numFmtId="0" fontId="84" fillId="0" borderId="0" xfId="0" applyFont="1"/>
    <xf numFmtId="0" fontId="83" fillId="0" borderId="0" xfId="0" applyFont="1" applyAlignment="1">
      <alignment horizontal="center"/>
    </xf>
    <xf numFmtId="0" fontId="85" fillId="0" borderId="1" xfId="0" applyFont="1" applyBorder="1" applyAlignment="1">
      <alignment horizontal="center" vertical="center"/>
    </xf>
    <xf numFmtId="0" fontId="85" fillId="0" borderId="1" xfId="0" applyFont="1" applyBorder="1" applyAlignment="1">
      <alignment horizontal="center" vertical="center" wrapText="1"/>
    </xf>
    <xf numFmtId="43" fontId="85" fillId="0" borderId="1" xfId="1" applyFont="1" applyFill="1" applyBorder="1" applyAlignment="1">
      <alignment horizontal="center" vertical="center"/>
    </xf>
    <xf numFmtId="43" fontId="85" fillId="0" borderId="1" xfId="1" applyFont="1" applyFill="1" applyBorder="1" applyAlignment="1">
      <alignment horizontal="center" vertical="center" wrapText="1"/>
    </xf>
    <xf numFmtId="0" fontId="84" fillId="0" borderId="8" xfId="0" applyFont="1" applyBorder="1"/>
    <xf numFmtId="0" fontId="84" fillId="0" borderId="1" xfId="0" applyFont="1" applyBorder="1" applyAlignment="1">
      <alignment horizontal="center" vertical="center"/>
    </xf>
    <xf numFmtId="0" fontId="84" fillId="0" borderId="1" xfId="0" applyFont="1" applyBorder="1" applyAlignment="1">
      <alignment horizontal="center"/>
    </xf>
    <xf numFmtId="43" fontId="84" fillId="0" borderId="1" xfId="1" applyFont="1" applyFill="1" applyBorder="1" applyAlignment="1">
      <alignment horizontal="center"/>
    </xf>
    <xf numFmtId="0" fontId="84" fillId="0" borderId="2" xfId="0" applyFont="1" applyBorder="1"/>
    <xf numFmtId="0" fontId="84" fillId="0" borderId="1" xfId="0" applyFont="1" applyBorder="1" applyAlignment="1">
      <alignment horizontal="left"/>
    </xf>
    <xf numFmtId="164" fontId="84" fillId="0" borderId="1" xfId="0" applyNumberFormat="1" applyFont="1" applyBorder="1" applyAlignment="1">
      <alignment horizontal="center"/>
    </xf>
    <xf numFmtId="2" fontId="84" fillId="0" borderId="1" xfId="0" applyNumberFormat="1" applyFont="1" applyBorder="1" applyAlignment="1">
      <alignment horizontal="center"/>
    </xf>
    <xf numFmtId="43" fontId="84" fillId="0" borderId="1" xfId="1" applyFont="1" applyFill="1" applyBorder="1"/>
    <xf numFmtId="0" fontId="83" fillId="0" borderId="0" xfId="0" applyFont="1" applyAlignment="1">
      <alignment horizontal="center" vertical="center"/>
    </xf>
    <xf numFmtId="0" fontId="84" fillId="0" borderId="0" xfId="0" applyFont="1" applyAlignment="1">
      <alignment horizontal="center"/>
    </xf>
    <xf numFmtId="43" fontId="84" fillId="0" borderId="0" xfId="1" applyFont="1" applyFill="1" applyBorder="1"/>
    <xf numFmtId="0" fontId="84" fillId="0" borderId="0" xfId="0" applyFont="1" applyAlignment="1">
      <alignment horizontal="center" vertical="center"/>
    </xf>
    <xf numFmtId="43" fontId="84" fillId="0" borderId="0" xfId="1" applyFont="1" applyFill="1" applyBorder="1" applyAlignment="1">
      <alignment horizontal="left"/>
    </xf>
    <xf numFmtId="0" fontId="83" fillId="0" borderId="10" xfId="0" applyFont="1" applyBorder="1" applyAlignment="1">
      <alignment horizontal="center" vertical="center"/>
    </xf>
    <xf numFmtId="0" fontId="84" fillId="0" borderId="10" xfId="0" applyFont="1" applyBorder="1" applyAlignment="1">
      <alignment horizontal="center"/>
    </xf>
    <xf numFmtId="43" fontId="84" fillId="0" borderId="10" xfId="1" applyFont="1" applyFill="1" applyBorder="1" applyAlignment="1"/>
    <xf numFmtId="43" fontId="84" fillId="0" borderId="10" xfId="1" applyFont="1" applyFill="1" applyBorder="1"/>
    <xf numFmtId="43" fontId="84" fillId="0" borderId="10" xfId="1" applyFont="1" applyFill="1" applyBorder="1" applyAlignment="1">
      <alignment horizontal="center"/>
    </xf>
    <xf numFmtId="0" fontId="84" fillId="0" borderId="6" xfId="0" applyFont="1" applyBorder="1" applyAlignment="1">
      <alignment horizontal="center" vertical="center"/>
    </xf>
    <xf numFmtId="0" fontId="84" fillId="0" borderId="6" xfId="0" applyFont="1" applyBorder="1" applyAlignment="1">
      <alignment horizontal="left"/>
    </xf>
    <xf numFmtId="164" fontId="84" fillId="0" borderId="6" xfId="0" applyNumberFormat="1" applyFont="1" applyBorder="1" applyAlignment="1">
      <alignment horizontal="center"/>
    </xf>
    <xf numFmtId="0" fontId="84" fillId="0" borderId="6" xfId="0" applyFont="1" applyBorder="1" applyAlignment="1">
      <alignment horizontal="center"/>
    </xf>
    <xf numFmtId="43" fontId="84" fillId="0" borderId="6" xfId="1" applyFont="1" applyFill="1" applyBorder="1" applyAlignment="1">
      <alignment horizontal="center"/>
    </xf>
    <xf numFmtId="9" fontId="84" fillId="0" borderId="0" xfId="0" applyNumberFormat="1" applyFont="1" applyAlignment="1">
      <alignment horizontal="center"/>
    </xf>
    <xf numFmtId="43" fontId="84" fillId="0" borderId="0" xfId="1" applyFont="1" applyFill="1" applyBorder="1" applyAlignment="1"/>
    <xf numFmtId="43" fontId="84" fillId="0" borderId="6" xfId="1" applyFont="1" applyFill="1" applyBorder="1"/>
    <xf numFmtId="0" fontId="84" fillId="0" borderId="9" xfId="0" applyFont="1" applyBorder="1" applyAlignment="1">
      <alignment horizontal="center"/>
    </xf>
    <xf numFmtId="43" fontId="84" fillId="0" borderId="9" xfId="1" applyFont="1" applyFill="1" applyBorder="1"/>
    <xf numFmtId="0" fontId="84" fillId="0" borderId="9" xfId="0" applyFont="1" applyBorder="1"/>
    <xf numFmtId="0" fontId="85" fillId="12" borderId="1" xfId="0" applyFont="1" applyFill="1" applyBorder="1" applyAlignment="1">
      <alignment horizontal="center" vertical="center"/>
    </xf>
    <xf numFmtId="0" fontId="85" fillId="12" borderId="1" xfId="0" applyFont="1" applyFill="1" applyBorder="1" applyAlignment="1">
      <alignment horizontal="center" vertical="center" wrapText="1"/>
    </xf>
    <xf numFmtId="43" fontId="85" fillId="12" borderId="1" xfId="1" applyFont="1" applyFill="1" applyBorder="1" applyAlignment="1">
      <alignment horizontal="center" vertical="center"/>
    </xf>
    <xf numFmtId="43" fontId="85" fillId="12" borderId="1" xfId="1" applyFont="1" applyFill="1" applyBorder="1" applyAlignment="1">
      <alignment horizontal="center" vertical="center" wrapText="1"/>
    </xf>
    <xf numFmtId="0" fontId="84" fillId="12" borderId="0" xfId="0" applyFont="1" applyFill="1"/>
    <xf numFmtId="0" fontId="84" fillId="0" borderId="1" xfId="0" applyFont="1" applyBorder="1"/>
    <xf numFmtId="0" fontId="84" fillId="0" borderId="0" xfId="0" applyFont="1" applyAlignment="1">
      <alignment vertical="top"/>
    </xf>
    <xf numFmtId="0" fontId="84" fillId="0" borderId="0" xfId="0" applyFont="1" applyAlignment="1">
      <alignment horizontal="center" vertical="top"/>
    </xf>
    <xf numFmtId="43" fontId="84" fillId="0" borderId="0" xfId="1" applyFont="1" applyFill="1" applyBorder="1" applyAlignment="1">
      <alignment vertical="top"/>
    </xf>
    <xf numFmtId="164" fontId="84" fillId="0" borderId="1" xfId="0" applyNumberFormat="1" applyFont="1" applyBorder="1" applyAlignment="1">
      <alignment horizontal="right"/>
    </xf>
    <xf numFmtId="0" fontId="84" fillId="0" borderId="3" xfId="0" applyFont="1" applyBorder="1" applyAlignment="1">
      <alignment horizontal="justify" vertical="top" wrapText="1"/>
    </xf>
    <xf numFmtId="0" fontId="84" fillId="0" borderId="1" xfId="0" applyFont="1" applyBorder="1" applyAlignment="1">
      <alignment horizontal="left" wrapText="1"/>
    </xf>
    <xf numFmtId="0" fontId="84" fillId="0" borderId="55" xfId="0" applyFont="1" applyBorder="1" applyAlignment="1">
      <alignment horizontal="center" vertical="center"/>
    </xf>
    <xf numFmtId="43" fontId="84" fillId="0" borderId="5" xfId="1" applyFont="1" applyFill="1" applyBorder="1"/>
    <xf numFmtId="0" fontId="85" fillId="0" borderId="0" xfId="0" applyFont="1"/>
    <xf numFmtId="0" fontId="83" fillId="0" borderId="9" xfId="0" applyFont="1" applyBorder="1" applyAlignment="1">
      <alignment horizontal="center" vertical="center"/>
    </xf>
    <xf numFmtId="0" fontId="84" fillId="0" borderId="0" xfId="0" applyFont="1" applyAlignment="1">
      <alignment vertical="center"/>
    </xf>
    <xf numFmtId="43" fontId="84" fillId="0" borderId="0" xfId="0" applyNumberFormat="1" applyFont="1"/>
    <xf numFmtId="164" fontId="84" fillId="0" borderId="12" xfId="0" applyNumberFormat="1" applyFont="1" applyBorder="1" applyAlignment="1">
      <alignment horizontal="center"/>
    </xf>
    <xf numFmtId="0" fontId="84" fillId="0" borderId="4" xfId="0" applyFont="1" applyBorder="1" applyAlignment="1">
      <alignment horizontal="center"/>
    </xf>
    <xf numFmtId="0" fontId="84" fillId="0" borderId="10" xfId="0" applyFont="1" applyBorder="1"/>
    <xf numFmtId="43" fontId="84" fillId="0" borderId="10" xfId="1" applyFont="1" applyFill="1" applyBorder="1" applyAlignment="1">
      <alignment horizontal="left"/>
    </xf>
    <xf numFmtId="0" fontId="85" fillId="0" borderId="3" xfId="0" applyFont="1" applyBorder="1" applyAlignment="1">
      <alignment horizontal="center" vertical="center" wrapText="1"/>
    </xf>
    <xf numFmtId="43" fontId="85" fillId="0" borderId="3" xfId="1" applyFont="1" applyFill="1" applyBorder="1" applyAlignment="1">
      <alignment horizontal="center" vertical="center"/>
    </xf>
    <xf numFmtId="43" fontId="85" fillId="0" borderId="3" xfId="1" applyFont="1" applyFill="1" applyBorder="1" applyAlignment="1">
      <alignment horizontal="center" vertical="center" wrapText="1"/>
    </xf>
    <xf numFmtId="0" fontId="83" fillId="0" borderId="4" xfId="0" applyFont="1" applyBorder="1" applyAlignment="1">
      <alignment horizontal="center" vertical="center"/>
    </xf>
    <xf numFmtId="43" fontId="84" fillId="0" borderId="4" xfId="1" applyFont="1" applyFill="1" applyBorder="1"/>
    <xf numFmtId="43" fontId="84" fillId="0" borderId="11" xfId="1" applyFont="1" applyFill="1" applyBorder="1"/>
    <xf numFmtId="2" fontId="85" fillId="0" borderId="1" xfId="0" applyNumberFormat="1" applyFont="1" applyBorder="1" applyAlignment="1">
      <alignment horizontal="center" vertical="center"/>
    </xf>
    <xf numFmtId="43" fontId="84" fillId="0" borderId="1" xfId="1" applyFont="1" applyFill="1" applyBorder="1" applyAlignment="1">
      <alignment horizontal="center" vertical="center"/>
    </xf>
    <xf numFmtId="43" fontId="84" fillId="0" borderId="0" xfId="1" applyFont="1" applyFill="1" applyBorder="1" applyAlignment="1">
      <alignment horizontal="center"/>
    </xf>
    <xf numFmtId="43" fontId="84" fillId="0" borderId="1" xfId="1" applyFont="1" applyFill="1" applyBorder="1" applyAlignment="1">
      <alignment horizontal="right"/>
    </xf>
    <xf numFmtId="167" fontId="84" fillId="0" borderId="1" xfId="1" applyNumberFormat="1" applyFont="1" applyFill="1" applyBorder="1" applyAlignment="1">
      <alignment horizontal="center"/>
    </xf>
    <xf numFmtId="165" fontId="84" fillId="0" borderId="1" xfId="0" applyNumberFormat="1" applyFont="1" applyBorder="1" applyAlignment="1">
      <alignment horizontal="center"/>
    </xf>
    <xf numFmtId="43" fontId="84" fillId="0" borderId="1" xfId="1" applyFont="1" applyFill="1" applyBorder="1" applyAlignment="1"/>
    <xf numFmtId="0" fontId="84" fillId="0" borderId="1" xfId="0" applyFont="1" applyBorder="1" applyAlignment="1">
      <alignment vertical="center"/>
    </xf>
    <xf numFmtId="164" fontId="84" fillId="0" borderId="1" xfId="0" applyNumberFormat="1" applyFont="1" applyBorder="1" applyAlignment="1">
      <alignment horizontal="right" vertical="center"/>
    </xf>
    <xf numFmtId="43" fontId="84" fillId="0" borderId="1" xfId="1" applyFont="1" applyFill="1" applyBorder="1" applyAlignment="1">
      <alignment vertical="center"/>
    </xf>
    <xf numFmtId="43" fontId="84" fillId="0" borderId="1" xfId="1" applyFont="1" applyFill="1" applyBorder="1" applyAlignment="1">
      <alignment horizontal="center" vertical="center" wrapText="1"/>
    </xf>
    <xf numFmtId="2" fontId="84" fillId="0" borderId="1" xfId="0" applyNumberFormat="1" applyFont="1" applyBorder="1" applyAlignment="1">
      <alignment horizontal="left"/>
    </xf>
    <xf numFmtId="43" fontId="84" fillId="0" borderId="0" xfId="1" applyFont="1" applyFill="1"/>
    <xf numFmtId="43" fontId="84" fillId="0" borderId="1" xfId="1" applyFont="1" applyFill="1" applyBorder="1" applyAlignment="1">
      <alignment horizontal="left"/>
    </xf>
    <xf numFmtId="0" fontId="84" fillId="0" borderId="56" xfId="0" applyFont="1" applyBorder="1" applyAlignment="1">
      <alignment horizontal="center" vertical="center"/>
    </xf>
    <xf numFmtId="0" fontId="84" fillId="0" borderId="34" xfId="0" applyFont="1" applyBorder="1" applyAlignment="1">
      <alignment horizontal="center"/>
    </xf>
    <xf numFmtId="43" fontId="84" fillId="0" borderId="34" xfId="1" applyFont="1" applyFill="1" applyBorder="1" applyAlignment="1">
      <alignment horizontal="center"/>
    </xf>
    <xf numFmtId="165" fontId="84" fillId="0" borderId="1" xfId="0" applyNumberFormat="1" applyFont="1" applyBorder="1" applyAlignment="1">
      <alignment horizontal="right"/>
    </xf>
    <xf numFmtId="0" fontId="84" fillId="0" borderId="1" xfId="0" applyFont="1" applyBorder="1" applyAlignment="1">
      <alignment horizontal="left" vertical="center"/>
    </xf>
    <xf numFmtId="165" fontId="84" fillId="0" borderId="1" xfId="0" applyNumberFormat="1" applyFont="1" applyBorder="1" applyAlignment="1">
      <alignment horizontal="right" vertical="center"/>
    </xf>
    <xf numFmtId="0" fontId="83" fillId="0" borderId="1" xfId="0" applyFont="1" applyBorder="1" applyAlignment="1">
      <alignment horizontal="center"/>
    </xf>
    <xf numFmtId="2" fontId="84" fillId="0" borderId="1" xfId="0" applyNumberFormat="1" applyFont="1" applyBorder="1"/>
    <xf numFmtId="0" fontId="84" fillId="0" borderId="3" xfId="0" applyFont="1" applyBorder="1" applyAlignment="1">
      <alignment horizontal="center" vertical="center"/>
    </xf>
    <xf numFmtId="43" fontId="85" fillId="0" borderId="12" xfId="1" applyFont="1" applyFill="1" applyBorder="1" applyAlignment="1">
      <alignment horizontal="center" vertical="center" wrapText="1"/>
    </xf>
    <xf numFmtId="43" fontId="84" fillId="0" borderId="3" xfId="1" applyFont="1" applyFill="1" applyBorder="1" applyAlignment="1">
      <alignment horizontal="center"/>
    </xf>
    <xf numFmtId="0" fontId="83" fillId="0" borderId="1" xfId="0" applyFont="1" applyBorder="1" applyAlignment="1">
      <alignment horizontal="center" vertical="center"/>
    </xf>
    <xf numFmtId="0" fontId="84" fillId="0" borderId="12" xfId="0" applyFont="1" applyBorder="1" applyAlignment="1">
      <alignment horizontal="center"/>
    </xf>
    <xf numFmtId="0" fontId="86" fillId="0" borderId="0" xfId="0" applyFont="1" applyAlignment="1">
      <alignment horizontal="center" vertical="center"/>
    </xf>
    <xf numFmtId="9" fontId="84" fillId="0" borderId="1" xfId="0" applyNumberFormat="1" applyFont="1" applyBorder="1" applyAlignment="1">
      <alignment horizontal="left"/>
    </xf>
    <xf numFmtId="2" fontId="84" fillId="0" borderId="1" xfId="0" applyNumberFormat="1" applyFont="1" applyBorder="1" applyAlignment="1">
      <alignment horizontal="center" vertical="center"/>
    </xf>
    <xf numFmtId="0" fontId="84" fillId="0" borderId="1" xfId="0" applyFont="1" applyBorder="1" applyAlignment="1">
      <alignment horizontal="left" vertical="center" wrapText="1"/>
    </xf>
    <xf numFmtId="2" fontId="84" fillId="0" borderId="1" xfId="0" applyNumberFormat="1" applyFont="1" applyBorder="1" applyAlignment="1">
      <alignment horizontal="left" vertical="center" wrapText="1"/>
    </xf>
    <xf numFmtId="43" fontId="83" fillId="0" borderId="0" xfId="1" applyFont="1" applyFill="1" applyAlignment="1">
      <alignment horizontal="center"/>
    </xf>
    <xf numFmtId="43" fontId="84" fillId="0" borderId="6" xfId="1" applyFont="1" applyFill="1" applyBorder="1" applyAlignment="1">
      <alignment horizontal="right"/>
    </xf>
    <xf numFmtId="43" fontId="84" fillId="0" borderId="9" xfId="1" applyFont="1" applyFill="1" applyBorder="1" applyAlignment="1">
      <alignment horizontal="right"/>
    </xf>
    <xf numFmtId="43" fontId="84" fillId="0" borderId="10" xfId="1" applyFont="1" applyFill="1" applyBorder="1" applyAlignment="1">
      <alignment horizontal="right"/>
    </xf>
    <xf numFmtId="0" fontId="67" fillId="0" borderId="1" xfId="0" applyFont="1" applyBorder="1" applyAlignment="1">
      <alignment horizontal="center" vertical="center"/>
    </xf>
    <xf numFmtId="0" fontId="67" fillId="0" borderId="3" xfId="0" applyFont="1" applyBorder="1" applyAlignment="1">
      <alignment horizontal="center" vertical="center" wrapText="1"/>
    </xf>
    <xf numFmtId="43" fontId="67" fillId="0" borderId="3" xfId="1" applyFont="1" applyFill="1" applyBorder="1" applyAlignment="1">
      <alignment horizontal="center" vertical="center"/>
    </xf>
    <xf numFmtId="43" fontId="67" fillId="0" borderId="3" xfId="1" applyFont="1" applyFill="1" applyBorder="1" applyAlignment="1">
      <alignment horizontal="center" vertical="center" wrapText="1"/>
    </xf>
    <xf numFmtId="0" fontId="31" fillId="0" borderId="1" xfId="0" applyFont="1" applyBorder="1" applyAlignment="1">
      <alignment horizontal="center" vertical="center"/>
    </xf>
    <xf numFmtId="43" fontId="31" fillId="0" borderId="1" xfId="1" applyFont="1" applyFill="1" applyBorder="1" applyAlignment="1">
      <alignment horizontal="center"/>
    </xf>
    <xf numFmtId="0" fontId="31" fillId="0" borderId="1" xfId="0" applyFont="1" applyBorder="1" applyAlignment="1">
      <alignment horizontal="left"/>
    </xf>
    <xf numFmtId="164" fontId="31" fillId="0" borderId="1" xfId="0" applyNumberFormat="1" applyFont="1" applyBorder="1" applyAlignment="1">
      <alignment horizontal="right"/>
    </xf>
    <xf numFmtId="43" fontId="31" fillId="0" borderId="1" xfId="1" applyFont="1" applyFill="1" applyBorder="1"/>
    <xf numFmtId="0" fontId="31" fillId="0" borderId="1" xfId="0" applyFont="1" applyBorder="1"/>
    <xf numFmtId="0" fontId="31" fillId="0" borderId="0" xfId="0" applyFont="1" applyAlignment="1">
      <alignment vertical="center"/>
    </xf>
    <xf numFmtId="0" fontId="31" fillId="0" borderId="1" xfId="0" applyFont="1" applyBorder="1" applyAlignment="1">
      <alignment vertical="center"/>
    </xf>
    <xf numFmtId="164" fontId="31" fillId="0" borderId="1" xfId="0" applyNumberFormat="1" applyFont="1" applyBorder="1" applyAlignment="1">
      <alignment horizontal="right" vertical="center"/>
    </xf>
    <xf numFmtId="2" fontId="31" fillId="0" borderId="1" xfId="0" applyNumberFormat="1" applyFont="1" applyBorder="1" applyAlignment="1">
      <alignment horizontal="center" vertical="center"/>
    </xf>
    <xf numFmtId="43" fontId="31" fillId="0" borderId="1" xfId="1" applyFont="1" applyFill="1" applyBorder="1" applyAlignment="1">
      <alignment vertical="center"/>
    </xf>
    <xf numFmtId="43" fontId="31" fillId="0" borderId="1" xfId="1" applyFont="1" applyFill="1" applyBorder="1" applyAlignment="1">
      <alignment horizontal="right"/>
    </xf>
    <xf numFmtId="43" fontId="84" fillId="0" borderId="0" xfId="1" applyFont="1" applyFill="1" applyBorder="1" applyAlignment="1">
      <alignment horizontal="right"/>
    </xf>
    <xf numFmtId="0" fontId="84" fillId="0" borderId="1" xfId="0" applyFont="1" applyBorder="1" applyAlignment="1">
      <alignment horizontal="center" vertical="top" wrapText="1"/>
    </xf>
    <xf numFmtId="43" fontId="84" fillId="0" borderId="1" xfId="1" applyFont="1" applyFill="1" applyBorder="1" applyAlignment="1">
      <alignment vertical="top" wrapText="1"/>
    </xf>
    <xf numFmtId="0" fontId="84" fillId="0" borderId="1" xfId="0" applyFont="1" applyBorder="1" applyAlignment="1">
      <alignment vertical="top" wrapText="1"/>
    </xf>
    <xf numFmtId="164" fontId="84" fillId="0" borderId="1" xfId="0" applyNumberFormat="1" applyFont="1" applyBorder="1" applyAlignment="1">
      <alignment horizontal="right" vertical="top"/>
    </xf>
    <xf numFmtId="43" fontId="84" fillId="0" borderId="1" xfId="1" applyFont="1" applyFill="1" applyBorder="1" applyAlignment="1">
      <alignment vertical="top"/>
    </xf>
    <xf numFmtId="0" fontId="84" fillId="0" borderId="1" xfId="0" applyFont="1" applyBorder="1" applyAlignment="1">
      <alignment vertical="top"/>
    </xf>
    <xf numFmtId="164" fontId="84" fillId="0" borderId="1" xfId="0" applyNumberFormat="1" applyFont="1" applyBorder="1" applyAlignment="1">
      <alignment horizontal="center" vertical="top"/>
    </xf>
    <xf numFmtId="0" fontId="67" fillId="0" borderId="1" xfId="0" applyFont="1" applyBorder="1" applyAlignment="1">
      <alignment horizontal="center" vertical="center" wrapText="1"/>
    </xf>
    <xf numFmtId="43" fontId="67" fillId="0" borderId="1" xfId="1" applyFont="1" applyFill="1" applyBorder="1" applyAlignment="1">
      <alignment horizontal="center" vertical="center"/>
    </xf>
    <xf numFmtId="43" fontId="67" fillId="0" borderId="1" xfId="1" applyFont="1" applyFill="1" applyBorder="1" applyAlignment="1">
      <alignment horizontal="center" vertical="center" wrapText="1"/>
    </xf>
    <xf numFmtId="43" fontId="31" fillId="0" borderId="6" xfId="1" applyFont="1" applyFill="1" applyBorder="1" applyAlignment="1">
      <alignment vertical="top" wrapText="1"/>
    </xf>
    <xf numFmtId="43" fontId="31" fillId="0" borderId="7" xfId="1" applyFont="1" applyFill="1" applyBorder="1" applyAlignment="1">
      <alignment vertical="top" wrapText="1"/>
    </xf>
    <xf numFmtId="43" fontId="31" fillId="0" borderId="7" xfId="1" applyFont="1" applyFill="1" applyBorder="1" applyAlignment="1">
      <alignment horizontal="center" vertical="center" wrapText="1"/>
    </xf>
    <xf numFmtId="43" fontId="31" fillId="0" borderId="7" xfId="1" applyFont="1" applyFill="1" applyBorder="1" applyAlignment="1">
      <alignment horizontal="center" vertical="top" wrapText="1"/>
    </xf>
    <xf numFmtId="43" fontId="31" fillId="0" borderId="3" xfId="1" applyFont="1" applyFill="1" applyBorder="1" applyAlignment="1">
      <alignment vertical="top" wrapText="1"/>
    </xf>
    <xf numFmtId="43" fontId="84" fillId="0" borderId="9" xfId="1" applyFont="1" applyFill="1" applyBorder="1" applyAlignment="1">
      <alignment horizontal="center"/>
    </xf>
    <xf numFmtId="0" fontId="87" fillId="0" borderId="0" xfId="0" applyFont="1"/>
    <xf numFmtId="0" fontId="84" fillId="0" borderId="0" xfId="0" applyFont="1" applyAlignment="1">
      <alignment horizontal="left"/>
    </xf>
    <xf numFmtId="0" fontId="87" fillId="0" borderId="0" xfId="0" applyFont="1" applyAlignment="1">
      <alignment vertical="top" wrapText="1"/>
    </xf>
    <xf numFmtId="0" fontId="87" fillId="0" borderId="0" xfId="0" applyFont="1" applyAlignment="1">
      <alignment horizontal="center"/>
    </xf>
    <xf numFmtId="43" fontId="87" fillId="0" borderId="0" xfId="1" applyFont="1" applyFill="1"/>
    <xf numFmtId="0" fontId="87" fillId="0" borderId="0" xfId="0" applyFont="1" applyAlignment="1">
      <alignment horizontal="left"/>
    </xf>
    <xf numFmtId="0" fontId="84" fillId="0" borderId="0" xfId="0" applyFont="1" applyAlignment="1">
      <alignment vertical="top" wrapText="1"/>
    </xf>
    <xf numFmtId="166" fontId="84" fillId="0" borderId="1" xfId="0" applyNumberFormat="1" applyFont="1" applyBorder="1" applyAlignment="1">
      <alignment horizontal="right" vertical="top"/>
    </xf>
    <xf numFmtId="43" fontId="84" fillId="0" borderId="9" xfId="1" applyFont="1" applyFill="1" applyBorder="1" applyAlignment="1">
      <alignment horizontal="left"/>
    </xf>
    <xf numFmtId="0" fontId="84" fillId="0" borderId="1" xfId="0" applyFont="1" applyBorder="1" applyAlignment="1">
      <alignment wrapText="1"/>
    </xf>
    <xf numFmtId="0" fontId="84" fillId="0" borderId="1" xfId="0" applyFont="1" applyBorder="1" applyAlignment="1">
      <alignment vertical="center" wrapText="1"/>
    </xf>
    <xf numFmtId="0" fontId="84" fillId="0" borderId="9" xfId="0" applyFont="1" applyBorder="1" applyAlignment="1">
      <alignment horizontal="center" vertical="center"/>
    </xf>
    <xf numFmtId="2" fontId="84" fillId="0" borderId="1" xfId="0" applyNumberFormat="1" applyFont="1" applyBorder="1" applyAlignment="1">
      <alignment horizontal="right"/>
    </xf>
    <xf numFmtId="43" fontId="84" fillId="8" borderId="1" xfId="1" applyFont="1" applyFill="1" applyBorder="1"/>
    <xf numFmtId="9" fontId="84" fillId="0" borderId="1" xfId="0" applyNumberFormat="1" applyFont="1" applyBorder="1"/>
    <xf numFmtId="0" fontId="83" fillId="0" borderId="0" xfId="0" applyFont="1" applyAlignment="1">
      <alignment vertical="center"/>
    </xf>
    <xf numFmtId="2" fontId="84" fillId="0" borderId="0" xfId="0" applyNumberFormat="1" applyFont="1"/>
    <xf numFmtId="43" fontId="84" fillId="0" borderId="1" xfId="1" applyFont="1" applyFill="1" applyBorder="1" applyAlignment="1">
      <alignment wrapText="1"/>
    </xf>
    <xf numFmtId="0" fontId="83" fillId="0" borderId="9" xfId="0" applyFont="1" applyBorder="1" applyAlignment="1">
      <alignment horizontal="center"/>
    </xf>
    <xf numFmtId="2" fontId="84" fillId="0" borderId="10" xfId="0" applyNumberFormat="1" applyFont="1" applyBorder="1"/>
    <xf numFmtId="0" fontId="84" fillId="0" borderId="10" xfId="0" applyFont="1" applyBorder="1" applyAlignment="1">
      <alignment horizontal="center" vertical="center"/>
    </xf>
    <xf numFmtId="0" fontId="83" fillId="0" borderId="10" xfId="0" applyFont="1" applyBorder="1" applyAlignment="1">
      <alignment horizontal="center"/>
    </xf>
    <xf numFmtId="0" fontId="84" fillId="0" borderId="1" xfId="0" applyFont="1" applyBorder="1" applyAlignment="1">
      <alignment horizontal="right"/>
    </xf>
    <xf numFmtId="0" fontId="85" fillId="0" borderId="10" xfId="0" applyFont="1" applyBorder="1" applyAlignment="1">
      <alignment horizontal="center" vertical="center" wrapText="1"/>
    </xf>
    <xf numFmtId="164" fontId="31" fillId="0" borderId="0" xfId="0" applyNumberFormat="1" applyFont="1" applyAlignment="1">
      <alignment horizontal="right"/>
    </xf>
    <xf numFmtId="0" fontId="83" fillId="0" borderId="12" xfId="0" applyFont="1" applyBorder="1" applyAlignment="1">
      <alignment horizontal="center" vertical="center"/>
    </xf>
    <xf numFmtId="0" fontId="83" fillId="0" borderId="0" xfId="0" applyFont="1" applyAlignment="1">
      <alignment horizontal="left" vertical="center"/>
    </xf>
    <xf numFmtId="2" fontId="88" fillId="0" borderId="1" xfId="0" applyNumberFormat="1" applyFont="1" applyBorder="1" applyAlignment="1">
      <alignment horizontal="center" vertical="center"/>
    </xf>
    <xf numFmtId="0" fontId="88" fillId="0" borderId="1" xfId="0" applyFont="1" applyBorder="1" applyAlignment="1">
      <alignment horizontal="center" vertical="center" wrapText="1"/>
    </xf>
    <xf numFmtId="0" fontId="88" fillId="0" borderId="0" xfId="0" applyFont="1"/>
    <xf numFmtId="2" fontId="83" fillId="0" borderId="49" xfId="0" applyNumberFormat="1" applyFont="1" applyBorder="1" applyAlignment="1">
      <alignment horizontal="center"/>
    </xf>
    <xf numFmtId="9" fontId="84" fillId="0" borderId="49" xfId="0" applyNumberFormat="1" applyFont="1" applyBorder="1" applyAlignment="1">
      <alignment horizontal="center"/>
    </xf>
    <xf numFmtId="43" fontId="84" fillId="0" borderId="49" xfId="1" applyFont="1" applyFill="1" applyBorder="1"/>
    <xf numFmtId="0" fontId="88" fillId="0" borderId="3" xfId="0" applyFont="1" applyBorder="1" applyAlignment="1">
      <alignment horizontal="center" vertical="center" wrapText="1"/>
    </xf>
    <xf numFmtId="43" fontId="88" fillId="0" borderId="1" xfId="1" applyFont="1" applyFill="1" applyBorder="1" applyAlignment="1">
      <alignment horizontal="center" vertical="center"/>
    </xf>
    <xf numFmtId="43" fontId="84" fillId="0" borderId="57" xfId="1" applyFont="1" applyFill="1" applyBorder="1"/>
    <xf numFmtId="43" fontId="84" fillId="0" borderId="58" xfId="1" applyFont="1" applyFill="1" applyBorder="1"/>
    <xf numFmtId="43" fontId="84" fillId="0" borderId="24" xfId="1" applyFont="1" applyFill="1" applyBorder="1"/>
    <xf numFmtId="43" fontId="84" fillId="0" borderId="59" xfId="1" applyFont="1" applyFill="1" applyBorder="1"/>
    <xf numFmtId="43" fontId="84" fillId="0" borderId="60" xfId="1" applyFont="1" applyFill="1" applyBorder="1"/>
    <xf numFmtId="43" fontId="84" fillId="0" borderId="61" xfId="1" applyFont="1" applyFill="1" applyBorder="1"/>
    <xf numFmtId="0" fontId="84" fillId="0" borderId="62" xfId="0" applyFont="1" applyBorder="1" applyAlignment="1">
      <alignment horizontal="center" vertical="center"/>
    </xf>
    <xf numFmtId="0" fontId="84" fillId="0" borderId="24" xfId="0" applyFont="1" applyBorder="1" applyAlignment="1">
      <alignment horizontal="center"/>
    </xf>
    <xf numFmtId="43" fontId="84" fillId="0" borderId="24" xfId="1" applyFont="1" applyFill="1" applyBorder="1" applyAlignment="1">
      <alignment horizontal="center"/>
    </xf>
    <xf numFmtId="43" fontId="84" fillId="0" borderId="59" xfId="1" applyFont="1" applyFill="1" applyBorder="1" applyAlignment="1">
      <alignment horizontal="center"/>
    </xf>
    <xf numFmtId="0" fontId="84" fillId="0" borderId="24" xfId="0" applyFont="1" applyBorder="1"/>
    <xf numFmtId="164" fontId="84" fillId="0" borderId="24" xfId="0" applyNumberFormat="1" applyFont="1" applyBorder="1" applyAlignment="1">
      <alignment horizontal="right"/>
    </xf>
    <xf numFmtId="2" fontId="84" fillId="0" borderId="24" xfId="0" applyNumberFormat="1" applyFont="1" applyBorder="1"/>
    <xf numFmtId="0" fontId="84" fillId="0" borderId="0" xfId="0" applyFont="1" applyAlignment="1">
      <alignment vertical="center" wrapText="1"/>
    </xf>
    <xf numFmtId="0" fontId="84" fillId="0" borderId="0" xfId="0" applyFont="1" applyAlignment="1">
      <alignment horizontal="center" vertical="center" wrapText="1"/>
    </xf>
    <xf numFmtId="43" fontId="84" fillId="0" borderId="0" xfId="1" applyFont="1" applyFill="1" applyBorder="1" applyAlignment="1">
      <alignment vertical="center" wrapText="1"/>
    </xf>
    <xf numFmtId="2" fontId="84" fillId="0" borderId="0" xfId="0" applyNumberFormat="1" applyFont="1" applyAlignment="1">
      <alignment horizontal="center"/>
    </xf>
    <xf numFmtId="0" fontId="84" fillId="0" borderId="7" xfId="0" applyFont="1" applyBorder="1" applyAlignment="1">
      <alignment horizontal="center" vertical="center"/>
    </xf>
    <xf numFmtId="2" fontId="83" fillId="0" borderId="0" xfId="0" applyNumberFormat="1" applyFont="1" applyAlignment="1">
      <alignment horizontal="center"/>
    </xf>
    <xf numFmtId="2" fontId="88" fillId="0" borderId="3" xfId="0" applyNumberFormat="1" applyFont="1" applyBorder="1" applyAlignment="1">
      <alignment horizontal="center" vertical="center"/>
    </xf>
    <xf numFmtId="164" fontId="84" fillId="0" borderId="1" xfId="0" applyNumberFormat="1" applyFont="1" applyBorder="1"/>
    <xf numFmtId="43" fontId="83" fillId="0" borderId="0" xfId="1" applyFont="1" applyFill="1" applyBorder="1"/>
    <xf numFmtId="0" fontId="83" fillId="0" borderId="0" xfId="0" applyFont="1"/>
    <xf numFmtId="43" fontId="83" fillId="0" borderId="0" xfId="1" applyFont="1" applyFill="1" applyBorder="1" applyAlignment="1">
      <alignment horizontal="right"/>
    </xf>
    <xf numFmtId="43" fontId="83" fillId="0" borderId="0" xfId="1" applyFont="1" applyFill="1" applyBorder="1" applyAlignment="1"/>
    <xf numFmtId="43" fontId="88" fillId="0" borderId="1" xfId="1" applyFont="1" applyFill="1" applyBorder="1" applyAlignment="1">
      <alignment horizontal="center" vertical="center" wrapText="1"/>
    </xf>
    <xf numFmtId="167" fontId="84" fillId="0" borderId="6" xfId="1" applyNumberFormat="1" applyFont="1" applyFill="1" applyBorder="1" applyAlignment="1">
      <alignment horizontal="center"/>
    </xf>
    <xf numFmtId="167" fontId="84" fillId="0" borderId="1" xfId="0" applyNumberFormat="1" applyFont="1" applyBorder="1"/>
    <xf numFmtId="167" fontId="84" fillId="0" borderId="1" xfId="1" applyNumberFormat="1" applyFont="1" applyFill="1" applyBorder="1" applyAlignment="1"/>
    <xf numFmtId="2" fontId="83" fillId="0" borderId="0" xfId="0" applyNumberFormat="1" applyFont="1" applyAlignment="1">
      <alignment horizontal="center" vertical="center"/>
    </xf>
    <xf numFmtId="2" fontId="84" fillId="0" borderId="0" xfId="0" applyNumberFormat="1" applyFont="1" applyAlignment="1">
      <alignment horizontal="center" vertical="top"/>
    </xf>
    <xf numFmtId="43" fontId="84" fillId="0" borderId="0" xfId="1" applyFont="1" applyFill="1" applyAlignment="1">
      <alignment vertical="top"/>
    </xf>
    <xf numFmtId="164" fontId="84" fillId="0" borderId="12" xfId="0" applyNumberFormat="1" applyFont="1" applyBorder="1" applyAlignment="1">
      <alignment horizontal="right"/>
    </xf>
    <xf numFmtId="0" fontId="84" fillId="0" borderId="53" xfId="0" applyFont="1" applyBorder="1" applyAlignment="1">
      <alignment horizontal="center" vertical="center"/>
    </xf>
    <xf numFmtId="0" fontId="84" fillId="0" borderId="8" xfId="0" applyFont="1" applyBorder="1" applyAlignment="1">
      <alignment horizontal="left"/>
    </xf>
    <xf numFmtId="0" fontId="83" fillId="0" borderId="0" xfId="0" applyFont="1" applyAlignment="1">
      <alignment horizontal="center" vertical="center" wrapText="1"/>
    </xf>
    <xf numFmtId="164" fontId="84" fillId="0" borderId="12" xfId="0" applyNumberFormat="1" applyFont="1" applyBorder="1"/>
    <xf numFmtId="0" fontId="65" fillId="0" borderId="0" xfId="0" applyFont="1" applyAlignment="1">
      <alignment vertical="top" wrapText="1"/>
    </xf>
    <xf numFmtId="164" fontId="84" fillId="0" borderId="1" xfId="0" applyNumberFormat="1" applyFont="1" applyBorder="1" applyAlignment="1">
      <alignment vertical="center"/>
    </xf>
    <xf numFmtId="43" fontId="84" fillId="0" borderId="6" xfId="1" applyFont="1" applyFill="1" applyBorder="1" applyAlignment="1">
      <alignment horizontal="center" vertical="center"/>
    </xf>
    <xf numFmtId="164" fontId="84" fillId="0" borderId="4" xfId="0" applyNumberFormat="1" applyFont="1" applyBorder="1" applyAlignment="1">
      <alignment horizontal="center"/>
    </xf>
    <xf numFmtId="43" fontId="88" fillId="0" borderId="3" xfId="1" applyFont="1" applyFill="1" applyBorder="1" applyAlignment="1">
      <alignment horizontal="center" vertical="center"/>
    </xf>
    <xf numFmtId="0" fontId="84" fillId="0" borderId="0" xfId="0" applyFont="1" applyAlignment="1">
      <alignment horizontal="right"/>
    </xf>
    <xf numFmtId="43" fontId="84" fillId="0" borderId="3" xfId="1" applyFont="1" applyFill="1" applyBorder="1" applyAlignment="1">
      <alignment horizontal="center" vertical="center"/>
    </xf>
    <xf numFmtId="43" fontId="84" fillId="0" borderId="1" xfId="1" applyFont="1" applyFill="1" applyBorder="1" applyAlignment="1">
      <alignment horizontal="right" vertical="center"/>
    </xf>
    <xf numFmtId="168" fontId="84" fillId="0" borderId="1" xfId="0" applyNumberFormat="1" applyFont="1" applyBorder="1" applyAlignment="1">
      <alignment horizontal="center"/>
    </xf>
    <xf numFmtId="2" fontId="84" fillId="0" borderId="6" xfId="0" applyNumberFormat="1" applyFont="1" applyBorder="1" applyAlignment="1">
      <alignment horizontal="center"/>
    </xf>
    <xf numFmtId="2" fontId="84" fillId="0" borderId="1" xfId="0" applyNumberFormat="1" applyFont="1" applyBorder="1" applyAlignment="1">
      <alignment horizontal="center" vertical="center" wrapText="1"/>
    </xf>
    <xf numFmtId="2" fontId="84" fillId="0" borderId="3" xfId="0" applyNumberFormat="1" applyFont="1" applyBorder="1" applyAlignment="1">
      <alignment horizontal="center"/>
    </xf>
    <xf numFmtId="0" fontId="84" fillId="0" borderId="1" xfId="0" applyFont="1" applyBorder="1" applyAlignment="1">
      <alignment horizontal="center" vertical="center" wrapText="1"/>
    </xf>
    <xf numFmtId="2" fontId="84" fillId="0" borderId="10" xfId="0" applyNumberFormat="1" applyFont="1" applyBorder="1" applyAlignment="1">
      <alignment horizontal="center"/>
    </xf>
    <xf numFmtId="1" fontId="84" fillId="0" borderId="63" xfId="0" applyNumberFormat="1" applyFont="1" applyBorder="1" applyAlignment="1">
      <alignment horizontal="center"/>
    </xf>
    <xf numFmtId="0" fontId="84" fillId="0" borderId="64" xfId="0" applyFont="1" applyBorder="1" applyAlignment="1">
      <alignment horizontal="center"/>
    </xf>
    <xf numFmtId="0" fontId="84" fillId="0" borderId="63" xfId="0" applyFont="1" applyBorder="1" applyAlignment="1">
      <alignment horizontal="center"/>
    </xf>
    <xf numFmtId="0" fontId="84" fillId="0" borderId="16" xfId="0" applyFont="1" applyBorder="1"/>
    <xf numFmtId="0" fontId="84" fillId="0" borderId="6" xfId="0" applyFont="1" applyBorder="1" applyAlignment="1">
      <alignment horizontal="center" vertical="center" wrapText="1"/>
    </xf>
    <xf numFmtId="2" fontId="84" fillId="0" borderId="6" xfId="0" applyNumberFormat="1" applyFont="1" applyBorder="1" applyAlignment="1">
      <alignment horizontal="center" vertical="center" wrapText="1"/>
    </xf>
    <xf numFmtId="2" fontId="84" fillId="0" borderId="6" xfId="0" applyNumberFormat="1" applyFont="1" applyBorder="1" applyAlignment="1">
      <alignment horizontal="center" vertical="center"/>
    </xf>
    <xf numFmtId="0" fontId="84" fillId="0" borderId="3" xfId="0" applyFont="1" applyBorder="1" applyAlignment="1">
      <alignment horizontal="center"/>
    </xf>
    <xf numFmtId="2" fontId="84" fillId="0" borderId="7" xfId="0" applyNumberFormat="1" applyFont="1" applyBorder="1" applyAlignment="1">
      <alignment horizontal="center" vertical="center"/>
    </xf>
    <xf numFmtId="0" fontId="84" fillId="0" borderId="7" xfId="0" applyFont="1" applyBorder="1" applyAlignment="1">
      <alignment horizontal="center"/>
    </xf>
    <xf numFmtId="164" fontId="84" fillId="0" borderId="7" xfId="0" applyNumberFormat="1" applyFont="1" applyBorder="1" applyAlignment="1">
      <alignment horizontal="center"/>
    </xf>
    <xf numFmtId="2" fontId="84" fillId="0" borderId="7" xfId="0" applyNumberFormat="1" applyFont="1" applyBorder="1" applyAlignment="1">
      <alignment horizontal="center"/>
    </xf>
    <xf numFmtId="0" fontId="84" fillId="0" borderId="3" xfId="0" applyFont="1" applyBorder="1" applyAlignment="1">
      <alignment horizontal="center" wrapText="1"/>
    </xf>
    <xf numFmtId="2" fontId="84" fillId="0" borderId="3" xfId="0" applyNumberFormat="1" applyFont="1" applyBorder="1" applyAlignment="1">
      <alignment horizontal="center" vertical="center"/>
    </xf>
    <xf numFmtId="1" fontId="84" fillId="0" borderId="6" xfId="0" applyNumberFormat="1" applyFont="1" applyBorder="1" applyAlignment="1">
      <alignment horizontal="center" wrapText="1"/>
    </xf>
    <xf numFmtId="0" fontId="84" fillId="0" borderId="0" xfId="0" applyFont="1" applyAlignment="1">
      <alignment wrapText="1"/>
    </xf>
    <xf numFmtId="0" fontId="84" fillId="0" borderId="0" xfId="0" applyFont="1" applyAlignment="1">
      <alignment horizontal="center" wrapText="1"/>
    </xf>
    <xf numFmtId="0" fontId="81" fillId="0" borderId="0" xfId="0" applyFont="1" applyAlignment="1">
      <alignment horizontal="center" vertical="top"/>
    </xf>
    <xf numFmtId="0" fontId="82" fillId="0" borderId="0" xfId="0" applyFont="1"/>
    <xf numFmtId="0" fontId="82" fillId="0" borderId="0" xfId="0" applyFont="1" applyAlignment="1">
      <alignment vertical="top"/>
    </xf>
    <xf numFmtId="0" fontId="82" fillId="0" borderId="0" xfId="0" applyFont="1" applyAlignment="1">
      <alignment horizontal="center" wrapText="1"/>
    </xf>
    <xf numFmtId="0" fontId="82" fillId="0" borderId="10" xfId="0" applyFont="1" applyBorder="1"/>
    <xf numFmtId="43" fontId="82" fillId="0" borderId="1" xfId="1" applyFont="1" applyFill="1" applyBorder="1" applyAlignment="1">
      <alignment horizontal="center" vertical="center"/>
    </xf>
    <xf numFmtId="0" fontId="82" fillId="12" borderId="0" xfId="0" applyFont="1" applyFill="1" applyAlignment="1">
      <alignment horizontal="center" vertical="center"/>
    </xf>
    <xf numFmtId="0" fontId="82" fillId="12" borderId="0" xfId="0" applyFont="1" applyFill="1" applyAlignment="1">
      <alignment horizontal="center" vertical="center" wrapText="1"/>
    </xf>
    <xf numFmtId="43" fontId="82" fillId="12" borderId="0" xfId="1" applyFont="1" applyFill="1" applyBorder="1" applyAlignment="1">
      <alignment horizontal="center" vertical="center"/>
    </xf>
    <xf numFmtId="43" fontId="82" fillId="12" borderId="0" xfId="1" applyFont="1" applyFill="1" applyBorder="1" applyAlignment="1">
      <alignment vertical="center"/>
    </xf>
    <xf numFmtId="0" fontId="82" fillId="12" borderId="0" xfId="0" applyFont="1" applyFill="1" applyAlignment="1">
      <alignment vertical="center"/>
    </xf>
    <xf numFmtId="0" fontId="81" fillId="0" borderId="1" xfId="0" applyFont="1" applyBorder="1" applyAlignment="1">
      <alignment horizontal="right" vertical="center"/>
    </xf>
    <xf numFmtId="0" fontId="81" fillId="0" borderId="1" xfId="0" applyFont="1" applyBorder="1" applyAlignment="1">
      <alignment horizontal="center" vertical="center" wrapText="1"/>
    </xf>
    <xf numFmtId="0" fontId="81" fillId="0" borderId="1" xfId="0" applyFont="1" applyBorder="1" applyAlignment="1">
      <alignment vertical="center" wrapText="1"/>
    </xf>
    <xf numFmtId="0" fontId="81" fillId="0" borderId="1" xfId="0" applyFont="1" applyBorder="1" applyAlignment="1">
      <alignment horizontal="center" vertical="center"/>
    </xf>
    <xf numFmtId="43" fontId="81" fillId="0" borderId="1" xfId="1" applyFont="1" applyFill="1" applyBorder="1" applyAlignment="1">
      <alignment vertical="center"/>
    </xf>
    <xf numFmtId="0" fontId="81" fillId="0" borderId="0" xfId="0" applyFont="1" applyAlignment="1">
      <alignment vertical="center"/>
    </xf>
    <xf numFmtId="0" fontId="81" fillId="0" borderId="1" xfId="0" applyFont="1" applyBorder="1" applyAlignment="1">
      <alignment vertical="center"/>
    </xf>
    <xf numFmtId="0" fontId="81" fillId="8" borderId="0" xfId="0" applyFont="1" applyFill="1" applyAlignment="1">
      <alignment vertical="center"/>
    </xf>
    <xf numFmtId="0" fontId="81" fillId="0" borderId="0" xfId="0" applyFont="1" applyAlignment="1">
      <alignment horizontal="center" vertical="center" wrapText="1"/>
    </xf>
    <xf numFmtId="0" fontId="81" fillId="0" borderId="0" xfId="0" applyFont="1" applyAlignment="1">
      <alignment vertical="center" wrapText="1"/>
    </xf>
    <xf numFmtId="0" fontId="81" fillId="0" borderId="0" xfId="0" applyFont="1" applyAlignment="1">
      <alignment horizontal="center" vertical="center"/>
    </xf>
    <xf numFmtId="43" fontId="81" fillId="0" borderId="0" xfId="1" applyFont="1" applyFill="1" applyBorder="1" applyAlignment="1">
      <alignment vertical="center"/>
    </xf>
    <xf numFmtId="2" fontId="81" fillId="0" borderId="1" xfId="0" applyNumberFormat="1" applyFont="1" applyBorder="1" applyAlignment="1">
      <alignment vertical="center"/>
    </xf>
    <xf numFmtId="43" fontId="89" fillId="0" borderId="1" xfId="1" applyFont="1" applyFill="1" applyBorder="1" applyAlignment="1">
      <alignment horizontal="center" vertical="center"/>
    </xf>
    <xf numFmtId="43" fontId="81" fillId="0" borderId="1" xfId="0" applyNumberFormat="1" applyFont="1" applyBorder="1" applyAlignment="1">
      <alignment horizontal="center" vertical="center"/>
    </xf>
    <xf numFmtId="0" fontId="81" fillId="0" borderId="1" xfId="1" applyNumberFormat="1" applyFont="1" applyFill="1" applyBorder="1" applyAlignment="1">
      <alignment vertical="center" wrapText="1"/>
    </xf>
    <xf numFmtId="0" fontId="81" fillId="0" borderId="1" xfId="0" applyFont="1" applyBorder="1" applyAlignment="1">
      <alignment horizontal="center" vertical="top" wrapText="1"/>
    </xf>
    <xf numFmtId="2" fontId="81" fillId="0" borderId="3" xfId="0" applyNumberFormat="1" applyFont="1" applyBorder="1" applyAlignment="1">
      <alignment vertical="center"/>
    </xf>
    <xf numFmtId="0" fontId="81" fillId="0" borderId="3" xfId="0" applyFont="1" applyBorder="1" applyAlignment="1">
      <alignment horizontal="center" vertical="top" wrapText="1"/>
    </xf>
    <xf numFmtId="0" fontId="81" fillId="0" borderId="3" xfId="0" applyFont="1" applyBorder="1" applyAlignment="1">
      <alignment horizontal="center" vertical="center"/>
    </xf>
    <xf numFmtId="43" fontId="81" fillId="0" borderId="3" xfId="1" applyFont="1" applyFill="1" applyBorder="1" applyAlignment="1">
      <alignment vertical="center"/>
    </xf>
    <xf numFmtId="0" fontId="81" fillId="0" borderId="1" xfId="0" applyFont="1" applyBorder="1" applyAlignment="1">
      <alignment vertical="top" wrapText="1"/>
    </xf>
    <xf numFmtId="0" fontId="81" fillId="0" borderId="1" xfId="1" applyNumberFormat="1" applyFont="1" applyFill="1" applyBorder="1" applyAlignment="1">
      <alignment horizontal="left" vertical="top" wrapText="1"/>
    </xf>
    <xf numFmtId="0" fontId="81" fillId="0" borderId="0" xfId="0" applyFont="1" applyAlignment="1">
      <alignment vertical="top"/>
    </xf>
    <xf numFmtId="0" fontId="81" fillId="11" borderId="0" xfId="0" applyFont="1" applyFill="1" applyAlignment="1">
      <alignment vertical="center"/>
    </xf>
    <xf numFmtId="0" fontId="82" fillId="0" borderId="1" xfId="0" applyFont="1" applyBorder="1" applyAlignment="1">
      <alignment horizontal="right" vertical="top" wrapText="1"/>
    </xf>
    <xf numFmtId="0" fontId="82" fillId="12" borderId="10" xfId="0" applyFont="1" applyFill="1" applyBorder="1" applyAlignment="1">
      <alignment horizontal="center" vertical="center"/>
    </xf>
    <xf numFmtId="43" fontId="82" fillId="12" borderId="10" xfId="1" applyFont="1" applyFill="1" applyBorder="1" applyAlignment="1">
      <alignment vertical="center"/>
    </xf>
    <xf numFmtId="0" fontId="81" fillId="0" borderId="1" xfId="1" applyNumberFormat="1" applyFont="1" applyFill="1" applyBorder="1" applyAlignment="1">
      <alignment horizontal="left" vertical="center" wrapText="1"/>
    </xf>
    <xf numFmtId="43" fontId="81" fillId="0" borderId="1" xfId="1" applyFont="1" applyFill="1" applyBorder="1" applyAlignment="1">
      <alignment vertical="center" wrapText="1"/>
    </xf>
    <xf numFmtId="2" fontId="81" fillId="0" borderId="1" xfId="0" applyNumberFormat="1" applyFont="1" applyBorder="1" applyAlignment="1">
      <alignment horizontal="center" vertical="center"/>
    </xf>
    <xf numFmtId="2" fontId="82" fillId="12" borderId="0" xfId="0" applyNumberFormat="1" applyFont="1" applyFill="1" applyAlignment="1">
      <alignment vertical="center"/>
    </xf>
    <xf numFmtId="2" fontId="81" fillId="0" borderId="0" xfId="0" applyNumberFormat="1" applyFont="1" applyAlignment="1">
      <alignment vertical="center"/>
    </xf>
    <xf numFmtId="43" fontId="81" fillId="0" borderId="9" xfId="0" applyNumberFormat="1" applyFont="1" applyBorder="1" applyAlignment="1">
      <alignment horizontal="center" vertical="center"/>
    </xf>
    <xf numFmtId="0" fontId="81" fillId="0" borderId="9" xfId="0" applyFont="1" applyBorder="1" applyAlignment="1">
      <alignment horizontal="left" vertical="center" wrapText="1"/>
    </xf>
    <xf numFmtId="43" fontId="81" fillId="0" borderId="9" xfId="1" applyFont="1" applyFill="1" applyBorder="1" applyAlignment="1">
      <alignment vertical="center"/>
    </xf>
    <xf numFmtId="43" fontId="81" fillId="0" borderId="1" xfId="1" applyFont="1" applyFill="1" applyBorder="1" applyAlignment="1">
      <alignment horizontal="right" vertical="center"/>
    </xf>
    <xf numFmtId="43" fontId="81" fillId="0" borderId="1" xfId="1" applyFont="1" applyFill="1" applyBorder="1" applyAlignment="1">
      <alignment horizontal="center" vertical="center"/>
    </xf>
    <xf numFmtId="2" fontId="81" fillId="0" borderId="1" xfId="0" applyNumberFormat="1" applyFont="1" applyBorder="1"/>
    <xf numFmtId="0" fontId="81" fillId="0" borderId="1" xfId="0" applyFont="1" applyBorder="1" applyAlignment="1">
      <alignment wrapText="1"/>
    </xf>
    <xf numFmtId="0" fontId="81" fillId="0" borderId="1" xfId="0" applyFont="1" applyBorder="1" applyAlignment="1">
      <alignment horizontal="center"/>
    </xf>
    <xf numFmtId="43" fontId="81" fillId="0" borderId="1" xfId="1" applyFont="1" applyFill="1" applyBorder="1" applyAlignment="1">
      <alignment horizontal="right"/>
    </xf>
    <xf numFmtId="0" fontId="81" fillId="0" borderId="1" xfId="0" applyFont="1" applyBorder="1" applyAlignment="1">
      <alignment horizontal="left" vertical="top" wrapText="1"/>
    </xf>
    <xf numFmtId="43" fontId="81" fillId="0" borderId="1" xfId="0" applyNumberFormat="1" applyFont="1" applyBorder="1" applyAlignment="1">
      <alignment vertical="top" wrapText="1"/>
    </xf>
    <xf numFmtId="43" fontId="81" fillId="0" borderId="0" xfId="1" applyFont="1" applyFill="1" applyBorder="1" applyAlignment="1">
      <alignment horizontal="right" vertical="center"/>
    </xf>
    <xf numFmtId="2" fontId="81" fillId="0" borderId="1" xfId="0" applyNumberFormat="1" applyFont="1" applyBorder="1" applyAlignment="1">
      <alignment horizontal="right" vertical="center"/>
    </xf>
    <xf numFmtId="0" fontId="82" fillId="12" borderId="0" xfId="0" applyFont="1" applyFill="1" applyAlignment="1">
      <alignment vertical="top"/>
    </xf>
    <xf numFmtId="0" fontId="82" fillId="12" borderId="0" xfId="0" applyFont="1" applyFill="1" applyAlignment="1">
      <alignment horizontal="center" wrapText="1"/>
    </xf>
    <xf numFmtId="0" fontId="82" fillId="12" borderId="0" xfId="0" applyFont="1" applyFill="1" applyAlignment="1">
      <alignment horizontal="center"/>
    </xf>
    <xf numFmtId="43" fontId="82" fillId="12" borderId="0" xfId="1" applyFont="1" applyFill="1" applyBorder="1" applyAlignment="1"/>
    <xf numFmtId="43" fontId="82" fillId="12" borderId="0" xfId="1" applyFont="1" applyFill="1" applyBorder="1"/>
    <xf numFmtId="0" fontId="82" fillId="12" borderId="0" xfId="0" applyFont="1" applyFill="1"/>
    <xf numFmtId="1" fontId="81" fillId="0" borderId="1" xfId="0" applyNumberFormat="1" applyFont="1" applyBorder="1" applyAlignment="1">
      <alignment horizontal="center" vertical="center" wrapText="1"/>
    </xf>
    <xf numFmtId="1" fontId="81" fillId="0" borderId="1" xfId="0" applyNumberFormat="1" applyFont="1" applyBorder="1" applyAlignment="1">
      <alignment horizontal="center" vertical="center"/>
    </xf>
    <xf numFmtId="0" fontId="81" fillId="0" borderId="0" xfId="0" applyFont="1" applyAlignment="1">
      <alignment horizontal="center" wrapText="1"/>
    </xf>
    <xf numFmtId="0" fontId="81" fillId="0" borderId="0" xfId="0" applyFont="1" applyAlignment="1">
      <alignment wrapText="1"/>
    </xf>
    <xf numFmtId="43" fontId="81" fillId="0" borderId="0" xfId="1" applyFont="1" applyFill="1" applyBorder="1" applyAlignment="1"/>
    <xf numFmtId="43" fontId="81" fillId="0" borderId="0" xfId="1" applyFont="1" applyFill="1" applyBorder="1"/>
    <xf numFmtId="2" fontId="88" fillId="0" borderId="1" xfId="0" applyNumberFormat="1" applyFont="1" applyBorder="1" applyAlignment="1">
      <alignment horizontal="center" vertical="top"/>
    </xf>
    <xf numFmtId="0" fontId="85" fillId="0" borderId="1" xfId="0" applyFont="1" applyBorder="1" applyAlignment="1">
      <alignment horizontal="center" vertical="top" wrapText="1"/>
    </xf>
    <xf numFmtId="43" fontId="85" fillId="0" borderId="1" xfId="1" applyFont="1" applyFill="1" applyBorder="1" applyAlignment="1">
      <alignment horizontal="center" vertical="top"/>
    </xf>
    <xf numFmtId="43" fontId="85" fillId="0" borderId="1" xfId="1" applyFont="1" applyFill="1" applyBorder="1" applyAlignment="1">
      <alignment horizontal="center" vertical="top" wrapText="1"/>
    </xf>
    <xf numFmtId="0" fontId="77" fillId="12" borderId="1" xfId="0" applyFont="1" applyFill="1" applyBorder="1" applyAlignment="1">
      <alignment horizontal="left" wrapText="1"/>
    </xf>
    <xf numFmtId="2" fontId="77" fillId="12" borderId="1" xfId="0" applyNumberFormat="1" applyFont="1" applyFill="1" applyBorder="1" applyAlignment="1">
      <alignment horizontal="center"/>
    </xf>
    <xf numFmtId="2" fontId="77" fillId="12" borderId="1" xfId="0" applyNumberFormat="1" applyFont="1" applyFill="1" applyBorder="1" applyAlignment="1">
      <alignment horizontal="center" vertical="center"/>
    </xf>
    <xf numFmtId="0" fontId="77" fillId="10" borderId="1" xfId="0" applyFont="1" applyFill="1" applyBorder="1" applyAlignment="1">
      <alignment horizontal="left" wrapText="1"/>
    </xf>
    <xf numFmtId="43" fontId="77" fillId="10" borderId="1" xfId="1" applyFont="1" applyFill="1" applyBorder="1" applyAlignment="1">
      <alignment horizontal="center" vertical="center"/>
    </xf>
    <xf numFmtId="43" fontId="77" fillId="10" borderId="1" xfId="1" applyFont="1" applyFill="1" applyBorder="1" applyAlignment="1">
      <alignment horizontal="right"/>
    </xf>
    <xf numFmtId="2" fontId="77" fillId="10" borderId="1" xfId="0" applyNumberFormat="1" applyFont="1" applyFill="1" applyBorder="1" applyAlignment="1">
      <alignment horizontal="center"/>
    </xf>
    <xf numFmtId="2" fontId="77" fillId="10" borderId="1" xfId="0" applyNumberFormat="1" applyFont="1" applyFill="1" applyBorder="1" applyAlignment="1">
      <alignment horizontal="center" vertical="center"/>
    </xf>
    <xf numFmtId="0" fontId="77" fillId="10" borderId="1" xfId="0" applyFont="1" applyFill="1" applyBorder="1" applyAlignment="1">
      <alignment wrapText="1"/>
    </xf>
    <xf numFmtId="43" fontId="77" fillId="10" borderId="1" xfId="1" applyFont="1" applyFill="1" applyBorder="1" applyAlignment="1">
      <alignment horizontal="center"/>
    </xf>
    <xf numFmtId="0" fontId="77" fillId="10" borderId="1" xfId="0" applyFont="1" applyFill="1" applyBorder="1" applyAlignment="1">
      <alignment horizontal="center" wrapText="1"/>
    </xf>
    <xf numFmtId="0" fontId="77" fillId="10" borderId="1" xfId="0" applyFont="1" applyFill="1" applyBorder="1" applyAlignment="1">
      <alignment horizontal="center" vertical="center"/>
    </xf>
    <xf numFmtId="0" fontId="77" fillId="7" borderId="1" xfId="0" applyFont="1" applyFill="1" applyBorder="1" applyAlignment="1">
      <alignment horizontal="center" vertical="top"/>
    </xf>
    <xf numFmtId="0" fontId="77" fillId="7" borderId="1" xfId="0" applyFont="1" applyFill="1" applyBorder="1"/>
    <xf numFmtId="0" fontId="77" fillId="7" borderId="1" xfId="0" applyFont="1" applyFill="1" applyBorder="1" applyAlignment="1">
      <alignment horizontal="center"/>
    </xf>
    <xf numFmtId="43" fontId="78" fillId="7" borderId="1" xfId="1" applyFont="1" applyFill="1" applyBorder="1" applyAlignment="1">
      <alignment horizontal="center" vertical="center" wrapText="1"/>
    </xf>
    <xf numFmtId="0" fontId="78" fillId="7" borderId="1" xfId="0" quotePrefix="1" applyFont="1" applyFill="1" applyBorder="1" applyAlignment="1">
      <alignment horizontal="center" vertical="center" wrapText="1"/>
    </xf>
    <xf numFmtId="0" fontId="77" fillId="7" borderId="0" xfId="0" applyFont="1" applyFill="1"/>
    <xf numFmtId="43" fontId="77" fillId="7" borderId="1" xfId="1" applyFont="1" applyFill="1" applyBorder="1" applyAlignment="1">
      <alignment horizontal="center" vertical="center"/>
    </xf>
    <xf numFmtId="43" fontId="77" fillId="7" borderId="1" xfId="1" applyFont="1" applyFill="1" applyBorder="1" applyAlignment="1">
      <alignment horizontal="center"/>
    </xf>
    <xf numFmtId="43" fontId="77" fillId="7" borderId="1" xfId="1" applyFont="1" applyFill="1" applyBorder="1" applyAlignment="1">
      <alignment horizontal="right"/>
    </xf>
    <xf numFmtId="0" fontId="77" fillId="7" borderId="1" xfId="0" applyFont="1" applyFill="1" applyBorder="1" applyAlignment="1">
      <alignment horizontal="center" vertical="center"/>
    </xf>
    <xf numFmtId="0" fontId="77" fillId="12" borderId="1" xfId="0" applyFont="1" applyFill="1" applyBorder="1" applyAlignment="1">
      <alignment horizontal="left"/>
    </xf>
    <xf numFmtId="0" fontId="78" fillId="12" borderId="1" xfId="0" applyFont="1" applyFill="1" applyBorder="1" applyAlignment="1">
      <alignment horizontal="center"/>
    </xf>
    <xf numFmtId="0" fontId="78" fillId="7" borderId="1" xfId="0" applyFont="1" applyFill="1" applyBorder="1" applyAlignment="1">
      <alignment horizontal="center" vertical="center" wrapText="1"/>
    </xf>
    <xf numFmtId="43" fontId="77" fillId="12" borderId="1" xfId="1" applyFont="1" applyFill="1" applyBorder="1"/>
    <xf numFmtId="0" fontId="77" fillId="12" borderId="1" xfId="0" quotePrefix="1" applyFont="1" applyFill="1" applyBorder="1" applyAlignment="1">
      <alignment horizontal="center" vertical="center"/>
    </xf>
    <xf numFmtId="0" fontId="96" fillId="12" borderId="1" xfId="0" applyFont="1" applyFill="1" applyBorder="1" applyAlignment="1">
      <alignment horizontal="center" vertical="top"/>
    </xf>
    <xf numFmtId="0" fontId="96" fillId="12" borderId="1" xfId="0" applyFont="1" applyFill="1" applyBorder="1"/>
    <xf numFmtId="0" fontId="96" fillId="12" borderId="1" xfId="0" applyFont="1" applyFill="1" applyBorder="1" applyAlignment="1">
      <alignment horizontal="center"/>
    </xf>
    <xf numFmtId="43" fontId="96" fillId="12" borderId="1" xfId="0" applyNumberFormat="1" applyFont="1" applyFill="1" applyBorder="1" applyAlignment="1">
      <alignment horizontal="right" vertical="center"/>
    </xf>
    <xf numFmtId="43" fontId="96" fillId="12" borderId="1" xfId="1" applyFont="1" applyFill="1" applyBorder="1" applyAlignment="1">
      <alignment horizontal="center"/>
    </xf>
    <xf numFmtId="43" fontId="96" fillId="12" borderId="1" xfId="1" applyFont="1" applyFill="1" applyBorder="1"/>
    <xf numFmtId="0" fontId="96" fillId="12" borderId="1" xfId="0" applyFont="1" applyFill="1" applyBorder="1" applyAlignment="1">
      <alignment horizontal="center" vertical="center"/>
    </xf>
    <xf numFmtId="0" fontId="96" fillId="12" borderId="0" xfId="0" applyFont="1" applyFill="1"/>
    <xf numFmtId="0" fontId="87" fillId="0" borderId="3" xfId="0" applyFont="1" applyBorder="1" applyAlignment="1">
      <alignment horizontal="center" wrapText="1"/>
    </xf>
    <xf numFmtId="0" fontId="87" fillId="0" borderId="0" xfId="0" applyFont="1" applyAlignment="1">
      <alignment wrapText="1"/>
    </xf>
    <xf numFmtId="0" fontId="87" fillId="0" borderId="1" xfId="0" applyFont="1" applyBorder="1" applyAlignment="1">
      <alignment horizontal="center" vertical="center" wrapText="1"/>
    </xf>
    <xf numFmtId="0" fontId="87" fillId="0" borderId="0" xfId="0" applyFont="1" applyAlignment="1">
      <alignment horizontal="right" wrapText="1"/>
    </xf>
    <xf numFmtId="0" fontId="87" fillId="0" borderId="7" xfId="0" applyFont="1" applyBorder="1" applyAlignment="1">
      <alignment horizontal="center" vertical="center" wrapText="1"/>
    </xf>
    <xf numFmtId="2" fontId="87" fillId="0" borderId="7" xfId="0" applyNumberFormat="1" applyFont="1" applyBorder="1" applyAlignment="1">
      <alignment horizontal="center" wrapText="1"/>
    </xf>
    <xf numFmtId="0" fontId="87" fillId="0" borderId="7" xfId="0" applyFont="1" applyBorder="1" applyAlignment="1">
      <alignment horizontal="center" wrapText="1"/>
    </xf>
    <xf numFmtId="2" fontId="87" fillId="0" borderId="7" xfId="0" applyNumberFormat="1" applyFont="1" applyBorder="1" applyAlignment="1">
      <alignment horizontal="center" vertical="center" wrapText="1"/>
    </xf>
    <xf numFmtId="2" fontId="87" fillId="0" borderId="6" xfId="0" applyNumberFormat="1" applyFont="1" applyBorder="1" applyAlignment="1">
      <alignment horizontal="center" vertical="center" wrapText="1"/>
    </xf>
    <xf numFmtId="0" fontId="87" fillId="0" borderId="3" xfId="0" applyFont="1" applyBorder="1" applyAlignment="1">
      <alignment horizontal="center" vertical="center" wrapText="1"/>
    </xf>
    <xf numFmtId="2" fontId="87" fillId="0" borderId="3" xfId="0" applyNumberFormat="1" applyFont="1" applyBorder="1" applyAlignment="1">
      <alignment horizontal="center" wrapText="1"/>
    </xf>
    <xf numFmtId="2" fontId="87" fillId="0" borderId="3" xfId="0" applyNumberFormat="1" applyFont="1" applyBorder="1" applyAlignment="1">
      <alignment horizontal="center" vertical="center" wrapText="1"/>
    </xf>
    <xf numFmtId="164" fontId="87" fillId="0" borderId="7" xfId="0" applyNumberFormat="1" applyFont="1" applyBorder="1" applyAlignment="1">
      <alignment horizontal="center" wrapText="1"/>
    </xf>
    <xf numFmtId="2" fontId="87" fillId="0" borderId="1" xfId="0" applyNumberFormat="1" applyFont="1" applyBorder="1" applyAlignment="1">
      <alignment horizontal="center" wrapText="1"/>
    </xf>
    <xf numFmtId="2" fontId="87" fillId="0" borderId="10" xfId="0" applyNumberFormat="1" applyFont="1" applyBorder="1" applyAlignment="1">
      <alignment horizontal="center" wrapText="1"/>
    </xf>
    <xf numFmtId="0" fontId="87" fillId="0" borderId="53" xfId="0" quotePrefix="1" applyFont="1" applyBorder="1" applyAlignment="1">
      <alignment wrapText="1"/>
    </xf>
    <xf numFmtId="0" fontId="87" fillId="0" borderId="0" xfId="0" quotePrefix="1" applyFont="1" applyAlignment="1">
      <alignment wrapText="1"/>
    </xf>
    <xf numFmtId="0" fontId="57" fillId="0" borderId="16" xfId="0" applyFont="1" applyBorder="1" applyAlignment="1">
      <alignment horizontal="center"/>
    </xf>
    <xf numFmtId="0" fontId="57" fillId="0" borderId="0" xfId="0" applyFont="1" applyAlignment="1">
      <alignment horizontal="center"/>
    </xf>
    <xf numFmtId="0" fontId="57" fillId="0" borderId="19" xfId="0" applyFont="1" applyBorder="1" applyAlignment="1">
      <alignment horizontal="center"/>
    </xf>
    <xf numFmtId="0" fontId="54" fillId="0" borderId="16" xfId="0" applyFont="1" applyBorder="1" applyAlignment="1">
      <alignment horizontal="center"/>
    </xf>
    <xf numFmtId="0" fontId="55" fillId="0" borderId="0" xfId="0" applyFont="1" applyAlignment="1">
      <alignment horizontal="center"/>
    </xf>
    <xf numFmtId="0" fontId="55" fillId="0" borderId="19" xfId="0" applyFont="1" applyBorder="1" applyAlignment="1">
      <alignment horizontal="center"/>
    </xf>
    <xf numFmtId="0" fontId="51" fillId="0" borderId="65" xfId="0" applyFont="1" applyBorder="1" applyAlignment="1">
      <alignment horizontal="center"/>
    </xf>
    <xf numFmtId="0" fontId="51" fillId="0" borderId="66" xfId="0" applyFont="1" applyBorder="1" applyAlignment="1">
      <alignment horizontal="center"/>
    </xf>
    <xf numFmtId="0" fontId="51" fillId="0" borderId="67" xfId="0" applyFont="1" applyBorder="1" applyAlignment="1">
      <alignment horizontal="center"/>
    </xf>
    <xf numFmtId="0" fontId="51" fillId="0" borderId="16" xfId="0" applyFont="1" applyBorder="1" applyAlignment="1">
      <alignment horizontal="center"/>
    </xf>
    <xf numFmtId="0" fontId="51" fillId="0" borderId="0" xfId="0" applyFont="1" applyAlignment="1">
      <alignment horizontal="center"/>
    </xf>
    <xf numFmtId="0" fontId="51" fillId="0" borderId="19" xfId="0" applyFont="1" applyBorder="1" applyAlignment="1">
      <alignment horizontal="center"/>
    </xf>
    <xf numFmtId="0" fontId="35" fillId="0" borderId="16" xfId="0" applyFont="1" applyBorder="1" applyAlignment="1">
      <alignment horizontal="center"/>
    </xf>
    <xf numFmtId="0" fontId="35" fillId="0" borderId="0" xfId="0" applyFont="1" applyAlignment="1">
      <alignment horizontal="center"/>
    </xf>
    <xf numFmtId="0" fontId="35" fillId="0" borderId="19" xfId="0" applyFont="1" applyBorder="1" applyAlignment="1">
      <alignment horizontal="center"/>
    </xf>
    <xf numFmtId="0" fontId="27" fillId="0" borderId="16" xfId="0" applyFont="1" applyBorder="1" applyAlignment="1">
      <alignment horizontal="center"/>
    </xf>
    <xf numFmtId="0" fontId="27" fillId="0" borderId="0" xfId="0" applyFont="1" applyAlignment="1">
      <alignment horizontal="center"/>
    </xf>
    <xf numFmtId="0" fontId="27" fillId="0" borderId="19" xfId="0" applyFont="1" applyBorder="1" applyAlignment="1">
      <alignment horizontal="center"/>
    </xf>
    <xf numFmtId="0" fontId="53" fillId="0" borderId="16" xfId="0" applyFont="1" applyBorder="1" applyAlignment="1">
      <alignment horizontal="center"/>
    </xf>
    <xf numFmtId="0" fontId="53" fillId="0" borderId="0" xfId="0" applyFont="1" applyAlignment="1">
      <alignment horizontal="center"/>
    </xf>
    <xf numFmtId="0" fontId="53" fillId="0" borderId="19" xfId="0" applyFont="1" applyBorder="1" applyAlignment="1">
      <alignment horizontal="center"/>
    </xf>
    <xf numFmtId="0" fontId="33" fillId="0" borderId="16" xfId="0" applyFont="1" applyBorder="1" applyAlignment="1">
      <alignment horizontal="center"/>
    </xf>
    <xf numFmtId="0" fontId="33" fillId="0" borderId="0" xfId="0" applyFont="1" applyAlignment="1">
      <alignment horizontal="center"/>
    </xf>
    <xf numFmtId="0" fontId="33" fillId="0" borderId="19" xfId="0" applyFont="1" applyBorder="1" applyAlignment="1">
      <alignment horizontal="center"/>
    </xf>
    <xf numFmtId="0" fontId="56" fillId="0" borderId="0" xfId="0" applyFont="1" applyAlignment="1">
      <alignment horizontal="center" wrapText="1"/>
    </xf>
    <xf numFmtId="0" fontId="49" fillId="0" borderId="0" xfId="0" applyFont="1" applyAlignment="1">
      <alignment horizontal="center"/>
    </xf>
    <xf numFmtId="0" fontId="49" fillId="0" borderId="19" xfId="0" applyFont="1" applyBorder="1" applyAlignment="1">
      <alignment horizontal="center"/>
    </xf>
    <xf numFmtId="0" fontId="90" fillId="0" borderId="16" xfId="0" applyFont="1" applyBorder="1" applyAlignment="1">
      <alignment horizontal="center"/>
    </xf>
    <xf numFmtId="0" fontId="90" fillId="0" borderId="0" xfId="0" applyFont="1" applyAlignment="1">
      <alignment horizontal="center"/>
    </xf>
    <xf numFmtId="0" fontId="90" fillId="0" borderId="19" xfId="0" applyFont="1" applyBorder="1" applyAlignment="1">
      <alignment horizontal="center"/>
    </xf>
    <xf numFmtId="0" fontId="52" fillId="0" borderId="16" xfId="0" applyFont="1" applyBorder="1" applyAlignment="1">
      <alignment horizontal="center"/>
    </xf>
    <xf numFmtId="0" fontId="52" fillId="0" borderId="0" xfId="0" applyFont="1" applyAlignment="1">
      <alignment horizontal="center"/>
    </xf>
    <xf numFmtId="0" fontId="52" fillId="0" borderId="19" xfId="0" applyFont="1" applyBorder="1" applyAlignment="1">
      <alignment horizontal="center"/>
    </xf>
    <xf numFmtId="0" fontId="51" fillId="0" borderId="0" xfId="0" quotePrefix="1" applyFont="1" applyAlignment="1">
      <alignment horizontal="center"/>
    </xf>
    <xf numFmtId="0" fontId="51" fillId="0" borderId="0" xfId="0" applyFont="1" applyAlignment="1">
      <alignment horizontal="center" vertical="center"/>
    </xf>
    <xf numFmtId="0" fontId="56" fillId="0" borderId="0" xfId="0" applyFont="1" applyAlignment="1">
      <alignment horizontal="center" vertical="center"/>
    </xf>
    <xf numFmtId="0" fontId="91" fillId="0" borderId="0" xfId="0" applyFont="1" applyAlignment="1">
      <alignment horizontal="center" vertical="top"/>
    </xf>
    <xf numFmtId="0" fontId="81" fillId="0" borderId="0" xfId="0" applyFont="1" applyAlignment="1">
      <alignment horizontal="center" vertical="top"/>
    </xf>
    <xf numFmtId="0" fontId="92" fillId="0" borderId="0" xfId="0" applyFont="1" applyAlignment="1">
      <alignment horizontal="center"/>
    </xf>
    <xf numFmtId="43" fontId="82" fillId="0" borderId="1" xfId="1" applyFont="1" applyFill="1" applyBorder="1" applyAlignment="1">
      <alignment horizontal="center" vertical="center"/>
    </xf>
    <xf numFmtId="0" fontId="82" fillId="0" borderId="6" xfId="0" applyFont="1" applyBorder="1" applyAlignment="1">
      <alignment horizontal="center" vertical="center" wrapText="1"/>
    </xf>
    <xf numFmtId="0" fontId="82" fillId="0" borderId="3" xfId="0" applyFont="1" applyBorder="1" applyAlignment="1">
      <alignment horizontal="center" vertical="center" wrapText="1"/>
    </xf>
    <xf numFmtId="0" fontId="82" fillId="0" borderId="1" xfId="0" applyFont="1" applyBorder="1" applyAlignment="1">
      <alignment horizontal="center" vertical="center" wrapText="1"/>
    </xf>
    <xf numFmtId="0" fontId="82" fillId="0" borderId="1" xfId="0" applyFont="1" applyBorder="1" applyAlignment="1">
      <alignment horizontal="center" vertical="center"/>
    </xf>
    <xf numFmtId="1" fontId="77" fillId="0" borderId="6" xfId="0" quotePrefix="1" applyNumberFormat="1" applyFont="1" applyBorder="1" applyAlignment="1">
      <alignment horizontal="center" vertical="center"/>
    </xf>
    <xf numFmtId="1" fontId="77" fillId="0" borderId="7" xfId="0" quotePrefix="1" applyNumberFormat="1" applyFont="1" applyBorder="1" applyAlignment="1">
      <alignment horizontal="center" vertical="center"/>
    </xf>
    <xf numFmtId="1" fontId="77" fillId="0" borderId="3" xfId="0" quotePrefix="1" applyNumberFormat="1" applyFont="1" applyBorder="1" applyAlignment="1">
      <alignment horizontal="center" vertical="center"/>
    </xf>
    <xf numFmtId="0" fontId="77" fillId="0" borderId="1" xfId="0" applyFont="1" applyBorder="1" applyAlignment="1">
      <alignment horizontal="center" vertical="center"/>
    </xf>
    <xf numFmtId="0" fontId="78" fillId="0" borderId="0" xfId="0" applyFont="1" applyAlignment="1">
      <alignment horizontal="left"/>
    </xf>
    <xf numFmtId="0" fontId="78" fillId="0" borderId="0" xfId="0" applyFont="1" applyAlignment="1">
      <alignment horizontal="center"/>
    </xf>
    <xf numFmtId="0" fontId="93" fillId="0" borderId="0" xfId="0" applyFont="1" applyAlignment="1">
      <alignment horizontal="center"/>
    </xf>
    <xf numFmtId="0" fontId="83" fillId="0" borderId="1" xfId="0" applyFont="1" applyBorder="1" applyAlignment="1">
      <alignment horizontal="center" vertical="center"/>
    </xf>
    <xf numFmtId="0" fontId="84" fillId="0" borderId="1" xfId="0" applyFont="1" applyBorder="1" applyAlignment="1">
      <alignment horizontal="center"/>
    </xf>
    <xf numFmtId="9" fontId="84" fillId="0" borderId="1" xfId="0" applyNumberFormat="1" applyFont="1" applyBorder="1" applyAlignment="1">
      <alignment horizontal="center"/>
    </xf>
    <xf numFmtId="0" fontId="84" fillId="0" borderId="12" xfId="0" applyFont="1" applyBorder="1" applyAlignment="1">
      <alignment horizontal="center"/>
    </xf>
    <xf numFmtId="0" fontId="84" fillId="0" borderId="4" xfId="0" applyFont="1" applyBorder="1" applyAlignment="1">
      <alignment horizontal="center"/>
    </xf>
    <xf numFmtId="0" fontId="84" fillId="0" borderId="5" xfId="0" applyFont="1" applyBorder="1" applyAlignment="1">
      <alignment horizontal="center"/>
    </xf>
    <xf numFmtId="9" fontId="84" fillId="0" borderId="12" xfId="0" applyNumberFormat="1" applyFont="1" applyBorder="1" applyAlignment="1">
      <alignment horizontal="center"/>
    </xf>
    <xf numFmtId="9" fontId="84" fillId="0" borderId="4" xfId="0" applyNumberFormat="1" applyFont="1" applyBorder="1" applyAlignment="1">
      <alignment horizontal="center"/>
    </xf>
    <xf numFmtId="9" fontId="84" fillId="0" borderId="5" xfId="0" applyNumberFormat="1" applyFont="1" applyBorder="1" applyAlignment="1">
      <alignment horizontal="center"/>
    </xf>
    <xf numFmtId="0" fontId="84" fillId="0" borderId="6" xfId="0" applyFont="1" applyBorder="1" applyAlignment="1">
      <alignment horizontal="center" vertical="center"/>
    </xf>
    <xf numFmtId="0" fontId="84" fillId="0" borderId="3" xfId="0" applyFont="1" applyBorder="1" applyAlignment="1">
      <alignment horizontal="center" vertical="center"/>
    </xf>
    <xf numFmtId="0" fontId="87" fillId="0" borderId="69" xfId="0" applyFont="1" applyBorder="1" applyAlignment="1">
      <alignment horizontal="center" wrapText="1"/>
    </xf>
    <xf numFmtId="0" fontId="87" fillId="0" borderId="10" xfId="0" applyFont="1" applyBorder="1" applyAlignment="1">
      <alignment horizontal="center" wrapText="1"/>
    </xf>
    <xf numFmtId="0" fontId="84" fillId="0" borderId="7" xfId="0" applyFont="1" applyBorder="1" applyAlignment="1">
      <alignment horizontal="center" vertical="center"/>
    </xf>
    <xf numFmtId="0" fontId="84" fillId="0" borderId="6" xfId="0" applyFont="1" applyBorder="1" applyAlignment="1">
      <alignment horizontal="center" vertical="center" wrapText="1"/>
    </xf>
    <xf numFmtId="0" fontId="84" fillId="0" borderId="3" xfId="0" applyFont="1" applyBorder="1" applyAlignment="1">
      <alignment horizontal="center" vertical="center" wrapText="1"/>
    </xf>
    <xf numFmtId="0" fontId="84" fillId="0" borderId="69" xfId="0" applyFont="1" applyBorder="1" applyAlignment="1">
      <alignment horizontal="center"/>
    </xf>
    <xf numFmtId="0" fontId="84" fillId="0" borderId="10" xfId="0" applyFont="1" applyBorder="1" applyAlignment="1">
      <alignment horizontal="center"/>
    </xf>
    <xf numFmtId="0" fontId="84" fillId="0" borderId="53" xfId="0" applyFont="1" applyBorder="1" applyAlignment="1">
      <alignment horizontal="center" wrapText="1"/>
    </xf>
    <xf numFmtId="0" fontId="84" fillId="0" borderId="0" xfId="0" applyFont="1" applyAlignment="1">
      <alignment horizontal="center" wrapText="1"/>
    </xf>
    <xf numFmtId="0" fontId="87" fillId="0" borderId="0" xfId="0" quotePrefix="1" applyFont="1" applyAlignment="1">
      <alignment horizontal="center" wrapText="1"/>
    </xf>
    <xf numFmtId="0" fontId="85" fillId="0" borderId="12" xfId="0" applyFont="1" applyBorder="1" applyAlignment="1">
      <alignment horizontal="center" vertical="top" wrapText="1"/>
    </xf>
    <xf numFmtId="0" fontId="85" fillId="0" borderId="4" xfId="0" applyFont="1" applyBorder="1" applyAlignment="1">
      <alignment horizontal="center" vertical="top" wrapText="1"/>
    </xf>
    <xf numFmtId="0" fontId="85" fillId="0" borderId="5" xfId="0" applyFont="1" applyBorder="1" applyAlignment="1">
      <alignment horizontal="center" vertical="top" wrapText="1"/>
    </xf>
    <xf numFmtId="0" fontId="83" fillId="0" borderId="55" xfId="0" applyFont="1" applyBorder="1" applyAlignment="1">
      <alignment horizontal="center" vertical="center"/>
    </xf>
    <xf numFmtId="0" fontId="83" fillId="0" borderId="8" xfId="0" applyFont="1" applyBorder="1" applyAlignment="1">
      <alignment horizontal="center" vertical="center"/>
    </xf>
    <xf numFmtId="0" fontId="83" fillId="0" borderId="53" xfId="0" applyFont="1" applyBorder="1" applyAlignment="1">
      <alignment horizontal="center" vertical="center"/>
    </xf>
    <xf numFmtId="0" fontId="83" fillId="0" borderId="2" xfId="0" applyFont="1" applyBorder="1" applyAlignment="1">
      <alignment horizontal="center" vertical="center"/>
    </xf>
    <xf numFmtId="0" fontId="83" fillId="0" borderId="69" xfId="0" applyFont="1" applyBorder="1" applyAlignment="1">
      <alignment horizontal="center" vertical="center"/>
    </xf>
    <xf numFmtId="0" fontId="83" fillId="0" borderId="11" xfId="0" applyFont="1" applyBorder="1" applyAlignment="1">
      <alignment horizontal="center" vertical="center"/>
    </xf>
    <xf numFmtId="0" fontId="84" fillId="0" borderId="6" xfId="0" applyFont="1" applyBorder="1" applyAlignment="1">
      <alignment horizontal="center"/>
    </xf>
    <xf numFmtId="0" fontId="85" fillId="0" borderId="1" xfId="0" applyFont="1" applyBorder="1" applyAlignment="1">
      <alignment horizontal="center" vertical="center" wrapText="1"/>
    </xf>
    <xf numFmtId="0" fontId="84" fillId="0" borderId="1" xfId="0" applyFont="1" applyBorder="1" applyAlignment="1">
      <alignment horizontal="center" vertical="center"/>
    </xf>
    <xf numFmtId="0" fontId="85" fillId="0" borderId="12" xfId="0" applyFont="1" applyBorder="1" applyAlignment="1">
      <alignment horizontal="center" vertical="center" wrapText="1"/>
    </xf>
    <xf numFmtId="0" fontId="85" fillId="0" borderId="4" xfId="0" applyFont="1" applyBorder="1" applyAlignment="1">
      <alignment horizontal="center" vertical="center" wrapText="1"/>
    </xf>
    <xf numFmtId="0" fontId="85" fillId="0" borderId="5" xfId="0" applyFont="1" applyBorder="1" applyAlignment="1">
      <alignment horizontal="center" vertical="center" wrapText="1"/>
    </xf>
    <xf numFmtId="0" fontId="85" fillId="0" borderId="1" xfId="0" applyFont="1" applyBorder="1" applyAlignment="1">
      <alignment horizontal="center" vertical="top" wrapText="1"/>
    </xf>
    <xf numFmtId="0" fontId="88" fillId="0" borderId="1" xfId="0" applyFont="1" applyBorder="1" applyAlignment="1">
      <alignment horizontal="center" vertical="top" wrapText="1"/>
    </xf>
    <xf numFmtId="167" fontId="84" fillId="0" borderId="12" xfId="1" applyNumberFormat="1" applyFont="1" applyFill="1" applyBorder="1" applyAlignment="1">
      <alignment horizontal="center"/>
    </xf>
    <xf numFmtId="167" fontId="84" fillId="0" borderId="4" xfId="1" applyNumberFormat="1" applyFont="1" applyFill="1" applyBorder="1" applyAlignment="1">
      <alignment horizontal="center"/>
    </xf>
    <xf numFmtId="167" fontId="84" fillId="0" borderId="5" xfId="1" applyNumberFormat="1" applyFont="1" applyFill="1" applyBorder="1" applyAlignment="1">
      <alignment horizontal="center"/>
    </xf>
    <xf numFmtId="0" fontId="88" fillId="0" borderId="12" xfId="0" applyFont="1" applyBorder="1" applyAlignment="1">
      <alignment horizontal="center" vertical="center" wrapText="1"/>
    </xf>
    <xf numFmtId="0" fontId="88" fillId="0" borderId="4" xfId="0" applyFont="1" applyBorder="1" applyAlignment="1">
      <alignment horizontal="center" vertical="center" wrapText="1"/>
    </xf>
    <xf numFmtId="0" fontId="88" fillId="0" borderId="5" xfId="0" applyFont="1" applyBorder="1" applyAlignment="1">
      <alignment horizontal="center" vertical="center" wrapText="1"/>
    </xf>
    <xf numFmtId="0" fontId="85" fillId="0" borderId="12" xfId="0" applyFont="1" applyBorder="1" applyAlignment="1">
      <alignment horizontal="justify" vertical="center" wrapText="1"/>
    </xf>
    <xf numFmtId="0" fontId="85" fillId="0" borderId="4" xfId="0" applyFont="1" applyBorder="1" applyAlignment="1">
      <alignment horizontal="justify" vertical="center" wrapText="1"/>
    </xf>
    <xf numFmtId="0" fontId="85" fillId="0" borderId="5" xfId="0" applyFont="1" applyBorder="1" applyAlignment="1">
      <alignment horizontal="justify" vertical="center" wrapText="1"/>
    </xf>
    <xf numFmtId="164" fontId="84" fillId="0" borderId="12" xfId="0" applyNumberFormat="1" applyFont="1" applyBorder="1" applyAlignment="1">
      <alignment horizontal="center"/>
    </xf>
    <xf numFmtId="164" fontId="84" fillId="0" borderId="4" xfId="0" applyNumberFormat="1" applyFont="1" applyBorder="1" applyAlignment="1">
      <alignment horizontal="center"/>
    </xf>
    <xf numFmtId="164" fontId="84" fillId="0" borderId="5" xfId="0" applyNumberFormat="1" applyFont="1" applyBorder="1" applyAlignment="1">
      <alignment horizontal="center"/>
    </xf>
    <xf numFmtId="0" fontId="85" fillId="0" borderId="1" xfId="0" applyFont="1" applyBorder="1" applyAlignment="1">
      <alignment horizontal="left" vertical="top" wrapText="1"/>
    </xf>
    <xf numFmtId="0" fontId="88" fillId="0" borderId="1" xfId="0" applyFont="1" applyBorder="1" applyAlignment="1">
      <alignment horizontal="left" vertical="top" wrapText="1"/>
    </xf>
    <xf numFmtId="0" fontId="88" fillId="0" borderId="1" xfId="0" applyFont="1" applyBorder="1" applyAlignment="1">
      <alignment horizontal="center" vertical="center" wrapText="1"/>
    </xf>
    <xf numFmtId="43" fontId="84" fillId="0" borderId="6" xfId="1" applyFont="1" applyFill="1" applyBorder="1" applyAlignment="1">
      <alignment horizontal="center" vertical="center"/>
    </xf>
    <xf numFmtId="43" fontId="84" fillId="0" borderId="3" xfId="1" applyFont="1" applyFill="1" applyBorder="1" applyAlignment="1">
      <alignment horizontal="center" vertical="center"/>
    </xf>
    <xf numFmtId="0" fontId="83" fillId="0" borderId="55" xfId="0" applyFont="1" applyBorder="1" applyAlignment="1">
      <alignment horizontal="center" vertical="center" wrapText="1"/>
    </xf>
    <xf numFmtId="0" fontId="83" fillId="0" borderId="8" xfId="0" applyFont="1" applyBorder="1" applyAlignment="1">
      <alignment horizontal="center" vertical="center" wrapText="1"/>
    </xf>
    <xf numFmtId="0" fontId="83" fillId="0" borderId="53" xfId="0" applyFont="1" applyBorder="1" applyAlignment="1">
      <alignment horizontal="center" vertical="center" wrapText="1"/>
    </xf>
    <xf numFmtId="0" fontId="83" fillId="0" borderId="2" xfId="0" applyFont="1" applyBorder="1" applyAlignment="1">
      <alignment horizontal="center" vertical="center" wrapText="1"/>
    </xf>
    <xf numFmtId="0" fontId="83" fillId="0" borderId="69" xfId="0" applyFont="1" applyBorder="1" applyAlignment="1">
      <alignment horizontal="center" vertical="center" wrapText="1"/>
    </xf>
    <xf numFmtId="0" fontId="83" fillId="0" borderId="11" xfId="0" applyFont="1" applyBorder="1" applyAlignment="1">
      <alignment horizontal="center" vertical="center" wrapText="1"/>
    </xf>
    <xf numFmtId="0" fontId="83" fillId="0" borderId="0" xfId="0" applyFont="1" applyAlignment="1">
      <alignment horizontal="center"/>
    </xf>
    <xf numFmtId="0" fontId="83" fillId="0" borderId="1" xfId="0" applyFont="1" applyBorder="1" applyAlignment="1">
      <alignment horizontal="center" vertical="center" wrapText="1"/>
    </xf>
    <xf numFmtId="164" fontId="84" fillId="0" borderId="1" xfId="0" applyNumberFormat="1" applyFont="1" applyBorder="1" applyAlignment="1">
      <alignment horizontal="center"/>
    </xf>
    <xf numFmtId="0" fontId="83" fillId="0" borderId="1" xfId="0" applyFont="1" applyBorder="1" applyAlignment="1">
      <alignment horizontal="center" vertical="top" wrapText="1"/>
    </xf>
    <xf numFmtId="0" fontId="84" fillId="0" borderId="1" xfId="0" applyFont="1" applyBorder="1" applyAlignment="1">
      <alignment horizontal="center" vertical="top" wrapText="1"/>
    </xf>
    <xf numFmtId="43" fontId="84" fillId="0" borderId="6" xfId="1" applyFont="1" applyFill="1" applyBorder="1" applyAlignment="1">
      <alignment horizontal="center" wrapText="1"/>
    </xf>
    <xf numFmtId="43" fontId="84" fillId="0" borderId="3" xfId="1" applyFont="1" applyFill="1" applyBorder="1" applyAlignment="1">
      <alignment horizontal="center" wrapText="1"/>
    </xf>
    <xf numFmtId="0" fontId="94" fillId="0" borderId="0" xfId="0" applyFont="1" applyAlignment="1">
      <alignment horizontal="left"/>
    </xf>
    <xf numFmtId="0" fontId="87" fillId="0" borderId="0" xfId="0" applyFont="1" applyAlignment="1">
      <alignment horizontal="left"/>
    </xf>
    <xf numFmtId="43" fontId="84" fillId="0" borderId="6" xfId="1" applyFont="1" applyFill="1" applyBorder="1" applyAlignment="1">
      <alignment horizontal="center"/>
    </xf>
    <xf numFmtId="43" fontId="84" fillId="0" borderId="3" xfId="1" applyFont="1" applyFill="1" applyBorder="1" applyAlignment="1">
      <alignment horizontal="center"/>
    </xf>
    <xf numFmtId="0" fontId="88" fillId="0" borderId="12" xfId="0" applyFont="1" applyBorder="1" applyAlignment="1">
      <alignment horizontal="center" vertical="top" wrapText="1"/>
    </xf>
    <xf numFmtId="0" fontId="88" fillId="0" borderId="4" xfId="0" applyFont="1" applyBorder="1" applyAlignment="1">
      <alignment horizontal="center" vertical="top" wrapText="1"/>
    </xf>
    <xf numFmtId="0" fontId="84" fillId="0" borderId="55" xfId="0" applyFont="1" applyBorder="1" applyAlignment="1">
      <alignment horizontal="center"/>
    </xf>
    <xf numFmtId="0" fontId="84" fillId="0" borderId="9" xfId="0" applyFont="1" applyBorder="1" applyAlignment="1">
      <alignment horizontal="center"/>
    </xf>
    <xf numFmtId="0" fontId="84" fillId="0" borderId="8" xfId="0" applyFont="1" applyBorder="1" applyAlignment="1">
      <alignment horizont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9" fontId="84" fillId="0" borderId="1" xfId="0" applyNumberFormat="1" applyFont="1" applyBorder="1" applyAlignment="1">
      <alignment horizontal="center" vertical="center"/>
    </xf>
    <xf numFmtId="0" fontId="83" fillId="0" borderId="6" xfId="0" applyFont="1" applyBorder="1" applyAlignment="1">
      <alignment horizontal="center" vertical="center"/>
    </xf>
    <xf numFmtId="0" fontId="31" fillId="0" borderId="12" xfId="0" applyFont="1" applyBorder="1" applyAlignment="1">
      <alignment horizontal="center"/>
    </xf>
    <xf numFmtId="0" fontId="31" fillId="0" borderId="4" xfId="0" applyFont="1" applyBorder="1" applyAlignment="1">
      <alignment horizontal="center"/>
    </xf>
    <xf numFmtId="0" fontId="31" fillId="0" borderId="5" xfId="0" applyFont="1" applyBorder="1" applyAlignment="1">
      <alignment horizontal="center"/>
    </xf>
    <xf numFmtId="0" fontId="67" fillId="0" borderId="69" xfId="0" applyFont="1" applyBorder="1" applyAlignment="1">
      <alignment horizontal="center" vertical="top" wrapText="1"/>
    </xf>
    <xf numFmtId="0" fontId="67" fillId="0" borderId="10" xfId="0" applyFont="1" applyBorder="1" applyAlignment="1">
      <alignment horizontal="center" vertical="top" wrapText="1"/>
    </xf>
    <xf numFmtId="0" fontId="84" fillId="0" borderId="8" xfId="0" applyFont="1" applyBorder="1"/>
    <xf numFmtId="0" fontId="84" fillId="0" borderId="53" xfId="0" applyFont="1" applyBorder="1"/>
    <xf numFmtId="0" fontId="84" fillId="0" borderId="2" xfId="0" applyFont="1" applyBorder="1"/>
    <xf numFmtId="0" fontId="84" fillId="0" borderId="69" xfId="0" applyFont="1" applyBorder="1"/>
    <xf numFmtId="0" fontId="84" fillId="0" borderId="11" xfId="0" applyFont="1" applyBorder="1"/>
    <xf numFmtId="0" fontId="85" fillId="12" borderId="12" xfId="0" applyFont="1" applyFill="1" applyBorder="1" applyAlignment="1">
      <alignment horizontal="left" vertical="top" wrapText="1"/>
    </xf>
    <xf numFmtId="0" fontId="85" fillId="12" borderId="4" xfId="0" applyFont="1" applyFill="1" applyBorder="1" applyAlignment="1">
      <alignment horizontal="left" vertical="top" wrapText="1"/>
    </xf>
    <xf numFmtId="0" fontId="85" fillId="12" borderId="5" xfId="0" applyFont="1" applyFill="1" applyBorder="1" applyAlignment="1">
      <alignment horizontal="left" vertical="top" wrapText="1"/>
    </xf>
    <xf numFmtId="0" fontId="84" fillId="0" borderId="4" xfId="0" applyFont="1" applyBorder="1"/>
    <xf numFmtId="0" fontId="84" fillId="0" borderId="5" xfId="0" applyFont="1" applyBorder="1"/>
    <xf numFmtId="0" fontId="85" fillId="0" borderId="69" xfId="0" applyFont="1" applyBorder="1" applyAlignment="1">
      <alignment horizontal="center" vertical="top" wrapText="1"/>
    </xf>
    <xf numFmtId="0" fontId="85" fillId="0" borderId="10" xfId="0" applyFont="1" applyBorder="1" applyAlignment="1">
      <alignment horizontal="center" vertical="top" wrapText="1"/>
    </xf>
    <xf numFmtId="0" fontId="85" fillId="0" borderId="12" xfId="0" applyFont="1" applyBorder="1" applyAlignment="1">
      <alignment horizontal="left" vertical="top" wrapText="1"/>
    </xf>
    <xf numFmtId="0" fontId="85" fillId="0" borderId="4" xfId="0" applyFont="1" applyBorder="1" applyAlignment="1">
      <alignment horizontal="left" vertical="top" wrapText="1"/>
    </xf>
    <xf numFmtId="0" fontId="85" fillId="0" borderId="5" xfId="0" applyFont="1" applyBorder="1" applyAlignment="1">
      <alignment horizontal="left" vertical="top" wrapText="1"/>
    </xf>
    <xf numFmtId="2" fontId="84" fillId="0" borderId="12" xfId="0" applyNumberFormat="1" applyFont="1" applyBorder="1" applyAlignment="1">
      <alignment horizontal="center"/>
    </xf>
    <xf numFmtId="2" fontId="84" fillId="0" borderId="4" xfId="0" applyNumberFormat="1" applyFont="1" applyBorder="1" applyAlignment="1">
      <alignment horizontal="center"/>
    </xf>
    <xf numFmtId="2" fontId="84" fillId="0" borderId="5" xfId="0" applyNumberFormat="1" applyFont="1" applyBorder="1" applyAlignment="1">
      <alignment horizontal="center"/>
    </xf>
    <xf numFmtId="0" fontId="31" fillId="0" borderId="7" xfId="0" applyFont="1" applyBorder="1" applyAlignment="1">
      <alignment horizontal="center" vertical="center"/>
    </xf>
    <xf numFmtId="0" fontId="84" fillId="0" borderId="1" xfId="0" applyFont="1" applyBorder="1"/>
    <xf numFmtId="0" fontId="33" fillId="0" borderId="55" xfId="0" applyFont="1" applyBorder="1" applyAlignment="1">
      <alignment horizontal="center" vertical="center"/>
    </xf>
    <xf numFmtId="0" fontId="33" fillId="0" borderId="8" xfId="0" applyFont="1" applyBorder="1" applyAlignment="1">
      <alignment horizontal="center" vertical="center"/>
    </xf>
    <xf numFmtId="0" fontId="33" fillId="0" borderId="53" xfId="0" applyFont="1" applyBorder="1" applyAlignment="1">
      <alignment horizontal="center" vertical="center"/>
    </xf>
    <xf numFmtId="0" fontId="33" fillId="0" borderId="2" xfId="0" applyFont="1" applyBorder="1" applyAlignment="1">
      <alignment horizontal="center" vertical="center"/>
    </xf>
    <xf numFmtId="0" fontId="33" fillId="0" borderId="69" xfId="0" applyFont="1" applyBorder="1" applyAlignment="1">
      <alignment horizontal="center" vertical="center"/>
    </xf>
    <xf numFmtId="0" fontId="33" fillId="0" borderId="11" xfId="0" applyFont="1" applyBorder="1" applyAlignment="1">
      <alignment horizontal="center" vertical="center"/>
    </xf>
    <xf numFmtId="0" fontId="67" fillId="0" borderId="12" xfId="0" applyFont="1" applyBorder="1" applyAlignment="1">
      <alignment horizontal="center" vertical="top" wrapText="1"/>
    </xf>
    <xf numFmtId="0" fontId="67" fillId="0" borderId="4" xfId="0" applyFont="1" applyBorder="1" applyAlignment="1">
      <alignment horizontal="center" vertical="top" wrapText="1"/>
    </xf>
    <xf numFmtId="9" fontId="31" fillId="0" borderId="12" xfId="0" applyNumberFormat="1" applyFont="1" applyBorder="1" applyAlignment="1">
      <alignment horizontal="center"/>
    </xf>
    <xf numFmtId="9" fontId="31" fillId="0" borderId="4" xfId="0" applyNumberFormat="1" applyFont="1" applyBorder="1" applyAlignment="1">
      <alignment horizontal="center"/>
    </xf>
    <xf numFmtId="9" fontId="31" fillId="0" borderId="5" xfId="0" applyNumberFormat="1" applyFont="1" applyBorder="1" applyAlignment="1">
      <alignment horizontal="center"/>
    </xf>
    <xf numFmtId="0" fontId="31" fillId="0" borderId="1" xfId="0" applyFont="1" applyBorder="1" applyAlignment="1">
      <alignment horizontal="left" vertical="top" wrapText="1"/>
    </xf>
    <xf numFmtId="0" fontId="86" fillId="0" borderId="0" xfId="0" applyFont="1" applyAlignment="1">
      <alignment horizontal="center" vertical="center" wrapText="1"/>
    </xf>
    <xf numFmtId="43" fontId="84" fillId="0" borderId="1" xfId="1" applyFont="1" applyFill="1" applyBorder="1" applyAlignment="1">
      <alignment horizontal="center" vertical="top" wrapText="1"/>
    </xf>
    <xf numFmtId="43" fontId="31" fillId="0" borderId="1" xfId="1" applyFont="1" applyFill="1" applyBorder="1" applyAlignment="1">
      <alignment horizontal="center" vertical="top" wrapText="1"/>
    </xf>
    <xf numFmtId="43" fontId="84" fillId="0" borderId="7" xfId="1" applyFont="1" applyFill="1" applyBorder="1" applyAlignment="1">
      <alignment horizontal="center" vertical="center"/>
    </xf>
    <xf numFmtId="0" fontId="83" fillId="0" borderId="68" xfId="0" applyFont="1" applyBorder="1" applyAlignment="1">
      <alignment horizontal="center" vertical="center"/>
    </xf>
    <xf numFmtId="0" fontId="83" fillId="0" borderId="17" xfId="0" applyFont="1" applyBorder="1" applyAlignment="1">
      <alignment horizontal="center" vertical="center"/>
    </xf>
    <xf numFmtId="0" fontId="83" fillId="0" borderId="40" xfId="0" applyFont="1" applyBorder="1" applyAlignment="1">
      <alignment horizontal="center" vertical="center"/>
    </xf>
    <xf numFmtId="0" fontId="84" fillId="0" borderId="54" xfId="0" applyFont="1" applyBorder="1" applyAlignment="1">
      <alignment horizontal="center" vertical="center"/>
    </xf>
    <xf numFmtId="0" fontId="84" fillId="0" borderId="71" xfId="0" applyFont="1" applyBorder="1" applyAlignment="1">
      <alignment horizontal="center" vertical="center"/>
    </xf>
    <xf numFmtId="0" fontId="84" fillId="0" borderId="70" xfId="0" applyFont="1" applyBorder="1" applyAlignment="1">
      <alignment horizontal="center" vertical="center"/>
    </xf>
    <xf numFmtId="0" fontId="85" fillId="0" borderId="69" xfId="0" applyFont="1" applyBorder="1" applyAlignment="1">
      <alignment horizontal="center" vertical="center" wrapText="1"/>
    </xf>
    <xf numFmtId="0" fontId="85" fillId="0" borderId="10" xfId="0" applyFont="1" applyBorder="1" applyAlignment="1">
      <alignment horizontal="center" vertical="center" wrapText="1"/>
    </xf>
    <xf numFmtId="0" fontId="85" fillId="0" borderId="11" xfId="0" applyFont="1" applyBorder="1" applyAlignment="1">
      <alignment horizontal="center" vertical="center" wrapText="1"/>
    </xf>
    <xf numFmtId="0" fontId="84" fillId="0" borderId="6" xfId="0" applyFont="1" applyBorder="1" applyAlignment="1">
      <alignment horizontal="left" vertical="center"/>
    </xf>
    <xf numFmtId="0" fontId="84" fillId="0" borderId="3" xfId="0" applyFont="1" applyBorder="1" applyAlignment="1">
      <alignment horizontal="left" vertical="center"/>
    </xf>
    <xf numFmtId="164" fontId="84" fillId="0" borderId="6" xfId="0" applyNumberFormat="1" applyFont="1" applyBorder="1" applyAlignment="1">
      <alignment horizontal="center" vertical="center"/>
    </xf>
    <xf numFmtId="164" fontId="84" fillId="0" borderId="3" xfId="0" applyNumberFormat="1" applyFont="1" applyBorder="1" applyAlignment="1">
      <alignment horizontal="center" vertical="center"/>
    </xf>
    <xf numFmtId="0" fontId="87" fillId="0" borderId="6" xfId="0" applyFont="1" applyBorder="1" applyAlignment="1">
      <alignment horizontal="center" vertical="center" wrapText="1"/>
    </xf>
    <xf numFmtId="0" fontId="87" fillId="0" borderId="7" xfId="0" applyFont="1" applyBorder="1" applyAlignment="1">
      <alignment horizontal="center" vertical="center" wrapText="1"/>
    </xf>
    <xf numFmtId="0" fontId="87" fillId="0" borderId="3" xfId="0" applyFont="1" applyBorder="1" applyAlignment="1">
      <alignment horizontal="center" vertical="center" wrapText="1"/>
    </xf>
    <xf numFmtId="0" fontId="88" fillId="0" borderId="5" xfId="0" applyFont="1" applyBorder="1" applyAlignment="1">
      <alignment horizontal="center" vertical="top" wrapText="1"/>
    </xf>
    <xf numFmtId="0" fontId="40" fillId="0" borderId="10" xfId="0" applyFont="1" applyBorder="1" applyAlignment="1">
      <alignment horizontal="center"/>
    </xf>
    <xf numFmtId="0" fontId="9" fillId="0" borderId="0" xfId="0" applyFont="1" applyAlignment="1">
      <alignment vertical="top" wrapText="1"/>
    </xf>
    <xf numFmtId="0" fontId="11" fillId="8" borderId="0" xfId="0" applyFont="1" applyFill="1" applyAlignment="1">
      <alignment horizontal="center"/>
    </xf>
    <xf numFmtId="0" fontId="3" fillId="8" borderId="0" xfId="0" applyFont="1" applyFill="1" applyAlignment="1">
      <alignment horizontal="left"/>
    </xf>
    <xf numFmtId="0" fontId="3" fillId="8" borderId="0" xfId="0" applyFont="1" applyFill="1" applyAlignment="1">
      <alignment horizontal="center"/>
    </xf>
    <xf numFmtId="0" fontId="75" fillId="0" borderId="55" xfId="0" applyFont="1" applyBorder="1" applyAlignment="1">
      <alignment horizontal="center" vertical="center"/>
    </xf>
    <xf numFmtId="0" fontId="75" fillId="0" borderId="53" xfId="0" applyFont="1" applyBorder="1" applyAlignment="1">
      <alignment horizontal="center" vertical="center"/>
    </xf>
    <xf numFmtId="0" fontId="75" fillId="0" borderId="69" xfId="0" applyFont="1" applyBorder="1" applyAlignment="1">
      <alignment horizontal="center" vertical="center"/>
    </xf>
    <xf numFmtId="0" fontId="73" fillId="7" borderId="2" xfId="0" applyFont="1" applyFill="1" applyBorder="1" applyAlignment="1">
      <alignment vertical="center" wrapText="1"/>
    </xf>
    <xf numFmtId="0" fontId="73" fillId="0" borderId="0" xfId="0" applyFont="1" applyAlignment="1">
      <alignment horizontal="center" vertical="center" wrapText="1"/>
    </xf>
    <xf numFmtId="0" fontId="73" fillId="7" borderId="8" xfId="0" applyFont="1" applyFill="1" applyBorder="1" applyAlignment="1">
      <alignment vertical="center" wrapText="1"/>
    </xf>
    <xf numFmtId="0" fontId="73" fillId="7" borderId="11" xfId="0" applyFont="1" applyFill="1" applyBorder="1" applyAlignment="1">
      <alignment vertical="center" wrapText="1"/>
    </xf>
    <xf numFmtId="0" fontId="73" fillId="0" borderId="9" xfId="0" applyFont="1" applyBorder="1" applyAlignment="1">
      <alignment horizontal="center" vertical="center" wrapText="1"/>
    </xf>
    <xf numFmtId="0" fontId="73" fillId="0" borderId="10" xfId="0" applyFont="1" applyBorder="1" applyAlignment="1">
      <alignment horizontal="center" vertical="center" wrapText="1"/>
    </xf>
    <xf numFmtId="0" fontId="5" fillId="2" borderId="12"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4" fillId="0" borderId="6" xfId="0" applyFont="1" applyBorder="1" applyAlignment="1">
      <alignment horizontal="center" vertical="center"/>
    </xf>
    <xf numFmtId="0" fontId="6" fillId="0" borderId="3" xfId="0" applyFont="1" applyBorder="1" applyAlignment="1">
      <alignment horizontal="center" vertical="center"/>
    </xf>
    <xf numFmtId="0" fontId="3" fillId="0" borderId="1" xfId="0" applyFont="1" applyBorder="1" applyAlignment="1">
      <alignment horizontal="center" vertical="center"/>
    </xf>
    <xf numFmtId="0" fontId="6" fillId="0" borderId="1" xfId="0" applyFont="1" applyBorder="1" applyAlignment="1">
      <alignment horizontal="center"/>
    </xf>
    <xf numFmtId="9" fontId="6" fillId="0" borderId="1" xfId="0" applyNumberFormat="1" applyFont="1" applyBorder="1" applyAlignment="1">
      <alignment horizont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5" fillId="4"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4" fillId="0" borderId="1" xfId="0" applyFont="1" applyBorder="1" applyAlignment="1">
      <alignment horizontal="center" vertical="center"/>
    </xf>
    <xf numFmtId="0" fontId="73" fillId="0" borderId="53"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69" xfId="0" applyFont="1" applyBorder="1" applyAlignment="1">
      <alignment horizontal="center" vertical="center" wrapText="1"/>
    </xf>
    <xf numFmtId="0" fontId="5" fillId="3" borderId="12" xfId="0" applyFont="1" applyFill="1" applyBorder="1" applyAlignment="1">
      <alignment horizontal="center" vertical="top" wrapText="1"/>
    </xf>
    <xf numFmtId="0" fontId="5" fillId="3" borderId="4" xfId="0" applyFont="1" applyFill="1" applyBorder="1" applyAlignment="1">
      <alignment horizontal="center" vertical="top" wrapText="1"/>
    </xf>
    <xf numFmtId="0" fontId="6" fillId="0" borderId="1" xfId="0" applyFont="1" applyBorder="1" applyAlignment="1">
      <alignment horizontal="center" vertic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9" fontId="6" fillId="0" borderId="12" xfId="0" applyNumberFormat="1" applyFont="1" applyBorder="1" applyAlignment="1">
      <alignment horizontal="center"/>
    </xf>
    <xf numFmtId="9" fontId="6" fillId="0" borderId="4" xfId="0" applyNumberFormat="1" applyFont="1" applyBorder="1" applyAlignment="1">
      <alignment horizontal="center"/>
    </xf>
    <xf numFmtId="9" fontId="6" fillId="0" borderId="5" xfId="0" applyNumberFormat="1" applyFont="1" applyBorder="1" applyAlignment="1">
      <alignment horizontal="center"/>
    </xf>
    <xf numFmtId="0" fontId="75" fillId="0" borderId="6" xfId="0" applyFont="1" applyBorder="1" applyAlignment="1">
      <alignment horizontal="center" vertical="center"/>
    </xf>
    <xf numFmtId="0" fontId="75" fillId="0" borderId="7" xfId="0" applyFont="1" applyBorder="1" applyAlignment="1">
      <alignment horizontal="center" vertical="center"/>
    </xf>
    <xf numFmtId="0" fontId="75" fillId="0" borderId="3" xfId="0" applyFont="1" applyBorder="1" applyAlignment="1">
      <alignment horizontal="center" vertical="center"/>
    </xf>
    <xf numFmtId="0" fontId="73" fillId="0" borderId="6" xfId="0" applyFont="1" applyBorder="1" applyAlignment="1">
      <alignment horizontal="center" vertical="center" wrapText="1"/>
    </xf>
    <xf numFmtId="0" fontId="73" fillId="0" borderId="3" xfId="0" applyFont="1" applyBorder="1" applyAlignment="1">
      <alignment horizontal="center" vertical="center" wrapText="1"/>
    </xf>
    <xf numFmtId="0" fontId="73" fillId="0" borderId="7" xfId="0" applyFont="1" applyBorder="1" applyAlignment="1">
      <alignment horizontal="center" vertical="center" wrapText="1"/>
    </xf>
    <xf numFmtId="0" fontId="5" fillId="8" borderId="12" xfId="0" applyFont="1" applyFill="1" applyBorder="1" applyAlignment="1">
      <alignment horizontal="center" vertical="top" wrapText="1"/>
    </xf>
    <xf numFmtId="0" fontId="5" fillId="8" borderId="4" xfId="0" applyFont="1" applyFill="1" applyBorder="1" applyAlignment="1">
      <alignment horizontal="center" vertical="top" wrapText="1"/>
    </xf>
    <xf numFmtId="0" fontId="5" fillId="8" borderId="5" xfId="0" applyFont="1" applyFill="1" applyBorder="1" applyAlignment="1">
      <alignment horizontal="center" vertical="top" wrapText="1"/>
    </xf>
    <xf numFmtId="0" fontId="76" fillId="0" borderId="12" xfId="0" applyFont="1" applyBorder="1" applyAlignment="1">
      <alignment horizontal="center"/>
    </xf>
    <xf numFmtId="0" fontId="76" fillId="0" borderId="4" xfId="0" applyFont="1" applyBorder="1" applyAlignment="1">
      <alignment horizontal="center"/>
    </xf>
    <xf numFmtId="0" fontId="76" fillId="0" borderId="5" xfId="0" applyFont="1" applyBorder="1" applyAlignment="1">
      <alignment horizontal="center"/>
    </xf>
    <xf numFmtId="0" fontId="4" fillId="0" borderId="1" xfId="0" applyFont="1" applyBorder="1" applyAlignment="1">
      <alignment horizontal="center"/>
    </xf>
    <xf numFmtId="9" fontId="4" fillId="0" borderId="1" xfId="0" applyNumberFormat="1" applyFont="1" applyBorder="1" applyAlignment="1">
      <alignment horizontal="center"/>
    </xf>
    <xf numFmtId="0" fontId="4" fillId="0" borderId="12"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33" fillId="0" borderId="44" xfId="0" applyFont="1" applyBorder="1" applyAlignment="1">
      <alignment horizontal="center" vertical="center" wrapText="1"/>
    </xf>
    <xf numFmtId="0" fontId="33" fillId="0" borderId="45" xfId="0" applyFont="1" applyBorder="1" applyAlignment="1">
      <alignment horizontal="center" vertical="center" wrapText="1"/>
    </xf>
    <xf numFmtId="0" fontId="33" fillId="0" borderId="72" xfId="0" applyFont="1" applyBorder="1" applyAlignment="1">
      <alignment horizontal="center" vertical="center" wrapText="1"/>
    </xf>
    <xf numFmtId="0" fontId="25" fillId="0" borderId="0" xfId="17" applyFont="1" applyAlignment="1">
      <alignment horizontal="center" vertical="top" wrapText="1"/>
    </xf>
    <xf numFmtId="0" fontId="24" fillId="0" borderId="0" xfId="17" applyFont="1" applyAlignment="1">
      <alignment horizontal="center" vertical="top" wrapText="1"/>
    </xf>
    <xf numFmtId="0" fontId="19" fillId="0" borderId="0" xfId="17" applyFont="1" applyAlignment="1">
      <alignment horizontal="center" vertical="top" wrapText="1"/>
    </xf>
    <xf numFmtId="0" fontId="23" fillId="0" borderId="0" xfId="17" applyFont="1" applyAlignment="1">
      <alignment horizontal="center" vertical="top" wrapText="1"/>
    </xf>
    <xf numFmtId="0" fontId="19" fillId="0" borderId="0" xfId="17" applyFont="1" applyAlignment="1">
      <alignment horizontal="center"/>
    </xf>
    <xf numFmtId="0" fontId="20" fillId="0" borderId="0" xfId="17" applyFont="1" applyAlignment="1">
      <alignment horizontal="center"/>
    </xf>
    <xf numFmtId="0" fontId="21" fillId="0" borderId="0" xfId="17" applyFont="1" applyAlignment="1">
      <alignment horizontal="center"/>
    </xf>
    <xf numFmtId="0" fontId="22" fillId="0" borderId="0" xfId="17" applyFont="1" applyAlignment="1">
      <alignment horizontal="center"/>
    </xf>
    <xf numFmtId="0" fontId="39" fillId="0" borderId="0" xfId="17" applyFont="1" applyAlignment="1">
      <alignment horizontal="center" vertical="center" wrapText="1"/>
    </xf>
    <xf numFmtId="0" fontId="21" fillId="0" borderId="0" xfId="17" applyFont="1" applyAlignment="1">
      <alignment horizontal="center" vertical="top" wrapText="1"/>
    </xf>
    <xf numFmtId="0" fontId="22" fillId="0" borderId="0" xfId="17" applyFont="1" applyAlignment="1">
      <alignment horizontal="center" vertical="center"/>
    </xf>
    <xf numFmtId="0" fontId="48" fillId="0" borderId="0" xfId="17" applyFont="1" applyAlignment="1">
      <alignment horizontal="center" vertical="top" wrapText="1"/>
    </xf>
    <xf numFmtId="0" fontId="95" fillId="14" borderId="0" xfId="17" applyFont="1" applyFill="1" applyAlignment="1">
      <alignment horizontal="center" vertical="top" wrapText="1"/>
    </xf>
    <xf numFmtId="0" fontId="26" fillId="0" borderId="0" xfId="17" applyFont="1" applyAlignment="1">
      <alignment horizontal="center" vertical="top" wrapText="1"/>
    </xf>
    <xf numFmtId="0" fontId="22" fillId="0" borderId="0" xfId="17" applyFont="1" applyAlignment="1">
      <alignment horizontal="center" vertical="top" wrapText="1"/>
    </xf>
    <xf numFmtId="0" fontId="19" fillId="0" borderId="0" xfId="17" applyFont="1" applyAlignment="1">
      <alignment horizontal="center" wrapText="1"/>
    </xf>
    <xf numFmtId="0" fontId="38" fillId="0" borderId="0" xfId="17" applyFont="1" applyAlignment="1">
      <alignment horizontal="center" vertical="top" wrapText="1"/>
    </xf>
    <xf numFmtId="0" fontId="5" fillId="5" borderId="12" xfId="0" applyFont="1" applyFill="1" applyBorder="1" applyAlignment="1">
      <alignment horizontal="center" vertical="top" wrapText="1"/>
    </xf>
    <xf numFmtId="0" fontId="5" fillId="5" borderId="4" xfId="0" applyFont="1" applyFill="1" applyBorder="1" applyAlignment="1">
      <alignment horizontal="center" vertical="top" wrapText="1"/>
    </xf>
    <xf numFmtId="0" fontId="31"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36" fillId="0" borderId="0" xfId="0" applyFont="1" applyAlignment="1">
      <alignment horizontal="center"/>
    </xf>
    <xf numFmtId="0" fontId="45" fillId="0" borderId="0" xfId="0" applyFont="1" applyAlignment="1">
      <alignment horizontal="center"/>
    </xf>
    <xf numFmtId="0" fontId="46" fillId="0" borderId="0" xfId="0" applyFont="1" applyAlignment="1">
      <alignment horizontal="center"/>
    </xf>
    <xf numFmtId="0" fontId="28" fillId="0" borderId="12" xfId="0" applyFont="1" applyBorder="1" applyAlignment="1">
      <alignment horizontal="center" vertical="center" wrapText="1"/>
    </xf>
    <xf numFmtId="0" fontId="0" fillId="0" borderId="5" xfId="0" applyBorder="1" applyAlignment="1">
      <alignment wrapText="1"/>
    </xf>
    <xf numFmtId="0" fontId="28" fillId="0" borderId="5" xfId="0" applyFont="1" applyBorder="1" applyAlignment="1">
      <alignment horizontal="center" vertical="center" wrapText="1"/>
    </xf>
    <xf numFmtId="0" fontId="33" fillId="0" borderId="0" xfId="0" applyFont="1" applyAlignment="1">
      <alignment horizontal="left"/>
    </xf>
    <xf numFmtId="0" fontId="51" fillId="8" borderId="0" xfId="0" applyFont="1" applyFill="1" applyAlignment="1">
      <alignment horizontal="center"/>
    </xf>
  </cellXfs>
  <cellStyles count="18">
    <cellStyle name="Comma" xfId="1" builtinId="3"/>
    <cellStyle name="Comma 2" xfId="2" xr:uid="{F09854DA-F9A7-4E85-8250-45797B65AA3E}"/>
    <cellStyle name="Comma 3" xfId="3" xr:uid="{97343AE5-E272-4A15-BF94-FFE4C14D0790}"/>
    <cellStyle name="Currency 2" xfId="4" xr:uid="{2168F7FC-0894-4EC8-8792-95E22F1979F0}"/>
    <cellStyle name="Currency 3" xfId="5" xr:uid="{29832AFE-06A1-4BE4-8601-C19FB6CD5544}"/>
    <cellStyle name="Normal" xfId="0" builtinId="0"/>
    <cellStyle name="Normal 11" xfId="6" xr:uid="{1D647E06-CD43-4287-BAB9-08D1BA27F54C}"/>
    <cellStyle name="Normal 2" xfId="7" xr:uid="{E054DE45-858A-472D-8591-8991CDCB0034}"/>
    <cellStyle name="Normal 2 2" xfId="8" xr:uid="{1D9026B1-8D35-4E2A-9ED5-F2A53CBB66A9}"/>
    <cellStyle name="Normal 2 5" xfId="9" xr:uid="{4FA8EACC-B5FE-4A81-BCC9-28E0ECA34880}"/>
    <cellStyle name="Normal 3" xfId="10" xr:uid="{D441E339-C40B-4921-A585-DC4183795946}"/>
    <cellStyle name="Normal 3 2" xfId="11" xr:uid="{4BF5CD94-5B53-4D74-AC63-3BE39CC786CE}"/>
    <cellStyle name="Normal 4" xfId="12" xr:uid="{5299D095-6300-464C-9DBB-45552D332D9E}"/>
    <cellStyle name="Normal 5" xfId="13" xr:uid="{F803A6AF-419E-4A64-86FC-AFA3375F291C}"/>
    <cellStyle name="Normal 6" xfId="14" xr:uid="{A3100CDE-C58E-4895-B691-94B916835DCA}"/>
    <cellStyle name="Normal 7" xfId="15" xr:uid="{F43D786B-D76E-4B9C-B92D-E2C006332EFA}"/>
    <cellStyle name="Normal 8" xfId="16" xr:uid="{8C933423-8C27-4162-A4E4-6054ED5BEDBB}"/>
    <cellStyle name="Normal 9" xfId="17" xr:uid="{AE606894-201E-46CD-8EA1-59D7121B32B6}"/>
  </cellStyles>
  <dxfs count="2">
    <dxf>
      <font>
        <b/>
        <i val="0"/>
        <condense val="0"/>
        <extend val="0"/>
      </font>
    </dxf>
    <dxf>
      <font>
        <b/>
        <i val="0"/>
        <condense val="0"/>
        <extend val="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1277895</xdr:colOff>
      <xdr:row>17</xdr:row>
      <xdr:rowOff>38100</xdr:rowOff>
    </xdr:from>
    <xdr:to>
      <xdr:col>1</xdr:col>
      <xdr:colOff>1277895</xdr:colOff>
      <xdr:row>28</xdr:row>
      <xdr:rowOff>94814</xdr:rowOff>
    </xdr:to>
    <xdr:cxnSp macro="">
      <xdr:nvCxnSpPr>
        <xdr:cNvPr id="5" name="Straight Connector 4">
          <a:extLst>
            <a:ext uri="{FF2B5EF4-FFF2-40B4-BE49-F238E27FC236}">
              <a16:creationId xmlns:a16="http://schemas.microsoft.com/office/drawing/2014/main" id="{6EB4FC49-5DF7-82B8-5E83-588A6D2E1022}"/>
            </a:ext>
          </a:extLst>
        </xdr:cNvPr>
        <xdr:cNvCxnSpPr/>
      </xdr:nvCxnSpPr>
      <xdr:spPr>
        <a:xfrm>
          <a:off x="2755265" y="3787140"/>
          <a:ext cx="0" cy="173994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1480773</xdr:colOff>
      <xdr:row>18</xdr:row>
      <xdr:rowOff>115570</xdr:rowOff>
    </xdr:from>
    <xdr:to>
      <xdr:col>1</xdr:col>
      <xdr:colOff>1480773</xdr:colOff>
      <xdr:row>27</xdr:row>
      <xdr:rowOff>92293</xdr:rowOff>
    </xdr:to>
    <xdr:cxnSp macro="">
      <xdr:nvCxnSpPr>
        <xdr:cNvPr id="6" name="Straight Connector 5">
          <a:extLst>
            <a:ext uri="{FF2B5EF4-FFF2-40B4-BE49-F238E27FC236}">
              <a16:creationId xmlns:a16="http://schemas.microsoft.com/office/drawing/2014/main" id="{294BF960-68E6-F4DF-2760-11989267DCF6}"/>
            </a:ext>
          </a:extLst>
        </xdr:cNvPr>
        <xdr:cNvCxnSpPr/>
      </xdr:nvCxnSpPr>
      <xdr:spPr>
        <a:xfrm>
          <a:off x="2959735" y="4017010"/>
          <a:ext cx="0" cy="135513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1077718</xdr:colOff>
      <xdr:row>18</xdr:row>
      <xdr:rowOff>121920</xdr:rowOff>
    </xdr:from>
    <xdr:to>
      <xdr:col>1</xdr:col>
      <xdr:colOff>1077718</xdr:colOff>
      <xdr:row>27</xdr:row>
      <xdr:rowOff>108184</xdr:rowOff>
    </xdr:to>
    <xdr:cxnSp macro="">
      <xdr:nvCxnSpPr>
        <xdr:cNvPr id="7" name="Straight Connector 6">
          <a:extLst>
            <a:ext uri="{FF2B5EF4-FFF2-40B4-BE49-F238E27FC236}">
              <a16:creationId xmlns:a16="http://schemas.microsoft.com/office/drawing/2014/main" id="{796E45D4-97BF-8050-E8C6-3F1B92FE7A89}"/>
            </a:ext>
          </a:extLst>
        </xdr:cNvPr>
        <xdr:cNvCxnSpPr/>
      </xdr:nvCxnSpPr>
      <xdr:spPr>
        <a:xfrm>
          <a:off x="2560320" y="4023360"/>
          <a:ext cx="0" cy="135705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74134</xdr:colOff>
      <xdr:row>1045</xdr:row>
      <xdr:rowOff>0</xdr:rowOff>
    </xdr:from>
    <xdr:to>
      <xdr:col>2</xdr:col>
      <xdr:colOff>347196</xdr:colOff>
      <xdr:row>1045</xdr:row>
      <xdr:rowOff>0</xdr:rowOff>
    </xdr:to>
    <xdr:sp macro="" textlink="">
      <xdr:nvSpPr>
        <xdr:cNvPr id="2065" name="Text Box 17">
          <a:extLst>
            <a:ext uri="{FF2B5EF4-FFF2-40B4-BE49-F238E27FC236}">
              <a16:creationId xmlns:a16="http://schemas.microsoft.com/office/drawing/2014/main" id="{4BC5394A-0B90-3473-3945-4C323885EB02}"/>
            </a:ext>
          </a:extLst>
        </xdr:cNvPr>
        <xdr:cNvSpPr txBox="1">
          <a:spLocks noChangeArrowheads="1"/>
        </xdr:cNvSpPr>
      </xdr:nvSpPr>
      <xdr:spPr bwMode="auto">
        <a:xfrm>
          <a:off x="1085850" y="155257500"/>
          <a:ext cx="2571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t>
          </a:r>
        </a:p>
      </xdr:txBody>
    </xdr:sp>
    <xdr:clientData/>
  </xdr:twoCellAnchor>
  <xdr:twoCellAnchor>
    <xdr:from>
      <xdr:col>2</xdr:col>
      <xdr:colOff>511024</xdr:colOff>
      <xdr:row>3251</xdr:row>
      <xdr:rowOff>0</xdr:rowOff>
    </xdr:from>
    <xdr:to>
      <xdr:col>2</xdr:col>
      <xdr:colOff>887925</xdr:colOff>
      <xdr:row>3251</xdr:row>
      <xdr:rowOff>0</xdr:rowOff>
    </xdr:to>
    <xdr:sp macro="" textlink="">
      <xdr:nvSpPr>
        <xdr:cNvPr id="4" name="Text Box 324">
          <a:extLst>
            <a:ext uri="{FF2B5EF4-FFF2-40B4-BE49-F238E27FC236}">
              <a16:creationId xmlns:a16="http://schemas.microsoft.com/office/drawing/2014/main" id="{13E2C52B-8399-77FB-AFEF-A47A4B3CA8D2}"/>
            </a:ext>
          </a:extLst>
        </xdr:cNvPr>
        <xdr:cNvSpPr txBox="1">
          <a:spLocks noChangeArrowheads="1"/>
        </xdr:cNvSpPr>
      </xdr:nvSpPr>
      <xdr:spPr bwMode="auto">
        <a:xfrm>
          <a:off x="1892007" y="606223400"/>
          <a:ext cx="369335" cy="24024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t>
          </a:r>
        </a:p>
      </xdr:txBody>
    </xdr:sp>
    <xdr:clientData/>
  </xdr:twoCellAnchor>
  <xdr:twoCellAnchor>
    <xdr:from>
      <xdr:col>2</xdr:col>
      <xdr:colOff>475655</xdr:colOff>
      <xdr:row>3251</xdr:row>
      <xdr:rowOff>0</xdr:rowOff>
    </xdr:from>
    <xdr:to>
      <xdr:col>2</xdr:col>
      <xdr:colOff>802959</xdr:colOff>
      <xdr:row>3251</xdr:row>
      <xdr:rowOff>0</xdr:rowOff>
    </xdr:to>
    <xdr:sp macro="" textlink="">
      <xdr:nvSpPr>
        <xdr:cNvPr id="5" name="Text Box 35">
          <a:extLst>
            <a:ext uri="{FF2B5EF4-FFF2-40B4-BE49-F238E27FC236}">
              <a16:creationId xmlns:a16="http://schemas.microsoft.com/office/drawing/2014/main" id="{9601B156-611D-AC49-9504-16D85A8BB1DC}"/>
            </a:ext>
          </a:extLst>
        </xdr:cNvPr>
        <xdr:cNvSpPr txBox="1">
          <a:spLocks noChangeArrowheads="1"/>
        </xdr:cNvSpPr>
      </xdr:nvSpPr>
      <xdr:spPr bwMode="auto">
        <a:xfrm>
          <a:off x="1894577" y="519283564"/>
          <a:ext cx="323956" cy="238019"/>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t>
          </a:r>
        </a:p>
      </xdr:txBody>
    </xdr:sp>
    <xdr:clientData/>
  </xdr:twoCellAnchor>
  <xdr:twoCellAnchor>
    <xdr:from>
      <xdr:col>2</xdr:col>
      <xdr:colOff>472661</xdr:colOff>
      <xdr:row>3251</xdr:row>
      <xdr:rowOff>0</xdr:rowOff>
    </xdr:from>
    <xdr:to>
      <xdr:col>2</xdr:col>
      <xdr:colOff>748746</xdr:colOff>
      <xdr:row>3251</xdr:row>
      <xdr:rowOff>0</xdr:rowOff>
    </xdr:to>
    <xdr:sp macro="" textlink="">
      <xdr:nvSpPr>
        <xdr:cNvPr id="7" name="Text Box 323">
          <a:extLst>
            <a:ext uri="{FF2B5EF4-FFF2-40B4-BE49-F238E27FC236}">
              <a16:creationId xmlns:a16="http://schemas.microsoft.com/office/drawing/2014/main" id="{C0E89C56-59B5-0A52-369F-74223F252D96}"/>
            </a:ext>
          </a:extLst>
        </xdr:cNvPr>
        <xdr:cNvSpPr txBox="1">
          <a:spLocks noChangeArrowheads="1"/>
        </xdr:cNvSpPr>
      </xdr:nvSpPr>
      <xdr:spPr bwMode="auto">
        <a:xfrm>
          <a:off x="1877774" y="583540777"/>
          <a:ext cx="287248" cy="260044"/>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istrict%20Rate\Civil%20rate%20Analysis%202074-075,%20DHANUSHA%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MC\Downloads\Civil%20rate%20Analysis%202074-075,%20DHANUSHA%20-%20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Morang%20DUDBC%20(%202076-077)-1\(077-078)%20project\Rate%20analysis%20Sunsari%20final%20(077-078)\1.%20Rate%20analysis%20for%20Civil%20Items%20in%20Sunsari%20(2077-078).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norms\Rate%20079-080\final%20rate%20analyais%20%20bara%20079-080%20-%20JSMC\final%20rate%20analyais%20dudbc%20bara%20079-080\final%20revised%20with%20transportation%20Road%20Rate%202076-077%20Moran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MC\Downloads\FY-2073-74\Rate%20Analysis%20Udayapur%202073.74\FY-2070-71%20(Brahamdev%20)\RATE%20ANALYSIS%202070-2071(DUDBC,%20Udayapur\Analysis%20-%20Civil%202070-7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MC\Downloads\Users\User\Desktop\Rolaghad\Cost%20estimate%20of%20Rolag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estimate "/>
      <sheetName val="boq "/>
      <sheetName val="Dist. Rate"/>
      <sheetName val="Rate Analysis"/>
      <sheetName val="Table of Content 1"/>
      <sheetName val="Summary Of Rates"/>
      <sheetName val="Ra Analysis"/>
      <sheetName val="Cover"/>
      <sheetName val="Sheet1"/>
      <sheetName val="Sheet2"/>
      <sheetName val="estimate yatri"/>
      <sheetName val="Sheet4"/>
    </sheetNames>
    <sheetDataSet>
      <sheetData sheetId="0"/>
      <sheetData sheetId="1"/>
      <sheetData sheetId="2"/>
      <sheetData sheetId="3">
        <row r="56">
          <cell r="F56">
            <v>0</v>
          </cell>
        </row>
      </sheetData>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estimate "/>
      <sheetName val="boq "/>
      <sheetName val="Dist. Rate"/>
      <sheetName val="Rate Analysis"/>
      <sheetName val="Table of Content 1"/>
      <sheetName val="Summary Of Rates"/>
      <sheetName val="Ra Analysis"/>
      <sheetName val="Cover"/>
      <sheetName val="Sheet1"/>
      <sheetName val="Sheet2"/>
      <sheetName val="estimate yatri"/>
      <sheetName val="Sheet4"/>
    </sheetNames>
    <sheetDataSet>
      <sheetData sheetId="0"/>
      <sheetData sheetId="1"/>
      <sheetData sheetId="2"/>
      <sheetData sheetId="3">
        <row r="56">
          <cell r="F56">
            <v>0</v>
          </cell>
        </row>
      </sheetData>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Dist Rate"/>
      <sheetName val="Material rate"/>
      <sheetName val="update Rate"/>
      <sheetName val="Sheet2"/>
      <sheetName val="Table of Content 2"/>
      <sheetName val="Update Descrip"/>
      <sheetName val="Table of Content 1"/>
      <sheetName val="Sheet1"/>
      <sheetName val="rate anal ciaa"/>
      <sheetName val="inland revenue"/>
    </sheetNames>
    <sheetDataSet>
      <sheetData sheetId="0"/>
      <sheetData sheetId="1"/>
      <sheetData sheetId="2"/>
      <sheetData sheetId="3">
        <row r="6">
          <cell r="F6">
            <v>800</v>
          </cell>
        </row>
      </sheetData>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Rate transportation "/>
      <sheetName val="Datasheet"/>
      <sheetName val="Abstract"/>
      <sheetName val="Quantity_Sheet"/>
      <sheetName val="District_Rate"/>
      <sheetName val="Equipment_Rate"/>
      <sheetName val="Summary_of_Rates"/>
      <sheetName val="Rate_Analysis"/>
      <sheetName val="Loading_Unloading"/>
      <sheetName val="Collection"/>
      <sheetName val="Transportation"/>
      <sheetName val="HDP,Pipe,Rate"/>
      <sheetName val="References"/>
      <sheetName val="BOQ"/>
      <sheetName val="PPMO_BOQ"/>
      <sheetName val="Additional"/>
    </sheetNames>
    <sheetDataSet>
      <sheetData sheetId="0" refreshError="1"/>
      <sheetData sheetId="1" refreshError="1"/>
      <sheetData sheetId="2" refreshError="1"/>
      <sheetData sheetId="3" refreshError="1"/>
      <sheetData sheetId="4" refreshError="1">
        <row r="99">
          <cell r="D99">
            <v>1000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rate"/>
      <sheetName val="Summary"/>
      <sheetName val="Analysis"/>
      <sheetName val="aluminium dw"/>
      <sheetName val="cover"/>
      <sheetName val="material"/>
      <sheetName val="Sheet1"/>
      <sheetName val="Sheet2"/>
    </sheetNames>
    <sheetDataSet>
      <sheetData sheetId="0" refreshError="1"/>
      <sheetData sheetId="1" refreshError="1"/>
      <sheetData sheetId="2" refreshError="1">
        <row r="3">
          <cell r="A3">
            <v>1.01</v>
          </cell>
          <cell r="B3" t="str">
            <v>A1 (1-1A)</v>
          </cell>
          <cell r="C3" t="str">
            <v>Cutting of tree, branch  &amp; log etc. (12-30 cm. girth above 1.00 mtr. From G.L.) with lead upto 15 mtr.</v>
          </cell>
          <cell r="F3" t="str">
            <v>Nos.</v>
          </cell>
        </row>
        <row r="4">
          <cell r="B4" t="str">
            <v>Resources</v>
          </cell>
          <cell r="C4" t="str">
            <v>Level/Type</v>
          </cell>
          <cell r="F4" t="str">
            <v>Rate</v>
          </cell>
        </row>
        <row r="5">
          <cell r="B5" t="str">
            <v>Labour</v>
          </cell>
          <cell r="C5" t="str">
            <v>Unskilled</v>
          </cell>
          <cell r="F5">
            <v>350</v>
          </cell>
        </row>
        <row r="6">
          <cell r="B6" t="str">
            <v>Rate analysis for : 1.00 No.</v>
          </cell>
        </row>
        <row r="11">
          <cell r="A11">
            <v>1.02</v>
          </cell>
          <cell r="B11" t="str">
            <v>A1 (1-1B)</v>
          </cell>
          <cell r="C11" t="str">
            <v>Cutting of tree, branch  &amp; log etc. (31-60 cm. girth above 1.00 mtr. From G.L.) with lead upto 15 mtr.</v>
          </cell>
          <cell r="F11" t="str">
            <v>Nos.</v>
          </cell>
        </row>
        <row r="12">
          <cell r="B12" t="str">
            <v>Resources</v>
          </cell>
          <cell r="C12" t="str">
            <v>Level/Type</v>
          </cell>
          <cell r="F12" t="str">
            <v>Rate</v>
          </cell>
        </row>
        <row r="13">
          <cell r="B13" t="str">
            <v>Labour</v>
          </cell>
          <cell r="C13" t="str">
            <v>Unskilled</v>
          </cell>
          <cell r="F13">
            <v>350</v>
          </cell>
        </row>
        <row r="14">
          <cell r="B14" t="str">
            <v>Rate analysis for : 1.00 No.</v>
          </cell>
        </row>
        <row r="19">
          <cell r="A19">
            <v>1.03</v>
          </cell>
          <cell r="B19" t="str">
            <v>A1 (1-1C)</v>
          </cell>
          <cell r="C19" t="str">
            <v>Cutting of tree, branch  &amp; log etc. (61-120 cm. girth above 1.00 mtr. From G.L.) with lead upto 15 mtr.</v>
          </cell>
          <cell r="F19" t="str">
            <v>Nos.</v>
          </cell>
        </row>
        <row r="20">
          <cell r="B20" t="str">
            <v>Resources</v>
          </cell>
          <cell r="C20" t="str">
            <v>Level/Type</v>
          </cell>
          <cell r="F20" t="str">
            <v>Rate</v>
          </cell>
        </row>
        <row r="21">
          <cell r="B21" t="str">
            <v>Labour</v>
          </cell>
          <cell r="C21" t="str">
            <v>Unskilled</v>
          </cell>
          <cell r="F21">
            <v>350</v>
          </cell>
        </row>
        <row r="22">
          <cell r="B22" t="str">
            <v>Rate analysis for : 1.00 No.</v>
          </cell>
        </row>
        <row r="27">
          <cell r="A27">
            <v>1.04</v>
          </cell>
          <cell r="B27" t="str">
            <v>A2 (1-2A)</v>
          </cell>
          <cell r="C27" t="str">
            <v>Removing of tree root (12-30 cm. girth above 1.00 mtr. From G.L.) with lead upto 15 mtr.</v>
          </cell>
          <cell r="F27" t="str">
            <v>Nos.</v>
          </cell>
        </row>
        <row r="28">
          <cell r="B28" t="str">
            <v>Resources</v>
          </cell>
          <cell r="C28" t="str">
            <v>Level/Type</v>
          </cell>
          <cell r="F28" t="str">
            <v>Rate</v>
          </cell>
        </row>
        <row r="29">
          <cell r="B29" t="str">
            <v>Labour</v>
          </cell>
          <cell r="C29" t="str">
            <v>Unskilled</v>
          </cell>
          <cell r="F29">
            <v>350</v>
          </cell>
        </row>
        <row r="30">
          <cell r="B30" t="str">
            <v>Rate analysis for : 1.00 No.</v>
          </cell>
        </row>
        <row r="34">
          <cell r="A34">
            <v>1.05</v>
          </cell>
          <cell r="B34" t="str">
            <v xml:space="preserve"> A2 (1-2B)</v>
          </cell>
          <cell r="C34" t="str">
            <v>Removing of tree root (31-60 cm. girth above 1.00 mtr. From G.L.) with lead upto 15 mtr.</v>
          </cell>
          <cell r="F34" t="str">
            <v>Nos.</v>
          </cell>
        </row>
        <row r="35">
          <cell r="B35" t="str">
            <v>Resources</v>
          </cell>
          <cell r="C35" t="str">
            <v>Level/Type</v>
          </cell>
          <cell r="F35" t="str">
            <v>Rate</v>
          </cell>
        </row>
        <row r="36">
          <cell r="B36" t="str">
            <v>Labour</v>
          </cell>
          <cell r="C36" t="str">
            <v>Unskilled</v>
          </cell>
          <cell r="F36">
            <v>350</v>
          </cell>
        </row>
        <row r="37">
          <cell r="B37" t="str">
            <v>Rate analysis for : 1.00 No.</v>
          </cell>
        </row>
        <row r="42">
          <cell r="A42">
            <v>1.06</v>
          </cell>
          <cell r="B42" t="str">
            <v>A2 (1-2C)</v>
          </cell>
          <cell r="C42" t="str">
            <v>Removing of tree root (61-120 cm. girth above 1.00 mtr. From G.L.) with lead upto 15 mtr.</v>
          </cell>
          <cell r="F42" t="str">
            <v>Nos.</v>
          </cell>
        </row>
        <row r="43">
          <cell r="B43" t="str">
            <v>Resources</v>
          </cell>
          <cell r="C43" t="str">
            <v>Level/Type</v>
          </cell>
          <cell r="F43" t="str">
            <v>Rate</v>
          </cell>
        </row>
        <row r="44">
          <cell r="B44" t="str">
            <v>Labour</v>
          </cell>
          <cell r="C44" t="str">
            <v>Unskilled</v>
          </cell>
          <cell r="F44">
            <v>350</v>
          </cell>
        </row>
        <row r="45">
          <cell r="B45" t="str">
            <v>Rate analysis for : 1.00 No.</v>
          </cell>
        </row>
        <row r="50">
          <cell r="A50">
            <v>1.07</v>
          </cell>
          <cell r="B50" t="str">
            <v>A3</v>
          </cell>
          <cell r="C50" t="str">
            <v>Cutting  of  grass, taking of root &amp; brocken of uplecutting of raised soil &amp; site leveling with all complete</v>
          </cell>
          <cell r="F50" t="str">
            <v>Sqm.</v>
          </cell>
        </row>
        <row r="51">
          <cell r="B51" t="str">
            <v>Resources</v>
          </cell>
          <cell r="C51" t="str">
            <v>Level/Type</v>
          </cell>
          <cell r="F51" t="str">
            <v>Rate</v>
          </cell>
        </row>
        <row r="52">
          <cell r="B52" t="str">
            <v>Labour</v>
          </cell>
          <cell r="C52" t="str">
            <v>Unskilled</v>
          </cell>
          <cell r="F52">
            <v>350</v>
          </cell>
        </row>
        <row r="53">
          <cell r="B53" t="str">
            <v>Rate analysis for : 10.00 Sqm.</v>
          </cell>
        </row>
        <row r="58">
          <cell r="A58">
            <v>1.08</v>
          </cell>
          <cell r="B58" t="str">
            <v xml:space="preserve"> A4</v>
          </cell>
          <cell r="C58" t="str">
            <v>Surface dressing work with cutting of raised soil &amp; filling the ditches.</v>
          </cell>
          <cell r="F58" t="str">
            <v>sqm.</v>
          </cell>
        </row>
        <row r="59">
          <cell r="B59" t="str">
            <v>Resources</v>
          </cell>
          <cell r="C59" t="str">
            <v>Level/Type</v>
          </cell>
          <cell r="F59" t="str">
            <v>Rate</v>
          </cell>
        </row>
        <row r="60">
          <cell r="B60" t="str">
            <v>Labour</v>
          </cell>
          <cell r="C60" t="str">
            <v>Unskilled</v>
          </cell>
          <cell r="F60">
            <v>350</v>
          </cell>
        </row>
        <row r="61">
          <cell r="B61" t="str">
            <v>Rate analysis for : 1.00 Sqm.</v>
          </cell>
        </row>
        <row r="66">
          <cell r="A66">
            <v>1.0900000000000001</v>
          </cell>
          <cell r="B66" t="str">
            <v xml:space="preserve"> A5</v>
          </cell>
          <cell r="C66" t="str">
            <v>Laying of Dubo (cutting of grass piece) cutting, transportation sprinkling of water &amp; rasainik mal in service road</v>
          </cell>
          <cell r="F66" t="str">
            <v>sqm.</v>
          </cell>
        </row>
        <row r="67">
          <cell r="B67" t="str">
            <v>Resources</v>
          </cell>
          <cell r="C67" t="str">
            <v>Level/Type</v>
          </cell>
          <cell r="F67" t="str">
            <v>Rate</v>
          </cell>
        </row>
        <row r="68">
          <cell r="B68" t="str">
            <v>Labour</v>
          </cell>
          <cell r="C68" t="str">
            <v>Unskilled</v>
          </cell>
          <cell r="F68">
            <v>350</v>
          </cell>
        </row>
        <row r="69">
          <cell r="B69" t="str">
            <v>Material</v>
          </cell>
          <cell r="C69" t="str">
            <v>Dubo (Chappari of grass)</v>
          </cell>
          <cell r="F69">
            <v>206</v>
          </cell>
        </row>
        <row r="70">
          <cell r="C70" t="str">
            <v>Urea (Rasainik Mal)</v>
          </cell>
          <cell r="F70">
            <v>28.84</v>
          </cell>
        </row>
        <row r="71">
          <cell r="B71" t="str">
            <v>Rate analysis for : 100.00 Sqm.</v>
          </cell>
        </row>
        <row r="76">
          <cell r="A76">
            <v>1.1000000000000001</v>
          </cell>
          <cell r="B76" t="str">
            <v xml:space="preserve"> A6</v>
          </cell>
          <cell r="C76" t="str">
            <v xml:space="preserve">Laying of tree  with making of 45 cm Ø 3x20 mm MS plate 4 nos &amp; 50x50 mm mesh 1.00 mtr. Height tree guard transportation sprinkling of water &amp; rasainik mal </v>
          </cell>
          <cell r="F76" t="str">
            <v>sqm.</v>
          </cell>
        </row>
        <row r="77">
          <cell r="B77" t="str">
            <v>Resources</v>
          </cell>
          <cell r="C77" t="str">
            <v>Level/Type</v>
          </cell>
          <cell r="F77" t="str">
            <v>Rate</v>
          </cell>
        </row>
        <row r="78">
          <cell r="B78" t="str">
            <v>Labour</v>
          </cell>
          <cell r="C78" t="str">
            <v>Skilled</v>
          </cell>
          <cell r="F78">
            <v>600</v>
          </cell>
        </row>
        <row r="79">
          <cell r="C79" t="str">
            <v>Unskilled</v>
          </cell>
          <cell r="F79">
            <v>350</v>
          </cell>
        </row>
        <row r="80">
          <cell r="B80" t="str">
            <v>Material</v>
          </cell>
          <cell r="C80" t="str">
            <v>Tree</v>
          </cell>
          <cell r="F80">
            <v>20.6</v>
          </cell>
        </row>
        <row r="81">
          <cell r="C81" t="str">
            <v>Urea (Rasainik Mal)</v>
          </cell>
          <cell r="F81">
            <v>28.84</v>
          </cell>
        </row>
        <row r="82">
          <cell r="C82" t="str">
            <v xml:space="preserve">MS plate </v>
          </cell>
          <cell r="F82">
            <v>87.55</v>
          </cell>
        </row>
        <row r="83">
          <cell r="C83" t="str">
            <v>Mesh 50x50 mm size</v>
          </cell>
          <cell r="F83">
            <v>232.78</v>
          </cell>
        </row>
        <row r="84">
          <cell r="B84" t="str">
            <v>Equipment</v>
          </cell>
          <cell r="C84" t="str">
            <v>Welder with rod</v>
          </cell>
          <cell r="F84" t="str">
            <v>L.S.</v>
          </cell>
        </row>
        <row r="85">
          <cell r="B85" t="str">
            <v>Rate analysis for : 10.00 Tree</v>
          </cell>
        </row>
        <row r="90">
          <cell r="A90">
            <v>1.1100000000000001</v>
          </cell>
          <cell r="B90" t="str">
            <v xml:space="preserve"> A7</v>
          </cell>
          <cell r="C90" t="str">
            <v>Soil test, digging bor hole,sample collection &amp; testing all complete.</v>
          </cell>
          <cell r="F90" t="str">
            <v>Bore hole</v>
          </cell>
        </row>
        <row r="91">
          <cell r="B91" t="str">
            <v>Resources</v>
          </cell>
          <cell r="C91" t="str">
            <v>Level/Type</v>
          </cell>
          <cell r="F91" t="str">
            <v>Rate</v>
          </cell>
        </row>
        <row r="92">
          <cell r="B92" t="str">
            <v>Labour</v>
          </cell>
          <cell r="C92" t="str">
            <v>Skilled</v>
          </cell>
          <cell r="F92">
            <v>600</v>
          </cell>
        </row>
        <row r="93">
          <cell r="C93" t="str">
            <v>Unskilled</v>
          </cell>
          <cell r="F93">
            <v>350</v>
          </cell>
        </row>
        <row r="94">
          <cell r="C94" t="str">
            <v>Engineer (Gazatted 2nd class)</v>
          </cell>
          <cell r="F94">
            <v>22180</v>
          </cell>
        </row>
        <row r="95">
          <cell r="C95" t="str">
            <v>Sub-Engineer</v>
          </cell>
          <cell r="F95">
            <v>527.33000000000004</v>
          </cell>
        </row>
        <row r="96">
          <cell r="B96" t="str">
            <v>Materials</v>
          </cell>
          <cell r="C96" t="str">
            <v>Plastic bag (Collection)</v>
          </cell>
          <cell r="F96">
            <v>20.6</v>
          </cell>
        </row>
        <row r="97">
          <cell r="C97" t="str">
            <v>(Sieve Analyusis, Hydrometer Analysis, Atterberg's Limit, Specific Gravity, Natural Moisture Content, Direct Shear Test, Unconfined Compression Test, Conlolidation Test, Conducting SPT at 1.5m interval using auto trip hammer syster including collection of</v>
          </cell>
          <cell r="F97" t="str">
            <v>L.S.</v>
          </cell>
        </row>
        <row r="98">
          <cell r="C98" t="str">
            <v>Report, writing &amp; submission</v>
          </cell>
        </row>
        <row r="99">
          <cell r="B99" t="str">
            <v>Equipment</v>
          </cell>
          <cell r="C99" t="str">
            <v>Assistant material with Agar Rs. 2000 per hour</v>
          </cell>
          <cell r="F99">
            <v>2000</v>
          </cell>
        </row>
        <row r="100">
          <cell r="B100" t="str">
            <v>Rate analysis for : 1.00 Bore hole</v>
          </cell>
        </row>
        <row r="104">
          <cell r="A104" t="str">
            <v>B -  EARTH &amp; SAND WORK</v>
          </cell>
        </row>
        <row r="106">
          <cell r="A106">
            <v>2.0099999999999998</v>
          </cell>
          <cell r="B106" t="str">
            <v xml:space="preserve"> B1 (2-1)</v>
          </cell>
          <cell r="C106" t="str">
            <v>Earth work excavation in foundation in clay &amp; silty soft soil lead upto 10 mtr. &amp; lift 1.5 mtr.</v>
          </cell>
          <cell r="F106" t="str">
            <v>Cum.</v>
          </cell>
        </row>
        <row r="107">
          <cell r="B107" t="str">
            <v>Resources</v>
          </cell>
          <cell r="C107" t="str">
            <v>Level/Type</v>
          </cell>
          <cell r="F107" t="str">
            <v>Rate</v>
          </cell>
        </row>
        <row r="108">
          <cell r="B108" t="str">
            <v>Labour</v>
          </cell>
          <cell r="C108" t="str">
            <v>Unskilled</v>
          </cell>
          <cell r="F108">
            <v>350</v>
          </cell>
        </row>
        <row r="109">
          <cell r="B109" t="str">
            <v>Materials</v>
          </cell>
          <cell r="C109" t="str">
            <v>T &amp; P</v>
          </cell>
        </row>
        <row r="110">
          <cell r="B110" t="str">
            <v>Rate analysis for : 1.00 Cum.</v>
          </cell>
        </row>
        <row r="115">
          <cell r="A115">
            <v>2.02</v>
          </cell>
          <cell r="B115" t="str">
            <v xml:space="preserve"> B1 (2-2)</v>
          </cell>
          <cell r="C115" t="str">
            <v>Earth work excavation in foundation in clay &amp; soft murram stone (30 cm.)  hard soil lead upto 10 mtr. &amp; lift 1.5 mtr.</v>
          </cell>
          <cell r="F115" t="str">
            <v>Cum.</v>
          </cell>
        </row>
        <row r="116">
          <cell r="B116" t="str">
            <v>Resources</v>
          </cell>
          <cell r="C116" t="str">
            <v>Level/Type</v>
          </cell>
          <cell r="F116" t="str">
            <v>Rate</v>
          </cell>
        </row>
        <row r="117">
          <cell r="B117" t="str">
            <v>Labour</v>
          </cell>
          <cell r="C117" t="str">
            <v>Unskilled</v>
          </cell>
          <cell r="F117">
            <v>350</v>
          </cell>
        </row>
        <row r="118">
          <cell r="B118" t="str">
            <v>Materials</v>
          </cell>
          <cell r="C118" t="str">
            <v xml:space="preserve">T &amp; P </v>
          </cell>
        </row>
        <row r="119">
          <cell r="B119" t="str">
            <v>Rate analysis for : 1.00 Cum.</v>
          </cell>
        </row>
        <row r="124">
          <cell r="A124">
            <v>2.0299999999999998</v>
          </cell>
          <cell r="B124" t="str">
            <v xml:space="preserve"> B1 (2-2)</v>
          </cell>
          <cell r="C124" t="str">
            <v>Earth work excavation in foundation in medium type stone without blasting  lead upto 10 mtr. &amp; lift 1.5 mtr.</v>
          </cell>
          <cell r="F124" t="str">
            <v>Cum.</v>
          </cell>
        </row>
        <row r="125">
          <cell r="B125" t="str">
            <v>Resources</v>
          </cell>
          <cell r="C125" t="str">
            <v>Level/Type</v>
          </cell>
          <cell r="F125" t="str">
            <v>Rate</v>
          </cell>
        </row>
        <row r="126">
          <cell r="B126" t="str">
            <v>Labour</v>
          </cell>
          <cell r="C126" t="str">
            <v>Unskilled</v>
          </cell>
          <cell r="F126">
            <v>350</v>
          </cell>
        </row>
        <row r="127">
          <cell r="B127" t="str">
            <v>Materials</v>
          </cell>
          <cell r="C127" t="str">
            <v xml:space="preserve">T &amp; P </v>
          </cell>
        </row>
        <row r="128">
          <cell r="B128" t="str">
            <v>Rate analysis for : 1.00 Cum.</v>
          </cell>
        </row>
        <row r="133">
          <cell r="A133">
            <v>2.04</v>
          </cell>
          <cell r="B133" t="str">
            <v xml:space="preserve"> B2 (2-25A)</v>
          </cell>
          <cell r="C133" t="str">
            <v>Earth filling work in every 15-15 cm. layer with watering &amp; lead upto 10.00 mtr. &amp; proper manual compaction.</v>
          </cell>
          <cell r="F133" t="str">
            <v>Cum.</v>
          </cell>
        </row>
        <row r="134">
          <cell r="B134" t="str">
            <v>Resources</v>
          </cell>
          <cell r="C134" t="str">
            <v>Level/Type</v>
          </cell>
          <cell r="F134" t="str">
            <v>Rate</v>
          </cell>
        </row>
        <row r="135">
          <cell r="B135" t="str">
            <v>Labour</v>
          </cell>
          <cell r="C135" t="str">
            <v>Unskilled</v>
          </cell>
          <cell r="F135">
            <v>350</v>
          </cell>
        </row>
        <row r="136">
          <cell r="B136" t="str">
            <v>Rate analysis for : 1.00 Cum.</v>
          </cell>
        </row>
        <row r="141">
          <cell r="A141">
            <v>2.0499999999999998</v>
          </cell>
          <cell r="B141" t="str">
            <v xml:space="preserve"> B2 (2-25A)</v>
          </cell>
          <cell r="C141" t="str">
            <v>Earth filling (Earth transported from 5 Km. surronding) work in every 15-15 cm. layer with watering &amp; proper manual compaction.</v>
          </cell>
          <cell r="F141" t="str">
            <v>Cum.</v>
          </cell>
        </row>
        <row r="142">
          <cell r="B142" t="str">
            <v>Resources</v>
          </cell>
          <cell r="C142" t="str">
            <v>Level/Type</v>
          </cell>
          <cell r="F142" t="str">
            <v>Rate</v>
          </cell>
        </row>
        <row r="143">
          <cell r="B143" t="str">
            <v>Labour</v>
          </cell>
          <cell r="C143" t="str">
            <v>Unskilled</v>
          </cell>
          <cell r="F143">
            <v>350</v>
          </cell>
        </row>
        <row r="144">
          <cell r="B144" t="str">
            <v>Materials</v>
          </cell>
          <cell r="C144" t="str">
            <v xml:space="preserve">Mud </v>
          </cell>
          <cell r="F144">
            <v>250</v>
          </cell>
        </row>
        <row r="145">
          <cell r="C145" t="str">
            <v>Water</v>
          </cell>
          <cell r="F145">
            <v>0.1</v>
          </cell>
        </row>
        <row r="146">
          <cell r="B146" t="str">
            <v>Rate analysis for : 1.00 Cum.</v>
          </cell>
        </row>
        <row r="151">
          <cell r="A151">
            <v>2.06</v>
          </cell>
          <cell r="B151" t="str">
            <v xml:space="preserve"> B2 (2-25B)</v>
          </cell>
          <cell r="C151" t="str">
            <v>Earth filling work in every 15-15 cm. layer without watering &amp; proper manual compaction.</v>
          </cell>
          <cell r="F151" t="str">
            <v>Cum.</v>
          </cell>
        </row>
        <row r="152">
          <cell r="B152" t="str">
            <v>Resources</v>
          </cell>
          <cell r="C152" t="str">
            <v>Level/Type</v>
          </cell>
          <cell r="F152" t="str">
            <v>Rate</v>
          </cell>
        </row>
        <row r="153">
          <cell r="B153" t="str">
            <v>Labour</v>
          </cell>
          <cell r="C153" t="str">
            <v>Unskilled</v>
          </cell>
          <cell r="F153">
            <v>350</v>
          </cell>
        </row>
        <row r="154">
          <cell r="B154" t="str">
            <v>Rate analysis for : 1.00 Cum.</v>
          </cell>
        </row>
        <row r="159">
          <cell r="A159">
            <v>2.0699999999999998</v>
          </cell>
          <cell r="B159" t="str">
            <v xml:space="preserve"> B2 (2-25B)</v>
          </cell>
          <cell r="C159" t="str">
            <v>Earth filling (Earth transported from 5 Km. surronding) work in every 15-15 cm. layer without watering &amp; proper manual compaction.</v>
          </cell>
          <cell r="F159" t="str">
            <v>Cum.</v>
          </cell>
        </row>
        <row r="160">
          <cell r="B160" t="str">
            <v>Resources</v>
          </cell>
          <cell r="C160" t="str">
            <v>Level/Type</v>
          </cell>
          <cell r="F160" t="str">
            <v>Rate</v>
          </cell>
        </row>
        <row r="161">
          <cell r="B161" t="str">
            <v>Labour</v>
          </cell>
          <cell r="C161" t="str">
            <v>Unskilled</v>
          </cell>
          <cell r="F161">
            <v>350</v>
          </cell>
        </row>
        <row r="162">
          <cell r="B162" t="str">
            <v>Materials</v>
          </cell>
          <cell r="C162" t="str">
            <v xml:space="preserve">Mud </v>
          </cell>
          <cell r="F162">
            <v>250</v>
          </cell>
        </row>
        <row r="163">
          <cell r="B163" t="str">
            <v>Rate analysis for : 1.00 Cum.</v>
          </cell>
        </row>
        <row r="168">
          <cell r="A168">
            <v>2.08</v>
          </cell>
          <cell r="B168" t="str">
            <v xml:space="preserve"> B3 (2-42A)</v>
          </cell>
          <cell r="C168" t="str">
            <v>Sand  filling work with watering &amp; proper manual compaction.</v>
          </cell>
          <cell r="F168" t="str">
            <v>Cum.</v>
          </cell>
        </row>
        <row r="169">
          <cell r="B169" t="str">
            <v>Resources</v>
          </cell>
          <cell r="C169" t="str">
            <v>Level/Type</v>
          </cell>
          <cell r="F169" t="str">
            <v>Rate</v>
          </cell>
        </row>
        <row r="170">
          <cell r="B170" t="str">
            <v>Labour</v>
          </cell>
          <cell r="C170" t="str">
            <v>Unskilled</v>
          </cell>
          <cell r="F170">
            <v>350</v>
          </cell>
        </row>
        <row r="171">
          <cell r="B171" t="str">
            <v>Materials</v>
          </cell>
          <cell r="C171" t="str">
            <v>Sand local</v>
          </cell>
          <cell r="F171">
            <v>250</v>
          </cell>
        </row>
        <row r="172">
          <cell r="C172" t="str">
            <v>Water</v>
          </cell>
          <cell r="F172">
            <v>0.1</v>
          </cell>
        </row>
        <row r="173">
          <cell r="B173" t="str">
            <v>Rate analysis for : 1.00 Cum.</v>
          </cell>
        </row>
        <row r="178">
          <cell r="A178">
            <v>2.09</v>
          </cell>
          <cell r="B178" t="str">
            <v xml:space="preserve"> B3 (2-42B)</v>
          </cell>
          <cell r="C178" t="str">
            <v>Gravel filling work with  proper manual compaction.</v>
          </cell>
          <cell r="F178" t="str">
            <v>Cum.</v>
          </cell>
        </row>
        <row r="179">
          <cell r="B179" t="str">
            <v>Resources</v>
          </cell>
          <cell r="C179" t="str">
            <v>Level/Type</v>
          </cell>
          <cell r="F179" t="str">
            <v>Rate</v>
          </cell>
        </row>
        <row r="180">
          <cell r="B180" t="str">
            <v>Labour</v>
          </cell>
          <cell r="C180" t="str">
            <v>Unskilled</v>
          </cell>
          <cell r="F180">
            <v>350</v>
          </cell>
        </row>
        <row r="181">
          <cell r="B181" t="str">
            <v>Materials</v>
          </cell>
          <cell r="C181" t="str">
            <v>Gravel (Sand Mixed)</v>
          </cell>
          <cell r="F181">
            <v>1100</v>
          </cell>
        </row>
        <row r="182">
          <cell r="B182" t="str">
            <v>Rate analysis for : 1.00 Cum.</v>
          </cell>
        </row>
        <row r="187">
          <cell r="A187">
            <v>2.1</v>
          </cell>
          <cell r="B187" t="str">
            <v xml:space="preserve"> B4 (2-34)</v>
          </cell>
          <cell r="C187" t="str">
            <v>Pumping of water from foundation or trench</v>
          </cell>
          <cell r="F187" t="str">
            <v>1000 Ltr.</v>
          </cell>
        </row>
        <row r="188">
          <cell r="B188" t="str">
            <v>Resources</v>
          </cell>
          <cell r="C188" t="str">
            <v>Level/Type</v>
          </cell>
          <cell r="F188" t="str">
            <v>Rate</v>
          </cell>
        </row>
        <row r="189">
          <cell r="B189" t="str">
            <v>Materials</v>
          </cell>
          <cell r="C189" t="str">
            <v xml:space="preserve">Water pump </v>
          </cell>
          <cell r="F189">
            <v>250</v>
          </cell>
        </row>
        <row r="190">
          <cell r="B190" t="str">
            <v>Rate analysis for : 5000.00 Ltr.</v>
          </cell>
        </row>
        <row r="195">
          <cell r="A195">
            <v>2.11</v>
          </cell>
          <cell r="B195" t="str">
            <v xml:space="preserve"> B5</v>
          </cell>
          <cell r="C195" t="str">
            <v xml:space="preserve">Compaction of filled earth by 8-10 M.T. roller in 20/20 cm layer </v>
          </cell>
          <cell r="F195" t="str">
            <v>Cum.</v>
          </cell>
        </row>
        <row r="196">
          <cell r="B196" t="str">
            <v>Resources</v>
          </cell>
          <cell r="C196" t="str">
            <v>Level/Type</v>
          </cell>
          <cell r="F196" t="str">
            <v>Rate</v>
          </cell>
        </row>
        <row r="197">
          <cell r="B197" t="str">
            <v>Equipment</v>
          </cell>
          <cell r="C197" t="str">
            <v>Road roller 8-10 M.T.</v>
          </cell>
          <cell r="F197">
            <v>721</v>
          </cell>
        </row>
        <row r="198">
          <cell r="B198" t="str">
            <v>Rate analysis for : 100.00 Cum.</v>
          </cell>
        </row>
        <row r="203">
          <cell r="A203">
            <v>2.12</v>
          </cell>
          <cell r="B203" t="str">
            <v xml:space="preserve"> B5</v>
          </cell>
          <cell r="C203" t="str">
            <v xml:space="preserve">Compaction of filled earth by 1.00 M.T. Hand roller in 20/20 cm layer </v>
          </cell>
          <cell r="F203" t="str">
            <v>Cum.</v>
          </cell>
        </row>
        <row r="204">
          <cell r="B204" t="str">
            <v>Resources</v>
          </cell>
          <cell r="C204" t="str">
            <v>Level/Type</v>
          </cell>
          <cell r="F204" t="str">
            <v>Rate</v>
          </cell>
        </row>
        <row r="205">
          <cell r="B205" t="str">
            <v>Labour</v>
          </cell>
          <cell r="C205" t="str">
            <v>Unskilled</v>
          </cell>
          <cell r="F205">
            <v>350</v>
          </cell>
        </row>
        <row r="206">
          <cell r="B206" t="str">
            <v>Equipment</v>
          </cell>
          <cell r="C206" t="str">
            <v>Road hand roller 1.00 M.T.</v>
          </cell>
          <cell r="F206">
            <v>566.5</v>
          </cell>
        </row>
        <row r="207">
          <cell r="B207" t="str">
            <v>Rate analysis for : 100.00 Cum.</v>
          </cell>
        </row>
        <row r="213">
          <cell r="A213">
            <v>2.13</v>
          </cell>
          <cell r="B213" t="str">
            <v xml:space="preserve"> B7</v>
          </cell>
          <cell r="C213" t="str">
            <v>Earth work excavation in foundation in SOFT SOIL(USED 0.80 CUM. CAPACITY HYDROLIC EXCAVATOR)</v>
          </cell>
          <cell r="F213" t="str">
            <v>Cum.</v>
          </cell>
        </row>
        <row r="214">
          <cell r="B214" t="str">
            <v>Resources</v>
          </cell>
          <cell r="C214" t="str">
            <v>Level/Type</v>
          </cell>
          <cell r="F214" t="str">
            <v>Rate</v>
          </cell>
        </row>
        <row r="215">
          <cell r="B215" t="str">
            <v>Materials</v>
          </cell>
          <cell r="C215" t="str">
            <v xml:space="preserve">Disel </v>
          </cell>
          <cell r="F215">
            <v>100</v>
          </cell>
        </row>
        <row r="216">
          <cell r="C216" t="str">
            <v>Hydrolic Excavetor 0.80 Cum.</v>
          </cell>
          <cell r="F216">
            <v>2500</v>
          </cell>
        </row>
        <row r="217">
          <cell r="B217" t="str">
            <v>Rate analysis for : 1.00 Cum.</v>
          </cell>
        </row>
        <row r="222">
          <cell r="A222">
            <v>2.14</v>
          </cell>
          <cell r="B222" t="str">
            <v xml:space="preserve"> B7</v>
          </cell>
          <cell r="C222" t="str">
            <v>Earth work excavation in foundation in HARD SOIL USED 0.80 CUM. CAPACITY HYDROLIC EXCAVATOR)</v>
          </cell>
          <cell r="F222" t="str">
            <v>Cum.</v>
          </cell>
        </row>
        <row r="223">
          <cell r="B223" t="str">
            <v>Resources</v>
          </cell>
          <cell r="C223" t="str">
            <v>Level/Type</v>
          </cell>
          <cell r="F223" t="str">
            <v>Rate</v>
          </cell>
        </row>
        <row r="224">
          <cell r="B224" t="str">
            <v>Materials</v>
          </cell>
          <cell r="C224" t="str">
            <v xml:space="preserve">Disel </v>
          </cell>
          <cell r="F224">
            <v>100</v>
          </cell>
        </row>
        <row r="225">
          <cell r="C225" t="str">
            <v>Hydrolic Excavetor 0.80 Cum.</v>
          </cell>
          <cell r="F225">
            <v>2500</v>
          </cell>
        </row>
        <row r="226">
          <cell r="B226" t="str">
            <v>Rate analysis for : 1.00 Cum.</v>
          </cell>
        </row>
        <row r="231">
          <cell r="A231">
            <v>2.16</v>
          </cell>
          <cell r="B231" t="str">
            <v xml:space="preserve"> B7</v>
          </cell>
          <cell r="C231" t="str">
            <v>Earth work excavation in foundation in SOFT SOILUsed 1.32Cum capecity hydrolic excavator</v>
          </cell>
          <cell r="F231" t="str">
            <v>Cum.</v>
          </cell>
        </row>
        <row r="232">
          <cell r="B232" t="str">
            <v>Resources</v>
          </cell>
          <cell r="C232" t="str">
            <v>Level/Type</v>
          </cell>
          <cell r="F232" t="str">
            <v>Rate</v>
          </cell>
        </row>
        <row r="233">
          <cell r="B233" t="str">
            <v>Materials</v>
          </cell>
          <cell r="C233" t="str">
            <v xml:space="preserve">Disel </v>
          </cell>
          <cell r="F233">
            <v>100</v>
          </cell>
        </row>
        <row r="234">
          <cell r="C234" t="str">
            <v>Hydrolic Excavetor 1.32 Cum.</v>
          </cell>
          <cell r="F234">
            <v>0</v>
          </cell>
        </row>
        <row r="235">
          <cell r="B235" t="str">
            <v>Rate analysis for : 1.00 Cum.</v>
          </cell>
        </row>
        <row r="240">
          <cell r="A240">
            <v>2.17</v>
          </cell>
          <cell r="B240" t="str">
            <v xml:space="preserve"> B7</v>
          </cell>
          <cell r="C240" t="str">
            <v>Earth work excavation in foundation in HARD SOIL Used 1.32Cum capecity hydrolic excavator</v>
          </cell>
          <cell r="F240" t="str">
            <v>Cum.</v>
          </cell>
        </row>
        <row r="241">
          <cell r="B241" t="str">
            <v>Resources</v>
          </cell>
          <cell r="C241" t="str">
            <v>Level/Type</v>
          </cell>
          <cell r="F241" t="str">
            <v>Rate</v>
          </cell>
        </row>
        <row r="242">
          <cell r="B242" t="str">
            <v>Materials</v>
          </cell>
          <cell r="C242" t="str">
            <v xml:space="preserve">Disel </v>
          </cell>
          <cell r="F242">
            <v>100</v>
          </cell>
        </row>
        <row r="243">
          <cell r="C243" t="str">
            <v>Hydrolic Excavetor 1.32 Cum.</v>
          </cell>
          <cell r="F243">
            <v>0</v>
          </cell>
        </row>
        <row r="244">
          <cell r="B244" t="str">
            <v>Rate analysis for : 1.00 Cum.</v>
          </cell>
        </row>
        <row r="252">
          <cell r="A252" t="str">
            <v>C - MASONRY WORK</v>
          </cell>
        </row>
        <row r="254">
          <cell r="A254">
            <v>3.01</v>
          </cell>
          <cell r="B254" t="str">
            <v>C2(5-1-B1 &amp; 5-2A)</v>
          </cell>
          <cell r="C254" t="str">
            <v>First class chiminey brick masonry work in (1:3) cement sand mortar  in G. F.</v>
          </cell>
          <cell r="F254" t="str">
            <v>Cum.</v>
          </cell>
        </row>
        <row r="255">
          <cell r="B255" t="str">
            <v>Resources</v>
          </cell>
          <cell r="C255" t="str">
            <v>Level/Type</v>
          </cell>
          <cell r="F255" t="str">
            <v>Rate</v>
          </cell>
        </row>
        <row r="256">
          <cell r="B256" t="str">
            <v>Labour</v>
          </cell>
          <cell r="C256" t="str">
            <v>Skilled</v>
          </cell>
          <cell r="F256">
            <v>600</v>
          </cell>
        </row>
        <row r="257">
          <cell r="C257" t="str">
            <v>Unskilled</v>
          </cell>
          <cell r="F257">
            <v>350</v>
          </cell>
        </row>
        <row r="258">
          <cell r="C258" t="str">
            <v>Unskilled ( for scafolding )</v>
          </cell>
          <cell r="F258">
            <v>350</v>
          </cell>
        </row>
        <row r="259">
          <cell r="B259" t="str">
            <v>Materials</v>
          </cell>
          <cell r="C259" t="str">
            <v>Brick Chiminy</v>
          </cell>
          <cell r="F259">
            <v>11.33</v>
          </cell>
        </row>
        <row r="260">
          <cell r="C260" t="str">
            <v>Cement</v>
          </cell>
          <cell r="F260">
            <v>12566</v>
          </cell>
        </row>
        <row r="261">
          <cell r="C261" t="str">
            <v>Sand</v>
          </cell>
          <cell r="F261">
            <v>1200</v>
          </cell>
        </row>
        <row r="262">
          <cell r="C262" t="str">
            <v>Water</v>
          </cell>
          <cell r="F262">
            <v>0.1</v>
          </cell>
        </row>
        <row r="263">
          <cell r="C263" t="str">
            <v>Scafolding material</v>
          </cell>
        </row>
        <row r="264">
          <cell r="B264" t="str">
            <v>Rate analysis for : 1.00 Cum.</v>
          </cell>
        </row>
        <row r="269">
          <cell r="A269">
            <v>3.02</v>
          </cell>
          <cell r="B269" t="str">
            <v xml:space="preserve"> C2(5-1-B1 &amp; 5-2B)</v>
          </cell>
          <cell r="C269" t="str">
            <v>First class chiminey brick masonry work in (1:3) cement sand mortar  in F. F.</v>
          </cell>
          <cell r="F269" t="str">
            <v>Cum.</v>
          </cell>
        </row>
        <row r="270">
          <cell r="B270" t="str">
            <v>Resources</v>
          </cell>
          <cell r="C270" t="str">
            <v>Level/Type</v>
          </cell>
          <cell r="F270" t="str">
            <v>Rate</v>
          </cell>
        </row>
        <row r="271">
          <cell r="B271" t="str">
            <v>Labour</v>
          </cell>
          <cell r="C271" t="str">
            <v>Skilled</v>
          </cell>
          <cell r="F271">
            <v>600</v>
          </cell>
        </row>
        <row r="272">
          <cell r="C272" t="str">
            <v>Unskilled</v>
          </cell>
          <cell r="F272">
            <v>350</v>
          </cell>
        </row>
        <row r="273">
          <cell r="C273" t="str">
            <v>Unskilled</v>
          </cell>
          <cell r="F273">
            <v>350</v>
          </cell>
        </row>
        <row r="274">
          <cell r="B274" t="str">
            <v>Materials</v>
          </cell>
          <cell r="C274" t="str">
            <v>Brick Chiminy</v>
          </cell>
          <cell r="F274">
            <v>11.33</v>
          </cell>
        </row>
        <row r="275">
          <cell r="C275" t="str">
            <v>Cement</v>
          </cell>
          <cell r="F275">
            <v>12566</v>
          </cell>
        </row>
        <row r="276">
          <cell r="C276" t="str">
            <v>Sand</v>
          </cell>
          <cell r="F276">
            <v>1200</v>
          </cell>
        </row>
        <row r="277">
          <cell r="C277" t="str">
            <v>Water</v>
          </cell>
          <cell r="F277">
            <v>0.1</v>
          </cell>
        </row>
        <row r="278">
          <cell r="C278" t="str">
            <v>Scafolding material</v>
          </cell>
        </row>
        <row r="279">
          <cell r="B279" t="str">
            <v>Rate analysis for : 1.00 Cum.</v>
          </cell>
        </row>
        <row r="284">
          <cell r="A284">
            <v>3.03</v>
          </cell>
          <cell r="B284" t="str">
            <v xml:space="preserve"> C2(5-1-B1 &amp; 5-2B)</v>
          </cell>
          <cell r="C284" t="str">
            <v>First class chiminey brick masonry work in (1:3) cement sand mortar  in S. F.</v>
          </cell>
          <cell r="F284" t="str">
            <v>Cum.</v>
          </cell>
        </row>
        <row r="285">
          <cell r="B285" t="str">
            <v>Resources</v>
          </cell>
          <cell r="C285" t="str">
            <v>Level/Type</v>
          </cell>
          <cell r="F285" t="str">
            <v>Rate</v>
          </cell>
        </row>
        <row r="286">
          <cell r="B286" t="str">
            <v>Labour</v>
          </cell>
          <cell r="C286" t="str">
            <v>Skilled</v>
          </cell>
          <cell r="F286">
            <v>600</v>
          </cell>
        </row>
        <row r="287">
          <cell r="C287" t="str">
            <v>Unskilled</v>
          </cell>
          <cell r="F287">
            <v>350</v>
          </cell>
        </row>
        <row r="288">
          <cell r="C288" t="str">
            <v>Unskilled</v>
          </cell>
          <cell r="F288">
            <v>350</v>
          </cell>
        </row>
        <row r="289">
          <cell r="B289" t="str">
            <v>Materials</v>
          </cell>
          <cell r="C289" t="str">
            <v>Brick Chiminy</v>
          </cell>
          <cell r="F289">
            <v>11.33</v>
          </cell>
        </row>
        <row r="290">
          <cell r="C290" t="str">
            <v>Cement</v>
          </cell>
          <cell r="F290">
            <v>12566</v>
          </cell>
        </row>
        <row r="291">
          <cell r="C291" t="str">
            <v>Sand</v>
          </cell>
          <cell r="F291">
            <v>1200</v>
          </cell>
        </row>
        <row r="292">
          <cell r="C292" t="str">
            <v>Water</v>
          </cell>
          <cell r="F292">
            <v>0.1</v>
          </cell>
        </row>
        <row r="293">
          <cell r="C293" t="str">
            <v>Scafolding material</v>
          </cell>
        </row>
        <row r="294">
          <cell r="B294" t="str">
            <v>Rate analysis for : 1.00 Cum.</v>
          </cell>
        </row>
        <row r="299">
          <cell r="A299">
            <v>3.04</v>
          </cell>
          <cell r="B299" t="str">
            <v>C2( 5-1-B2 &amp; 5-2A)</v>
          </cell>
          <cell r="C299" t="str">
            <v>First class chiminey brick masonry work in (1:4) cement sand  mortar  in G. F.</v>
          </cell>
          <cell r="F299" t="str">
            <v>Cum.</v>
          </cell>
        </row>
        <row r="300">
          <cell r="B300" t="str">
            <v>Resources</v>
          </cell>
          <cell r="C300" t="str">
            <v>Level/Type</v>
          </cell>
          <cell r="F300" t="str">
            <v>Rate</v>
          </cell>
        </row>
        <row r="301">
          <cell r="B301" t="str">
            <v>Labour</v>
          </cell>
          <cell r="C301" t="str">
            <v>Skilled</v>
          </cell>
          <cell r="F301">
            <v>600</v>
          </cell>
        </row>
        <row r="302">
          <cell r="C302" t="str">
            <v>Unskilled</v>
          </cell>
          <cell r="F302">
            <v>350</v>
          </cell>
        </row>
        <row r="303">
          <cell r="C303" t="str">
            <v>Unskilled ( for scafolding )</v>
          </cell>
          <cell r="F303">
            <v>350</v>
          </cell>
        </row>
        <row r="304">
          <cell r="B304" t="str">
            <v>Materials</v>
          </cell>
          <cell r="C304" t="str">
            <v>Brick Chiminy</v>
          </cell>
          <cell r="F304">
            <v>11.33</v>
          </cell>
        </row>
        <row r="305">
          <cell r="C305" t="str">
            <v>Cement</v>
          </cell>
          <cell r="F305">
            <v>12566</v>
          </cell>
        </row>
        <row r="306">
          <cell r="C306" t="str">
            <v>Sand</v>
          </cell>
          <cell r="F306">
            <v>1200</v>
          </cell>
        </row>
        <row r="307">
          <cell r="C307" t="str">
            <v>Water</v>
          </cell>
          <cell r="F307">
            <v>0.1</v>
          </cell>
        </row>
        <row r="308">
          <cell r="C308" t="str">
            <v>Scafolding material</v>
          </cell>
        </row>
        <row r="309">
          <cell r="B309" t="str">
            <v>Rate analysis for : 1.00 Cum.</v>
          </cell>
        </row>
        <row r="314">
          <cell r="A314">
            <v>3.05</v>
          </cell>
          <cell r="B314" t="str">
            <v>C25-1-B2   &amp; 5-2B)</v>
          </cell>
          <cell r="C314" t="str">
            <v>First class chiminey brick masonry work in (1:4) cement sand mortar  in F. F.</v>
          </cell>
          <cell r="F314" t="str">
            <v>Cum.</v>
          </cell>
        </row>
        <row r="315">
          <cell r="B315" t="str">
            <v>Resources</v>
          </cell>
          <cell r="C315" t="str">
            <v>Level/Type</v>
          </cell>
          <cell r="F315" t="str">
            <v>Rate</v>
          </cell>
        </row>
        <row r="316">
          <cell r="B316" t="str">
            <v>Labour</v>
          </cell>
          <cell r="C316" t="str">
            <v>Skilled</v>
          </cell>
          <cell r="F316">
            <v>600</v>
          </cell>
        </row>
        <row r="317">
          <cell r="C317" t="str">
            <v>Unskilled</v>
          </cell>
          <cell r="F317">
            <v>350</v>
          </cell>
        </row>
        <row r="318">
          <cell r="C318" t="str">
            <v>Unskilled</v>
          </cell>
          <cell r="F318">
            <v>350</v>
          </cell>
        </row>
        <row r="319">
          <cell r="B319" t="str">
            <v>Materials</v>
          </cell>
          <cell r="C319" t="str">
            <v>Brick Chiminy</v>
          </cell>
          <cell r="F319">
            <v>11.33</v>
          </cell>
        </row>
        <row r="320">
          <cell r="C320" t="str">
            <v>Cement</v>
          </cell>
          <cell r="F320">
            <v>12566</v>
          </cell>
        </row>
        <row r="321">
          <cell r="C321" t="str">
            <v>Sand</v>
          </cell>
          <cell r="F321">
            <v>1200</v>
          </cell>
        </row>
        <row r="322">
          <cell r="C322" t="str">
            <v>Water</v>
          </cell>
          <cell r="F322">
            <v>0.1</v>
          </cell>
        </row>
        <row r="323">
          <cell r="C323" t="str">
            <v>Scafolding material</v>
          </cell>
        </row>
        <row r="324">
          <cell r="B324" t="str">
            <v>Rate analysis for : 1.00 Cum.</v>
          </cell>
        </row>
        <row r="329">
          <cell r="A329">
            <v>3.06</v>
          </cell>
          <cell r="B329" t="str">
            <v>C2(5-1-B2   &amp; 5-2B)</v>
          </cell>
          <cell r="C329" t="str">
            <v>First class chiminey brick masonry work in (1:4) cement sand mortar  in S. F.</v>
          </cell>
          <cell r="F329" t="str">
            <v>Cum.</v>
          </cell>
        </row>
        <row r="330">
          <cell r="B330" t="str">
            <v>Resources</v>
          </cell>
          <cell r="C330" t="str">
            <v>Level/Type</v>
          </cell>
          <cell r="F330" t="str">
            <v>Rate</v>
          </cell>
        </row>
        <row r="331">
          <cell r="B331" t="str">
            <v>Labour</v>
          </cell>
          <cell r="C331" t="str">
            <v>Skilled</v>
          </cell>
          <cell r="F331">
            <v>600</v>
          </cell>
        </row>
        <row r="332">
          <cell r="C332" t="str">
            <v>Unskilled</v>
          </cell>
          <cell r="F332">
            <v>350</v>
          </cell>
        </row>
        <row r="333">
          <cell r="C333" t="str">
            <v>Unskilled</v>
          </cell>
          <cell r="F333">
            <v>350</v>
          </cell>
        </row>
        <row r="334">
          <cell r="B334" t="str">
            <v>Materials</v>
          </cell>
          <cell r="C334" t="str">
            <v>Brick Chiminy</v>
          </cell>
          <cell r="F334">
            <v>11.33</v>
          </cell>
        </row>
        <row r="335">
          <cell r="C335" t="str">
            <v>Cement</v>
          </cell>
          <cell r="F335">
            <v>12566</v>
          </cell>
        </row>
        <row r="336">
          <cell r="C336" t="str">
            <v>Sand</v>
          </cell>
          <cell r="F336">
            <v>1200</v>
          </cell>
        </row>
        <row r="337">
          <cell r="C337" t="str">
            <v>Water</v>
          </cell>
          <cell r="F337">
            <v>0.1</v>
          </cell>
        </row>
        <row r="338">
          <cell r="C338" t="str">
            <v>Scafolding material</v>
          </cell>
        </row>
        <row r="339">
          <cell r="B339" t="str">
            <v>Rate analysis for : 1.00 Cum.</v>
          </cell>
        </row>
        <row r="344">
          <cell r="A344">
            <v>3.07</v>
          </cell>
          <cell r="B344" t="str">
            <v>C2(5-1-B3   &amp; 5-2A)</v>
          </cell>
          <cell r="C344" t="str">
            <v>First class chiminey brick masonry work in (1:6) cement sand  mortar  in G. F.</v>
          </cell>
          <cell r="F344" t="str">
            <v>Cum.</v>
          </cell>
        </row>
        <row r="345">
          <cell r="B345" t="str">
            <v>Resources</v>
          </cell>
          <cell r="C345" t="str">
            <v>Level/Type</v>
          </cell>
          <cell r="F345" t="str">
            <v>Rate</v>
          </cell>
        </row>
        <row r="346">
          <cell r="B346" t="str">
            <v>Labour</v>
          </cell>
          <cell r="C346" t="str">
            <v>Skilled</v>
          </cell>
          <cell r="F346">
            <v>600</v>
          </cell>
        </row>
        <row r="347">
          <cell r="C347" t="str">
            <v>Unskilled</v>
          </cell>
          <cell r="F347">
            <v>350</v>
          </cell>
        </row>
        <row r="348">
          <cell r="C348" t="str">
            <v>Unskilled ( for scafolding )</v>
          </cell>
          <cell r="F348">
            <v>350</v>
          </cell>
        </row>
        <row r="349">
          <cell r="B349" t="str">
            <v>Materials</v>
          </cell>
          <cell r="C349" t="str">
            <v>Brick Chiminy</v>
          </cell>
          <cell r="F349">
            <v>11.33</v>
          </cell>
        </row>
        <row r="350">
          <cell r="C350" t="str">
            <v>Cement</v>
          </cell>
          <cell r="F350">
            <v>12566</v>
          </cell>
        </row>
        <row r="351">
          <cell r="C351" t="str">
            <v>Sand</v>
          </cell>
          <cell r="F351">
            <v>1200</v>
          </cell>
        </row>
        <row r="352">
          <cell r="C352" t="str">
            <v>Water</v>
          </cell>
          <cell r="F352">
            <v>0.1</v>
          </cell>
        </row>
        <row r="354">
          <cell r="B354" t="str">
            <v>Rate analysis for : 1.00 Cum.</v>
          </cell>
        </row>
        <row r="359">
          <cell r="A359">
            <v>3.08</v>
          </cell>
          <cell r="B359" t="str">
            <v xml:space="preserve"> C2(5-1-B3 &amp; 5-2B)</v>
          </cell>
          <cell r="C359" t="str">
            <v>First class chiminey brick masonry work in (1:6) cement sand mortar  in F. F.</v>
          </cell>
          <cell r="F359" t="str">
            <v>Cum.</v>
          </cell>
        </row>
        <row r="360">
          <cell r="B360" t="str">
            <v>Resources</v>
          </cell>
          <cell r="C360" t="str">
            <v>Level/Type</v>
          </cell>
          <cell r="F360" t="str">
            <v>Rate</v>
          </cell>
        </row>
        <row r="361">
          <cell r="B361" t="str">
            <v>Labour</v>
          </cell>
          <cell r="C361" t="str">
            <v>Skilled</v>
          </cell>
          <cell r="F361">
            <v>600</v>
          </cell>
        </row>
        <row r="362">
          <cell r="C362" t="str">
            <v>Unskilled</v>
          </cell>
          <cell r="F362">
            <v>350</v>
          </cell>
        </row>
        <row r="363">
          <cell r="C363" t="str">
            <v>Unskilled</v>
          </cell>
          <cell r="F363">
            <v>350</v>
          </cell>
        </row>
        <row r="364">
          <cell r="B364" t="str">
            <v>Materials</v>
          </cell>
          <cell r="C364" t="str">
            <v>Brick Chiminy</v>
          </cell>
          <cell r="F364">
            <v>11.33</v>
          </cell>
        </row>
        <row r="365">
          <cell r="C365" t="str">
            <v>Cement</v>
          </cell>
          <cell r="F365">
            <v>12566</v>
          </cell>
        </row>
        <row r="366">
          <cell r="C366" t="str">
            <v>Sand</v>
          </cell>
          <cell r="F366">
            <v>1200</v>
          </cell>
        </row>
        <row r="367">
          <cell r="C367" t="str">
            <v>Water</v>
          </cell>
          <cell r="F367">
            <v>0.1</v>
          </cell>
        </row>
        <row r="368">
          <cell r="C368" t="str">
            <v>Scafolding material</v>
          </cell>
        </row>
        <row r="369">
          <cell r="B369" t="str">
            <v>Rate analysis for : 1.00 Cum.</v>
          </cell>
        </row>
        <row r="374">
          <cell r="A374">
            <v>3.09</v>
          </cell>
          <cell r="B374" t="str">
            <v>C2( 5-1-B3 &amp; 5-2B)</v>
          </cell>
          <cell r="C374" t="str">
            <v>First class chiminey brick masonry work in (1:6) cement sand mortar  in S F.</v>
          </cell>
          <cell r="F374" t="str">
            <v>Cum.</v>
          </cell>
        </row>
        <row r="375">
          <cell r="B375" t="str">
            <v>Resources</v>
          </cell>
          <cell r="C375" t="str">
            <v>Level/Type</v>
          </cell>
          <cell r="F375" t="str">
            <v>Rate</v>
          </cell>
        </row>
        <row r="376">
          <cell r="B376" t="str">
            <v>Labour</v>
          </cell>
          <cell r="C376" t="str">
            <v>Skilled</v>
          </cell>
          <cell r="F376">
            <v>600</v>
          </cell>
        </row>
        <row r="377">
          <cell r="C377" t="str">
            <v>Unskilled</v>
          </cell>
          <cell r="F377">
            <v>350</v>
          </cell>
        </row>
        <row r="378">
          <cell r="C378" t="str">
            <v>Unskilled</v>
          </cell>
          <cell r="F378">
            <v>350</v>
          </cell>
        </row>
        <row r="379">
          <cell r="B379" t="str">
            <v>Materials</v>
          </cell>
          <cell r="C379" t="str">
            <v>Brick Chiminy</v>
          </cell>
          <cell r="F379">
            <v>11.33</v>
          </cell>
        </row>
        <row r="380">
          <cell r="C380" t="str">
            <v>Cement</v>
          </cell>
          <cell r="F380">
            <v>12566</v>
          </cell>
        </row>
        <row r="381">
          <cell r="C381" t="str">
            <v>Sand</v>
          </cell>
          <cell r="F381">
            <v>1200</v>
          </cell>
        </row>
        <row r="382">
          <cell r="C382" t="str">
            <v>Water</v>
          </cell>
          <cell r="F382">
            <v>0.1</v>
          </cell>
        </row>
        <row r="383">
          <cell r="C383" t="str">
            <v>Scafolding material</v>
          </cell>
        </row>
        <row r="384">
          <cell r="B384" t="str">
            <v>Rate analysis for : 1.00 Cum.</v>
          </cell>
        </row>
        <row r="389">
          <cell r="A389">
            <v>3.1</v>
          </cell>
          <cell r="B389" t="str">
            <v>C2(5-1-B6 &amp; 5-2A)</v>
          </cell>
          <cell r="C389" t="str">
            <v>First class chiminey brick masonry work in mud mortar  in G. F.</v>
          </cell>
          <cell r="F389" t="str">
            <v>Cum.</v>
          </cell>
        </row>
        <row r="390">
          <cell r="B390" t="str">
            <v>Resources</v>
          </cell>
          <cell r="C390" t="str">
            <v>Level/Type</v>
          </cell>
          <cell r="F390" t="str">
            <v>Rate</v>
          </cell>
        </row>
        <row r="391">
          <cell r="B391" t="str">
            <v>Labour</v>
          </cell>
          <cell r="C391" t="str">
            <v>Skilled</v>
          </cell>
          <cell r="F391">
            <v>600</v>
          </cell>
        </row>
        <row r="392">
          <cell r="C392" t="str">
            <v>Unskilled</v>
          </cell>
          <cell r="F392">
            <v>350</v>
          </cell>
        </row>
        <row r="393">
          <cell r="C393" t="str">
            <v>Unskilled</v>
          </cell>
          <cell r="F393">
            <v>350</v>
          </cell>
        </row>
        <row r="394">
          <cell r="B394" t="str">
            <v>Materials</v>
          </cell>
          <cell r="C394" t="str">
            <v>Brick Chiminy</v>
          </cell>
          <cell r="F394">
            <v>11.33</v>
          </cell>
        </row>
        <row r="395">
          <cell r="C395" t="str">
            <v xml:space="preserve">Mud </v>
          </cell>
          <cell r="F395">
            <v>250</v>
          </cell>
        </row>
        <row r="396">
          <cell r="C396" t="str">
            <v>Water</v>
          </cell>
          <cell r="F396">
            <v>0.1</v>
          </cell>
        </row>
        <row r="397">
          <cell r="C397" t="str">
            <v>Scafolding material</v>
          </cell>
        </row>
        <row r="398">
          <cell r="B398" t="str">
            <v>Rate analysis for : 1.00 Cum.</v>
          </cell>
        </row>
        <row r="403">
          <cell r="A403">
            <v>3.11</v>
          </cell>
          <cell r="B403" t="str">
            <v>C2( 5-1-B6 &amp; 5-2B)</v>
          </cell>
          <cell r="C403" t="str">
            <v>First class chiminey brick masonry work in mud mortar  in F. F.</v>
          </cell>
          <cell r="F403" t="str">
            <v>Cum.</v>
          </cell>
        </row>
        <row r="404">
          <cell r="B404" t="str">
            <v>Resources</v>
          </cell>
          <cell r="C404" t="str">
            <v>Level/Type</v>
          </cell>
          <cell r="F404" t="str">
            <v>Rate</v>
          </cell>
        </row>
        <row r="405">
          <cell r="B405" t="str">
            <v>Labour</v>
          </cell>
          <cell r="C405" t="str">
            <v>Skilled</v>
          </cell>
          <cell r="F405">
            <v>600</v>
          </cell>
        </row>
        <row r="406">
          <cell r="C406" t="str">
            <v>Unskilled</v>
          </cell>
          <cell r="F406">
            <v>350</v>
          </cell>
        </row>
        <row r="407">
          <cell r="C407" t="str">
            <v>Unskilled</v>
          </cell>
          <cell r="F407">
            <v>350</v>
          </cell>
        </row>
        <row r="408">
          <cell r="B408" t="str">
            <v>Materials</v>
          </cell>
          <cell r="C408" t="str">
            <v>Brick Chiminy</v>
          </cell>
          <cell r="F408">
            <v>11.33</v>
          </cell>
        </row>
        <row r="409">
          <cell r="C409" t="str">
            <v xml:space="preserve">Mud </v>
          </cell>
          <cell r="F409">
            <v>250</v>
          </cell>
        </row>
        <row r="410">
          <cell r="C410" t="str">
            <v>Water</v>
          </cell>
          <cell r="F410">
            <v>0.1</v>
          </cell>
        </row>
        <row r="411">
          <cell r="C411" t="str">
            <v>Scafolding material</v>
          </cell>
        </row>
        <row r="412">
          <cell r="B412" t="str">
            <v>Rate analysis for : 1.00 Cum.</v>
          </cell>
        </row>
        <row r="417">
          <cell r="A417">
            <v>3.12</v>
          </cell>
          <cell r="B417" t="str">
            <v xml:space="preserve"> C2(5-1-B6 &amp; 5-2B)</v>
          </cell>
          <cell r="C417" t="str">
            <v>First class chiminey brick masonry work in mud mortar  in S. F.</v>
          </cell>
          <cell r="F417" t="str">
            <v>Cum.</v>
          </cell>
        </row>
        <row r="418">
          <cell r="B418" t="str">
            <v>Resources</v>
          </cell>
          <cell r="C418" t="str">
            <v>Level/Type</v>
          </cell>
          <cell r="F418" t="str">
            <v>Rate</v>
          </cell>
        </row>
        <row r="419">
          <cell r="B419" t="str">
            <v>Labour</v>
          </cell>
          <cell r="C419" t="str">
            <v>Skilled</v>
          </cell>
          <cell r="F419">
            <v>600</v>
          </cell>
        </row>
        <row r="420">
          <cell r="C420" t="str">
            <v>Unskilled</v>
          </cell>
          <cell r="F420">
            <v>350</v>
          </cell>
        </row>
        <row r="421">
          <cell r="C421" t="str">
            <v>Unskilled</v>
          </cell>
          <cell r="F421">
            <v>350</v>
          </cell>
        </row>
        <row r="422">
          <cell r="B422" t="str">
            <v>Materials</v>
          </cell>
          <cell r="C422" t="str">
            <v>Brick Chiminy</v>
          </cell>
          <cell r="F422">
            <v>11.33</v>
          </cell>
        </row>
        <row r="423">
          <cell r="C423" t="str">
            <v xml:space="preserve">Mud </v>
          </cell>
          <cell r="F423">
            <v>250</v>
          </cell>
        </row>
        <row r="424">
          <cell r="C424" t="str">
            <v>Water</v>
          </cell>
          <cell r="F424">
            <v>0.1</v>
          </cell>
        </row>
        <row r="425">
          <cell r="C425" t="str">
            <v>Scafolding material</v>
          </cell>
        </row>
        <row r="426">
          <cell r="B426" t="str">
            <v>Rate analysis for : 1.00 Cum.</v>
          </cell>
        </row>
        <row r="432">
          <cell r="A432">
            <v>3.13</v>
          </cell>
          <cell r="B432" t="str">
            <v>C6( 6-1-1A)</v>
          </cell>
          <cell r="C432" t="str">
            <v xml:space="preserve">R.R. stone masonry work in cement sand (1:3) mortar </v>
          </cell>
          <cell r="F432" t="str">
            <v>Cum.</v>
          </cell>
        </row>
        <row r="433">
          <cell r="B433" t="str">
            <v>Resources</v>
          </cell>
          <cell r="C433" t="str">
            <v>Level/Type</v>
          </cell>
          <cell r="F433" t="str">
            <v>Rate</v>
          </cell>
        </row>
        <row r="434">
          <cell r="B434" t="str">
            <v>Labour</v>
          </cell>
          <cell r="C434" t="str">
            <v>Skilled</v>
          </cell>
          <cell r="F434">
            <v>600</v>
          </cell>
        </row>
        <row r="435">
          <cell r="C435" t="str">
            <v>Unskilled</v>
          </cell>
          <cell r="F435">
            <v>350</v>
          </cell>
        </row>
        <row r="436">
          <cell r="B436" t="str">
            <v>Materials</v>
          </cell>
          <cell r="C436" t="str">
            <v>Cement</v>
          </cell>
          <cell r="F436">
            <v>12566</v>
          </cell>
        </row>
        <row r="437">
          <cell r="C437" t="str">
            <v>Sand</v>
          </cell>
          <cell r="F437">
            <v>1200</v>
          </cell>
        </row>
        <row r="438">
          <cell r="C438" t="str">
            <v>Stone block</v>
          </cell>
          <cell r="F438">
            <v>1400</v>
          </cell>
        </row>
        <row r="439">
          <cell r="C439" t="str">
            <v>Stone bond</v>
          </cell>
          <cell r="F439">
            <v>1400</v>
          </cell>
        </row>
        <row r="440">
          <cell r="C440" t="str">
            <v>Water</v>
          </cell>
          <cell r="F440">
            <v>0.1</v>
          </cell>
        </row>
        <row r="441">
          <cell r="B441" t="str">
            <v>Rate analysis for : 1.00 Cum.</v>
          </cell>
        </row>
        <row r="446">
          <cell r="A446">
            <v>3.14</v>
          </cell>
          <cell r="B446" t="str">
            <v>C6( 6-1-1B)</v>
          </cell>
          <cell r="C446" t="str">
            <v xml:space="preserve">R.R. stone masonry work in cement sand (1:4) mortar </v>
          </cell>
          <cell r="F446" t="str">
            <v>Cum.</v>
          </cell>
        </row>
        <row r="447">
          <cell r="B447" t="str">
            <v>Resources</v>
          </cell>
          <cell r="C447" t="str">
            <v>Level/Type</v>
          </cell>
          <cell r="F447" t="str">
            <v>Rate</v>
          </cell>
        </row>
        <row r="448">
          <cell r="B448" t="str">
            <v>Labour</v>
          </cell>
          <cell r="C448" t="str">
            <v>Skilled</v>
          </cell>
          <cell r="F448">
            <v>600</v>
          </cell>
        </row>
        <row r="449">
          <cell r="C449" t="str">
            <v>Unskilled</v>
          </cell>
          <cell r="F449">
            <v>350</v>
          </cell>
        </row>
        <row r="450">
          <cell r="B450" t="str">
            <v>Materials</v>
          </cell>
          <cell r="C450" t="str">
            <v>Cement</v>
          </cell>
          <cell r="F450">
            <v>12566</v>
          </cell>
        </row>
        <row r="451">
          <cell r="C451" t="str">
            <v>Sand</v>
          </cell>
          <cell r="F451">
            <v>1200</v>
          </cell>
        </row>
        <row r="452">
          <cell r="C452" t="str">
            <v>Stone block</v>
          </cell>
          <cell r="F452">
            <v>1400</v>
          </cell>
        </row>
        <row r="453">
          <cell r="C453" t="str">
            <v>Stone bond</v>
          </cell>
          <cell r="F453">
            <v>1400</v>
          </cell>
        </row>
        <row r="454">
          <cell r="C454" t="str">
            <v>Water</v>
          </cell>
          <cell r="F454">
            <v>0.1</v>
          </cell>
        </row>
        <row r="455">
          <cell r="B455" t="str">
            <v>Rate analysis for : 1.00 Cum.</v>
          </cell>
        </row>
        <row r="460">
          <cell r="A460">
            <v>3.15</v>
          </cell>
          <cell r="B460" t="str">
            <v>C6( 6-1-1C)</v>
          </cell>
          <cell r="C460" t="str">
            <v xml:space="preserve">R.R. stone masonry work in cement sand (1:6) mortar </v>
          </cell>
          <cell r="F460" t="str">
            <v>Cum.</v>
          </cell>
        </row>
        <row r="461">
          <cell r="B461" t="str">
            <v>Resources</v>
          </cell>
          <cell r="C461" t="str">
            <v>Level/Type</v>
          </cell>
          <cell r="F461" t="str">
            <v>Rate</v>
          </cell>
        </row>
        <row r="462">
          <cell r="B462" t="str">
            <v>Labour</v>
          </cell>
          <cell r="C462" t="str">
            <v>Skilled</v>
          </cell>
          <cell r="F462">
            <v>600</v>
          </cell>
        </row>
        <row r="463">
          <cell r="C463" t="str">
            <v>Unskilled</v>
          </cell>
          <cell r="F463">
            <v>350</v>
          </cell>
        </row>
        <row r="464">
          <cell r="B464" t="str">
            <v>Materials</v>
          </cell>
          <cell r="C464" t="str">
            <v>Cement</v>
          </cell>
          <cell r="F464">
            <v>12566</v>
          </cell>
        </row>
        <row r="465">
          <cell r="C465" t="str">
            <v>Sand</v>
          </cell>
          <cell r="F465">
            <v>1200</v>
          </cell>
        </row>
        <row r="466">
          <cell r="C466" t="str">
            <v>Stone block</v>
          </cell>
          <cell r="F466">
            <v>1400</v>
          </cell>
        </row>
        <row r="467">
          <cell r="C467" t="str">
            <v>Stone bond</v>
          </cell>
          <cell r="F467">
            <v>1400</v>
          </cell>
        </row>
        <row r="468">
          <cell r="C468" t="str">
            <v>Water</v>
          </cell>
          <cell r="F468">
            <v>0.1</v>
          </cell>
        </row>
        <row r="469">
          <cell r="B469" t="str">
            <v>Rate analysis for : 1.00 Cum.</v>
          </cell>
        </row>
        <row r="474">
          <cell r="A474">
            <v>3.16</v>
          </cell>
          <cell r="B474" t="str">
            <v>C6( 6-2-1)</v>
          </cell>
          <cell r="C474" t="str">
            <v xml:space="preserve">R.R. stone masonry work for dry wall </v>
          </cell>
          <cell r="F474" t="str">
            <v>Cum.</v>
          </cell>
        </row>
        <row r="475">
          <cell r="B475" t="str">
            <v>Resources</v>
          </cell>
          <cell r="C475" t="str">
            <v>Level/Type</v>
          </cell>
          <cell r="F475" t="str">
            <v>Rate</v>
          </cell>
        </row>
        <row r="476">
          <cell r="B476" t="str">
            <v>Labour</v>
          </cell>
          <cell r="C476" t="str">
            <v>Skilled</v>
          </cell>
          <cell r="F476">
            <v>600</v>
          </cell>
        </row>
        <row r="477">
          <cell r="C477" t="str">
            <v>Unskilled</v>
          </cell>
          <cell r="F477">
            <v>350</v>
          </cell>
        </row>
        <row r="478">
          <cell r="B478" t="str">
            <v>Materials</v>
          </cell>
          <cell r="C478" t="str">
            <v>Stone block</v>
          </cell>
          <cell r="F478">
            <v>1400</v>
          </cell>
        </row>
        <row r="479">
          <cell r="C479" t="str">
            <v>Stone bond</v>
          </cell>
          <cell r="F479">
            <v>1400</v>
          </cell>
        </row>
        <row r="480">
          <cell r="B480" t="str">
            <v>Rate analysis for : 1.00 Cum.</v>
          </cell>
        </row>
        <row r="490">
          <cell r="A490">
            <v>3.17</v>
          </cell>
          <cell r="B490" t="str">
            <v>C6( 6-2-2)</v>
          </cell>
          <cell r="C490" t="str">
            <v xml:space="preserve">R.R. stone masonry work in mud mortar </v>
          </cell>
          <cell r="F490" t="str">
            <v>Cum.</v>
          </cell>
        </row>
        <row r="491">
          <cell r="B491" t="str">
            <v>Resources</v>
          </cell>
          <cell r="C491" t="str">
            <v>Level/Type</v>
          </cell>
          <cell r="F491" t="str">
            <v>Rate</v>
          </cell>
        </row>
        <row r="492">
          <cell r="B492" t="str">
            <v>Labour</v>
          </cell>
          <cell r="C492" t="str">
            <v>Skilled</v>
          </cell>
          <cell r="F492">
            <v>600</v>
          </cell>
        </row>
        <row r="493">
          <cell r="C493" t="str">
            <v>Unskilled</v>
          </cell>
          <cell r="F493">
            <v>350</v>
          </cell>
        </row>
        <row r="494">
          <cell r="B494" t="str">
            <v>Materials</v>
          </cell>
          <cell r="C494" t="str">
            <v>Stone block</v>
          </cell>
          <cell r="F494">
            <v>1400</v>
          </cell>
        </row>
        <row r="495">
          <cell r="C495" t="str">
            <v>Stone bond</v>
          </cell>
          <cell r="F495">
            <v>1400</v>
          </cell>
        </row>
        <row r="496">
          <cell r="C496" t="str">
            <v xml:space="preserve">Mud </v>
          </cell>
          <cell r="F496">
            <v>250</v>
          </cell>
        </row>
        <row r="497">
          <cell r="C497" t="str">
            <v>Water</v>
          </cell>
          <cell r="F497">
            <v>0.1</v>
          </cell>
        </row>
        <row r="498">
          <cell r="B498" t="str">
            <v>Rate analysis for : 1.00 Cum.</v>
          </cell>
        </row>
        <row r="503">
          <cell r="A503">
            <v>3.18</v>
          </cell>
          <cell r="B503" t="str">
            <v>C10( 6-5)</v>
          </cell>
          <cell r="C503" t="str">
            <v xml:space="preserve">Stone filling in trench with proper leveling </v>
          </cell>
          <cell r="F503" t="str">
            <v>Cum.</v>
          </cell>
        </row>
        <row r="504">
          <cell r="B504" t="str">
            <v>Resources</v>
          </cell>
          <cell r="C504" t="str">
            <v>Level/Type</v>
          </cell>
          <cell r="F504" t="str">
            <v>Rate</v>
          </cell>
        </row>
        <row r="505">
          <cell r="B505" t="str">
            <v>Labour</v>
          </cell>
          <cell r="C505" t="str">
            <v>Unskilled</v>
          </cell>
          <cell r="F505">
            <v>350</v>
          </cell>
        </row>
        <row r="506">
          <cell r="B506" t="str">
            <v>Materials</v>
          </cell>
          <cell r="C506" t="str">
            <v>Stone block</v>
          </cell>
          <cell r="F506">
            <v>1400</v>
          </cell>
        </row>
        <row r="507">
          <cell r="C507" t="str">
            <v>Stone bond</v>
          </cell>
          <cell r="F507">
            <v>1400</v>
          </cell>
        </row>
        <row r="508">
          <cell r="B508" t="str">
            <v>Rate analysis for : 1.00 Cum.</v>
          </cell>
        </row>
        <row r="552">
          <cell r="A552" t="str">
            <v>D - CEMENT CONCRETE  WORK</v>
          </cell>
        </row>
        <row r="554">
          <cell r="A554">
            <v>4.01</v>
          </cell>
          <cell r="B554" t="str">
            <v>D1(7-2B)</v>
          </cell>
          <cell r="C554" t="str">
            <v>P.C.C. (1:4:8) work in foundation, wall (Riverbed)</v>
          </cell>
          <cell r="F554" t="str">
            <v>Cum.</v>
          </cell>
        </row>
        <row r="555">
          <cell r="B555" t="str">
            <v>Resources</v>
          </cell>
          <cell r="C555" t="str">
            <v>Level/Type</v>
          </cell>
          <cell r="F555" t="str">
            <v>Rate</v>
          </cell>
        </row>
        <row r="556">
          <cell r="B556" t="str">
            <v>Labour</v>
          </cell>
          <cell r="C556" t="str">
            <v>Skilled</v>
          </cell>
          <cell r="F556">
            <v>600</v>
          </cell>
        </row>
        <row r="557">
          <cell r="C557" t="str">
            <v>Unskilled</v>
          </cell>
          <cell r="F557">
            <v>350</v>
          </cell>
        </row>
        <row r="558">
          <cell r="B558" t="str">
            <v>Materials</v>
          </cell>
          <cell r="C558" t="str">
            <v>Cement</v>
          </cell>
          <cell r="F558">
            <v>12566</v>
          </cell>
        </row>
        <row r="559">
          <cell r="C559" t="str">
            <v>Aggrigate 40 mm-Riverbed</v>
          </cell>
          <cell r="F559">
            <v>1500</v>
          </cell>
        </row>
        <row r="560">
          <cell r="C560" t="str">
            <v>Aggrigate 20 mm-Riverbed</v>
          </cell>
          <cell r="F560">
            <v>1500</v>
          </cell>
        </row>
        <row r="561">
          <cell r="C561" t="str">
            <v>Sand</v>
          </cell>
          <cell r="F561">
            <v>1200</v>
          </cell>
        </row>
        <row r="562">
          <cell r="C562" t="str">
            <v>Water</v>
          </cell>
          <cell r="F562">
            <v>0.1</v>
          </cell>
        </row>
        <row r="563">
          <cell r="B563" t="str">
            <v>Rate analysis for : 1.00 Cum.</v>
          </cell>
        </row>
        <row r="568">
          <cell r="A568">
            <v>4.0199999999999996</v>
          </cell>
          <cell r="B568" t="str">
            <v>D1(7-2C)</v>
          </cell>
          <cell r="C568" t="str">
            <v>P.C.C. (1:3:6) work in foundation, wall (Riverbed)</v>
          </cell>
          <cell r="F568" t="str">
            <v>Cum.</v>
          </cell>
        </row>
        <row r="569">
          <cell r="B569" t="str">
            <v>Resources</v>
          </cell>
          <cell r="C569" t="str">
            <v>Level/Type</v>
          </cell>
          <cell r="F569" t="str">
            <v>Rate</v>
          </cell>
        </row>
        <row r="570">
          <cell r="B570" t="str">
            <v>Labour</v>
          </cell>
          <cell r="C570" t="str">
            <v>Skilled</v>
          </cell>
          <cell r="F570">
            <v>600</v>
          </cell>
        </row>
        <row r="571">
          <cell r="C571" t="str">
            <v>Unskilled</v>
          </cell>
          <cell r="F571">
            <v>350</v>
          </cell>
        </row>
        <row r="572">
          <cell r="B572" t="str">
            <v>Materials</v>
          </cell>
          <cell r="C572" t="str">
            <v>Cement</v>
          </cell>
          <cell r="F572">
            <v>12566</v>
          </cell>
        </row>
        <row r="573">
          <cell r="C573" t="str">
            <v>Aggrigate 40 mm-Riverbed</v>
          </cell>
          <cell r="F573">
            <v>1500</v>
          </cell>
        </row>
        <row r="574">
          <cell r="C574" t="str">
            <v>Aggrigate 20 mm-Riverbed</v>
          </cell>
          <cell r="F574">
            <v>1500</v>
          </cell>
        </row>
        <row r="575">
          <cell r="C575" t="str">
            <v>Sand</v>
          </cell>
          <cell r="F575">
            <v>1200</v>
          </cell>
        </row>
        <row r="576">
          <cell r="C576" t="str">
            <v>Water</v>
          </cell>
          <cell r="F576">
            <v>0.1</v>
          </cell>
        </row>
        <row r="577">
          <cell r="B577" t="str">
            <v>Rate analysis for : 1.00 Cum.</v>
          </cell>
        </row>
        <row r="582">
          <cell r="A582">
            <v>4.03</v>
          </cell>
          <cell r="B582" t="str">
            <v>D1(7-2D)</v>
          </cell>
          <cell r="C582" t="str">
            <v>P.C.C. (1:2:4) work in foundation, wall (Riverbed)</v>
          </cell>
          <cell r="F582" t="str">
            <v>Cum.</v>
          </cell>
        </row>
        <row r="583">
          <cell r="B583" t="str">
            <v>Resources</v>
          </cell>
          <cell r="C583" t="str">
            <v>Level/Type</v>
          </cell>
          <cell r="F583" t="str">
            <v>Rate</v>
          </cell>
        </row>
        <row r="584">
          <cell r="B584" t="str">
            <v>Labour</v>
          </cell>
          <cell r="C584" t="str">
            <v>Skilled</v>
          </cell>
          <cell r="F584">
            <v>600</v>
          </cell>
        </row>
        <row r="585">
          <cell r="C585" t="str">
            <v>Unskilled</v>
          </cell>
          <cell r="F585">
            <v>350</v>
          </cell>
        </row>
        <row r="586">
          <cell r="B586" t="str">
            <v>Materials</v>
          </cell>
          <cell r="C586" t="str">
            <v>Cement</v>
          </cell>
          <cell r="F586">
            <v>12566</v>
          </cell>
        </row>
        <row r="587">
          <cell r="C587" t="str">
            <v>Aggrigate 40 mm-Riverbed</v>
          </cell>
          <cell r="F587">
            <v>1500</v>
          </cell>
        </row>
        <row r="588">
          <cell r="C588" t="str">
            <v>Aggrigate 20 mm-Riverbed</v>
          </cell>
          <cell r="F588">
            <v>1500</v>
          </cell>
        </row>
        <row r="589">
          <cell r="C589" t="str">
            <v>Aggrigate 10 mm-Riverbed</v>
          </cell>
          <cell r="F589">
            <v>1500</v>
          </cell>
        </row>
        <row r="590">
          <cell r="C590" t="str">
            <v>Sand</v>
          </cell>
          <cell r="F590">
            <v>1200</v>
          </cell>
        </row>
        <row r="591">
          <cell r="C591" t="str">
            <v>Water</v>
          </cell>
          <cell r="F591">
            <v>0.1</v>
          </cell>
        </row>
        <row r="592">
          <cell r="B592" t="str">
            <v>Rate analysis for : 1.00 Cum.</v>
          </cell>
        </row>
        <row r="597">
          <cell r="A597">
            <v>4.04</v>
          </cell>
          <cell r="B597" t="str">
            <v>D2(7-4A)</v>
          </cell>
          <cell r="C597" t="str">
            <v>P.C.C. (1:2:4) for R.C.C. work in slab, beam etc (Riverbed)</v>
          </cell>
          <cell r="F597" t="str">
            <v>Cum.</v>
          </cell>
        </row>
        <row r="598">
          <cell r="B598" t="str">
            <v>Resources</v>
          </cell>
          <cell r="C598" t="str">
            <v>Level/Type</v>
          </cell>
          <cell r="F598" t="str">
            <v>Rate</v>
          </cell>
        </row>
        <row r="599">
          <cell r="B599" t="str">
            <v>Labour</v>
          </cell>
          <cell r="C599" t="str">
            <v>Skilled</v>
          </cell>
          <cell r="F599">
            <v>600</v>
          </cell>
        </row>
        <row r="600">
          <cell r="C600" t="str">
            <v>Unskilled</v>
          </cell>
          <cell r="F600">
            <v>350</v>
          </cell>
        </row>
        <row r="601">
          <cell r="B601" t="str">
            <v>Materials</v>
          </cell>
          <cell r="C601" t="str">
            <v>Cement</v>
          </cell>
          <cell r="F601">
            <v>12566</v>
          </cell>
        </row>
        <row r="602">
          <cell r="C602" t="str">
            <v>Aggrigate 40 mm-Riverbed</v>
          </cell>
          <cell r="F602">
            <v>1500</v>
          </cell>
        </row>
        <row r="603">
          <cell r="C603" t="str">
            <v>Aggrigate 20 mm-Riverbed</v>
          </cell>
          <cell r="F603">
            <v>1500</v>
          </cell>
        </row>
        <row r="604">
          <cell r="C604" t="str">
            <v>Aggrigate 10 mm-Riverbed</v>
          </cell>
          <cell r="F604">
            <v>1500</v>
          </cell>
        </row>
        <row r="605">
          <cell r="C605" t="str">
            <v>Sand</v>
          </cell>
          <cell r="F605">
            <v>1200</v>
          </cell>
        </row>
        <row r="606">
          <cell r="C606" t="str">
            <v>Water</v>
          </cell>
          <cell r="F606">
            <v>0.1</v>
          </cell>
        </row>
        <row r="607">
          <cell r="B607" t="str">
            <v>Rate analysis for : 1.00 Cum.</v>
          </cell>
        </row>
        <row r="612">
          <cell r="A612">
            <v>4.05</v>
          </cell>
          <cell r="B612" t="str">
            <v>D2(7-4B)</v>
          </cell>
          <cell r="C612" t="str">
            <v>P.C.C. (1:1½:3) for R.C.C. work in slab, beam etc (Riverbed)</v>
          </cell>
          <cell r="F612" t="str">
            <v>Cum.</v>
          </cell>
        </row>
        <row r="613">
          <cell r="B613" t="str">
            <v>Resources</v>
          </cell>
          <cell r="C613" t="str">
            <v>Level/Type</v>
          </cell>
          <cell r="F613" t="str">
            <v>Rate</v>
          </cell>
        </row>
        <row r="614">
          <cell r="B614" t="str">
            <v>Labour</v>
          </cell>
          <cell r="C614" t="str">
            <v>Skilled</v>
          </cell>
          <cell r="F614">
            <v>600</v>
          </cell>
        </row>
        <row r="615">
          <cell r="C615" t="str">
            <v>Unskilled</v>
          </cell>
          <cell r="F615">
            <v>350</v>
          </cell>
        </row>
        <row r="616">
          <cell r="B616" t="str">
            <v>Materials</v>
          </cell>
          <cell r="C616" t="str">
            <v>Cement</v>
          </cell>
          <cell r="F616">
            <v>12566</v>
          </cell>
        </row>
        <row r="617">
          <cell r="C617" t="str">
            <v>Aggrigate 20 mm-Riverbed</v>
          </cell>
          <cell r="F617">
            <v>1500</v>
          </cell>
        </row>
        <row r="618">
          <cell r="C618" t="str">
            <v>Aggrigate 10 mm-Riverbed</v>
          </cell>
          <cell r="F618">
            <v>1500</v>
          </cell>
        </row>
        <row r="619">
          <cell r="C619" t="str">
            <v>Sand</v>
          </cell>
          <cell r="F619">
            <v>1200</v>
          </cell>
        </row>
        <row r="620">
          <cell r="C620" t="str">
            <v>Water</v>
          </cell>
          <cell r="F620">
            <v>0.1</v>
          </cell>
        </row>
        <row r="621">
          <cell r="B621" t="str">
            <v>Rate analysis for : 1.00 Cum.</v>
          </cell>
        </row>
        <row r="626">
          <cell r="A626">
            <v>4.0599999999999996</v>
          </cell>
          <cell r="B626" t="str">
            <v>D2(7-4C)</v>
          </cell>
          <cell r="C626" t="str">
            <v>P.C.C. (1:1:2) for R.C.C. work in slab, beam etc (Riverbed)</v>
          </cell>
          <cell r="F626" t="str">
            <v>Cum.</v>
          </cell>
        </row>
        <row r="627">
          <cell r="B627" t="str">
            <v>Resources</v>
          </cell>
          <cell r="C627" t="str">
            <v>Level/Type</v>
          </cell>
          <cell r="F627" t="str">
            <v>Rate</v>
          </cell>
        </row>
        <row r="628">
          <cell r="B628" t="str">
            <v>Labour</v>
          </cell>
          <cell r="C628" t="str">
            <v>Skilled</v>
          </cell>
          <cell r="F628">
            <v>600</v>
          </cell>
        </row>
        <row r="629">
          <cell r="C629" t="str">
            <v>Unskilled</v>
          </cell>
          <cell r="F629">
            <v>350</v>
          </cell>
        </row>
        <row r="630">
          <cell r="B630" t="str">
            <v>Materials</v>
          </cell>
          <cell r="C630" t="str">
            <v>Cement</v>
          </cell>
          <cell r="F630">
            <v>12566</v>
          </cell>
        </row>
        <row r="631">
          <cell r="C631" t="str">
            <v>Aggrigate 20 mm-Riverbed</v>
          </cell>
          <cell r="F631">
            <v>1500</v>
          </cell>
        </row>
        <row r="632">
          <cell r="C632" t="str">
            <v>Aggrigate 10 mm-Riverbed</v>
          </cell>
          <cell r="F632">
            <v>1500</v>
          </cell>
        </row>
        <row r="633">
          <cell r="C633" t="str">
            <v>Sand</v>
          </cell>
          <cell r="F633">
            <v>1200</v>
          </cell>
        </row>
        <row r="634">
          <cell r="C634" t="str">
            <v>Water</v>
          </cell>
          <cell r="F634">
            <v>0.1</v>
          </cell>
        </row>
        <row r="635">
          <cell r="B635" t="str">
            <v>Rate analysis for : 1.00 Cum.</v>
          </cell>
        </row>
        <row r="672">
          <cell r="A672">
            <v>4.07</v>
          </cell>
          <cell r="B672" t="str">
            <v>D3(A)</v>
          </cell>
          <cell r="C672" t="str">
            <v>P.C.C. (1:3:6) work (USED MACHINE) in foundation, wall (Riverbed)</v>
          </cell>
          <cell r="F672" t="str">
            <v>Cum.</v>
          </cell>
        </row>
        <row r="673">
          <cell r="B673" t="str">
            <v>Resources</v>
          </cell>
          <cell r="C673" t="str">
            <v>Level/Type</v>
          </cell>
          <cell r="F673" t="str">
            <v>Rate</v>
          </cell>
        </row>
        <row r="674">
          <cell r="B674" t="str">
            <v>Labour</v>
          </cell>
          <cell r="C674" t="str">
            <v>Skilled</v>
          </cell>
          <cell r="F674">
            <v>600</v>
          </cell>
        </row>
        <row r="675">
          <cell r="C675" t="str">
            <v>Unskilled</v>
          </cell>
          <cell r="F675">
            <v>350</v>
          </cell>
        </row>
        <row r="676">
          <cell r="B676" t="str">
            <v>Materials</v>
          </cell>
          <cell r="C676" t="str">
            <v>Cement</v>
          </cell>
          <cell r="F676">
            <v>12566</v>
          </cell>
        </row>
        <row r="677">
          <cell r="C677" t="str">
            <v>Aggrigate 40 mm-Riverbed</v>
          </cell>
          <cell r="F677">
            <v>1500</v>
          </cell>
        </row>
        <row r="678">
          <cell r="C678" t="str">
            <v>Aggrigate 20 mm-Riverbed</v>
          </cell>
          <cell r="F678">
            <v>1500</v>
          </cell>
        </row>
        <row r="679">
          <cell r="C679" t="str">
            <v>Sand</v>
          </cell>
          <cell r="F679">
            <v>1200</v>
          </cell>
        </row>
        <row r="680">
          <cell r="C680" t="str">
            <v>Water</v>
          </cell>
          <cell r="F680">
            <v>0.1</v>
          </cell>
        </row>
        <row r="681">
          <cell r="C681" t="str">
            <v>Disel</v>
          </cell>
          <cell r="F681">
            <v>100</v>
          </cell>
        </row>
        <row r="682">
          <cell r="C682" t="str">
            <v>Petrol</v>
          </cell>
          <cell r="F682">
            <v>125</v>
          </cell>
        </row>
        <row r="683">
          <cell r="B683" t="str">
            <v>Equipment</v>
          </cell>
          <cell r="C683" t="str">
            <v>Mixture Machine (0.20-0.28 Cum.)</v>
          </cell>
          <cell r="F683">
            <v>772.5</v>
          </cell>
        </row>
        <row r="684">
          <cell r="C684" t="str">
            <v>Vibrator</v>
          </cell>
          <cell r="F684">
            <v>125</v>
          </cell>
        </row>
        <row r="685">
          <cell r="B685" t="str">
            <v>Rate analysis for : 1.00 Cum.</v>
          </cell>
        </row>
        <row r="690">
          <cell r="A690">
            <v>4.08</v>
          </cell>
          <cell r="B690" t="str">
            <v>D3(B)</v>
          </cell>
          <cell r="C690" t="str">
            <v>P.C.C. (1:2:4) work (USED MACHINE) in foundation, wall (Riverbed)</v>
          </cell>
          <cell r="F690" t="str">
            <v>Cum.</v>
          </cell>
        </row>
        <row r="691">
          <cell r="B691" t="str">
            <v>Resources</v>
          </cell>
          <cell r="C691" t="str">
            <v>Level/Type</v>
          </cell>
          <cell r="F691" t="str">
            <v>Rate</v>
          </cell>
        </row>
        <row r="692">
          <cell r="B692" t="str">
            <v>Labour</v>
          </cell>
          <cell r="C692" t="str">
            <v>Skilled</v>
          </cell>
          <cell r="F692">
            <v>600</v>
          </cell>
        </row>
        <row r="693">
          <cell r="C693" t="str">
            <v>Unskilled</v>
          </cell>
          <cell r="F693">
            <v>350</v>
          </cell>
        </row>
        <row r="694">
          <cell r="B694" t="str">
            <v>Materials</v>
          </cell>
          <cell r="C694" t="str">
            <v>Cement</v>
          </cell>
          <cell r="F694">
            <v>12566</v>
          </cell>
        </row>
        <row r="695">
          <cell r="C695" t="str">
            <v>Aggrigate 40 mm-Riverbed</v>
          </cell>
          <cell r="F695">
            <v>1500</v>
          </cell>
        </row>
        <row r="696">
          <cell r="C696" t="str">
            <v>Aggrigate 20 mm-Riverbed</v>
          </cell>
          <cell r="F696">
            <v>1500</v>
          </cell>
        </row>
        <row r="697">
          <cell r="C697" t="str">
            <v>Sand</v>
          </cell>
          <cell r="F697">
            <v>1200</v>
          </cell>
        </row>
        <row r="698">
          <cell r="C698" t="str">
            <v>Water</v>
          </cell>
          <cell r="F698">
            <v>0.1</v>
          </cell>
        </row>
        <row r="699">
          <cell r="C699" t="str">
            <v>Disel</v>
          </cell>
          <cell r="F699">
            <v>100</v>
          </cell>
        </row>
        <row r="700">
          <cell r="C700" t="str">
            <v>Petrol</v>
          </cell>
          <cell r="F700">
            <v>125</v>
          </cell>
        </row>
        <row r="701">
          <cell r="B701" t="str">
            <v>Equipment</v>
          </cell>
          <cell r="C701" t="str">
            <v>Mixture Machine (0.20-0.28 Cum.)</v>
          </cell>
          <cell r="F701">
            <v>772.5</v>
          </cell>
        </row>
        <row r="702">
          <cell r="C702" t="str">
            <v>Vibrator</v>
          </cell>
          <cell r="F702">
            <v>125</v>
          </cell>
        </row>
        <row r="703">
          <cell r="B703" t="str">
            <v>Rate analysis for : 1.00 Cum.</v>
          </cell>
        </row>
        <row r="708">
          <cell r="A708">
            <v>4.09</v>
          </cell>
          <cell r="B708" t="str">
            <v>D3(B)</v>
          </cell>
          <cell r="C708" t="str">
            <v>P.C.C. (1:2:4) work (USED MACHINE) in slab, beam etc (Riverbed)</v>
          </cell>
          <cell r="F708" t="str">
            <v>Cum.</v>
          </cell>
        </row>
        <row r="709">
          <cell r="B709" t="str">
            <v>Resources</v>
          </cell>
          <cell r="C709" t="str">
            <v>Level/Type</v>
          </cell>
          <cell r="F709" t="str">
            <v>Rate</v>
          </cell>
        </row>
        <row r="710">
          <cell r="B710" t="str">
            <v>Labour</v>
          </cell>
          <cell r="C710" t="str">
            <v>Skilled</v>
          </cell>
          <cell r="F710">
            <v>600</v>
          </cell>
        </row>
        <row r="711">
          <cell r="C711" t="str">
            <v>Unskilled</v>
          </cell>
          <cell r="F711">
            <v>350</v>
          </cell>
        </row>
        <row r="712">
          <cell r="B712" t="str">
            <v>Materials</v>
          </cell>
          <cell r="C712" t="str">
            <v>Cement</v>
          </cell>
          <cell r="F712">
            <v>12566</v>
          </cell>
        </row>
        <row r="713">
          <cell r="C713" t="str">
            <v>Aggrigate 40 mm-Riverbed</v>
          </cell>
          <cell r="F713">
            <v>1500</v>
          </cell>
        </row>
        <row r="714">
          <cell r="C714" t="str">
            <v>Aggrigate 20 mm-Riverbed</v>
          </cell>
          <cell r="F714">
            <v>1500</v>
          </cell>
        </row>
        <row r="715">
          <cell r="C715" t="str">
            <v>Aggrigate 10 mm-Riverbed</v>
          </cell>
          <cell r="F715">
            <v>1500</v>
          </cell>
        </row>
        <row r="716">
          <cell r="C716" t="str">
            <v>Sand</v>
          </cell>
          <cell r="F716">
            <v>1200</v>
          </cell>
        </row>
        <row r="717">
          <cell r="C717" t="str">
            <v>Water</v>
          </cell>
          <cell r="F717">
            <v>0.1</v>
          </cell>
        </row>
        <row r="718">
          <cell r="C718" t="str">
            <v>Disel</v>
          </cell>
          <cell r="F718">
            <v>100</v>
          </cell>
        </row>
        <row r="719">
          <cell r="C719" t="str">
            <v>Petrol</v>
          </cell>
          <cell r="F719">
            <v>125</v>
          </cell>
        </row>
        <row r="720">
          <cell r="B720" t="str">
            <v>Equipment</v>
          </cell>
          <cell r="C720" t="str">
            <v>Mixture Machine (0.20-0.28 Cum.)</v>
          </cell>
          <cell r="F720">
            <v>772.5</v>
          </cell>
        </row>
        <row r="721">
          <cell r="C721" t="str">
            <v>Vibrator</v>
          </cell>
          <cell r="F721">
            <v>125</v>
          </cell>
        </row>
        <row r="722">
          <cell r="B722" t="str">
            <v>Rate analysis for : 1.00 Cum.</v>
          </cell>
        </row>
        <row r="731">
          <cell r="A731">
            <v>4.0999999999999996</v>
          </cell>
          <cell r="B731" t="str">
            <v>D4(A)</v>
          </cell>
          <cell r="C731" t="str">
            <v>P.C.C. (1:1½:3) for R.C.C. work(USED MACHINE) in slab, beam etc (Riverbed)</v>
          </cell>
          <cell r="F731" t="str">
            <v>Cum.</v>
          </cell>
        </row>
        <row r="732">
          <cell r="B732" t="str">
            <v>Resources</v>
          </cell>
          <cell r="C732" t="str">
            <v>Level/Type</v>
          </cell>
          <cell r="F732" t="str">
            <v>Rate</v>
          </cell>
        </row>
        <row r="733">
          <cell r="B733" t="str">
            <v>Labour</v>
          </cell>
          <cell r="C733" t="str">
            <v>Skilled</v>
          </cell>
          <cell r="F733">
            <v>600</v>
          </cell>
        </row>
        <row r="734">
          <cell r="C734" t="str">
            <v>Unskilled</v>
          </cell>
          <cell r="F734">
            <v>350</v>
          </cell>
        </row>
        <row r="735">
          <cell r="B735" t="str">
            <v>Materials</v>
          </cell>
          <cell r="C735" t="str">
            <v>Cement</v>
          </cell>
          <cell r="F735">
            <v>12566</v>
          </cell>
        </row>
        <row r="736">
          <cell r="C736" t="str">
            <v>Aggrigate 20 mm-Riverbed</v>
          </cell>
          <cell r="F736">
            <v>1500</v>
          </cell>
        </row>
        <row r="737">
          <cell r="C737" t="str">
            <v>Aggrigate 10 mm-Riverbed</v>
          </cell>
          <cell r="F737">
            <v>1500</v>
          </cell>
        </row>
        <row r="738">
          <cell r="C738" t="str">
            <v>Sand</v>
          </cell>
          <cell r="F738">
            <v>1200</v>
          </cell>
        </row>
        <row r="739">
          <cell r="C739" t="str">
            <v>Water</v>
          </cell>
          <cell r="F739">
            <v>0.1</v>
          </cell>
        </row>
        <row r="740">
          <cell r="C740" t="str">
            <v>Disel</v>
          </cell>
          <cell r="F740">
            <v>100</v>
          </cell>
        </row>
        <row r="741">
          <cell r="C741" t="str">
            <v>Petrol</v>
          </cell>
          <cell r="F741">
            <v>125</v>
          </cell>
        </row>
        <row r="742">
          <cell r="B742" t="str">
            <v>Equipment</v>
          </cell>
          <cell r="C742" t="str">
            <v>Mixture Machine (0.20-0.28 Cum.)</v>
          </cell>
          <cell r="F742">
            <v>772.5</v>
          </cell>
        </row>
        <row r="743">
          <cell r="C743" t="str">
            <v>Vibrator</v>
          </cell>
          <cell r="F743">
            <v>125</v>
          </cell>
        </row>
        <row r="744">
          <cell r="B744" t="str">
            <v>Rate analysis for : 1.00 Cum.</v>
          </cell>
        </row>
        <row r="749">
          <cell r="A749">
            <v>4.1100000000000003</v>
          </cell>
          <cell r="B749" t="str">
            <v>D4(B)</v>
          </cell>
          <cell r="C749" t="str">
            <v>P.C.C. (1:1:2) for R.C.C. work(USED MACHINE) in slab, beam etc (Riverbed)</v>
          </cell>
          <cell r="F749" t="str">
            <v>Cum.</v>
          </cell>
        </row>
        <row r="750">
          <cell r="B750" t="str">
            <v>Resources</v>
          </cell>
          <cell r="C750" t="str">
            <v>Level/Type</v>
          </cell>
          <cell r="F750" t="str">
            <v>Rate</v>
          </cell>
        </row>
        <row r="751">
          <cell r="B751" t="str">
            <v>Labour</v>
          </cell>
          <cell r="C751" t="str">
            <v>Skilled</v>
          </cell>
          <cell r="F751">
            <v>600</v>
          </cell>
        </row>
        <row r="752">
          <cell r="C752" t="str">
            <v>Unskilled</v>
          </cell>
          <cell r="F752">
            <v>350</v>
          </cell>
        </row>
        <row r="753">
          <cell r="B753" t="str">
            <v>Materials</v>
          </cell>
          <cell r="C753" t="str">
            <v>Cement</v>
          </cell>
          <cell r="F753">
            <v>12566</v>
          </cell>
        </row>
        <row r="754">
          <cell r="C754" t="str">
            <v>Aggrigate 20 mm-Riverbed</v>
          </cell>
          <cell r="F754">
            <v>1500</v>
          </cell>
        </row>
        <row r="755">
          <cell r="C755" t="str">
            <v>Aggrigate 10 mm-Riverbed</v>
          </cell>
          <cell r="F755">
            <v>1500</v>
          </cell>
        </row>
        <row r="756">
          <cell r="C756" t="str">
            <v>Sand</v>
          </cell>
          <cell r="F756">
            <v>1200</v>
          </cell>
        </row>
        <row r="757">
          <cell r="C757" t="str">
            <v>Water</v>
          </cell>
          <cell r="F757">
            <v>0.1</v>
          </cell>
        </row>
        <row r="758">
          <cell r="C758" t="str">
            <v>Disel</v>
          </cell>
          <cell r="F758">
            <v>100</v>
          </cell>
        </row>
        <row r="759">
          <cell r="C759" t="str">
            <v>Petrol</v>
          </cell>
          <cell r="F759">
            <v>125</v>
          </cell>
        </row>
        <row r="760">
          <cell r="B760" t="str">
            <v>Equipment</v>
          </cell>
          <cell r="C760" t="str">
            <v>Mixture Machine (0.20-0.28 Cum.)</v>
          </cell>
          <cell r="F760">
            <v>772.5</v>
          </cell>
        </row>
        <row r="761">
          <cell r="C761" t="str">
            <v>Vibrator</v>
          </cell>
          <cell r="F761">
            <v>125</v>
          </cell>
        </row>
        <row r="762">
          <cell r="B762" t="str">
            <v>Rate analysis for : 1.00 Cum.</v>
          </cell>
        </row>
        <row r="767">
          <cell r="A767">
            <v>4.12</v>
          </cell>
          <cell r="B767" t="str">
            <v>D(5)</v>
          </cell>
          <cell r="C767" t="str">
            <v>P.C.C. (1:1:2) for R.C.C. work in slab (Riverbed) with micro  silica &amp; super plasticiser</v>
          </cell>
          <cell r="F767" t="str">
            <v>Cum.</v>
          </cell>
        </row>
        <row r="768">
          <cell r="B768" t="str">
            <v>Resources</v>
          </cell>
          <cell r="C768" t="str">
            <v>Level/Type</v>
          </cell>
          <cell r="F768" t="str">
            <v>Rate</v>
          </cell>
        </row>
        <row r="769">
          <cell r="B769" t="str">
            <v>Labour</v>
          </cell>
          <cell r="C769" t="str">
            <v>Skilled</v>
          </cell>
          <cell r="F769">
            <v>600</v>
          </cell>
        </row>
        <row r="770">
          <cell r="C770" t="str">
            <v>Unskilled</v>
          </cell>
          <cell r="F770">
            <v>350</v>
          </cell>
        </row>
        <row r="771">
          <cell r="B771" t="str">
            <v>Materials</v>
          </cell>
          <cell r="C771" t="str">
            <v>Cement</v>
          </cell>
          <cell r="F771">
            <v>12566</v>
          </cell>
        </row>
        <row r="772">
          <cell r="C772" t="str">
            <v>Aggrigate 20 mm-Riverbed</v>
          </cell>
          <cell r="F772">
            <v>1500</v>
          </cell>
        </row>
        <row r="773">
          <cell r="C773" t="str">
            <v>Sand</v>
          </cell>
          <cell r="F773">
            <v>1200</v>
          </cell>
        </row>
        <row r="774">
          <cell r="C774" t="str">
            <v>Super plasticiser</v>
          </cell>
          <cell r="F774">
            <v>257.5</v>
          </cell>
        </row>
        <row r="775">
          <cell r="C775" t="str">
            <v xml:space="preserve">Micro silica </v>
          </cell>
          <cell r="F775">
            <v>297.67</v>
          </cell>
        </row>
        <row r="776">
          <cell r="C776" t="str">
            <v>Water</v>
          </cell>
          <cell r="F776">
            <v>0.1</v>
          </cell>
        </row>
        <row r="777">
          <cell r="C777" t="str">
            <v>Disel</v>
          </cell>
          <cell r="F777">
            <v>100</v>
          </cell>
        </row>
        <row r="778">
          <cell r="C778" t="str">
            <v>Petrol</v>
          </cell>
          <cell r="F778">
            <v>125</v>
          </cell>
        </row>
        <row r="779">
          <cell r="C779" t="str">
            <v>Mixture Machine (0.20-0.28 Cum.)</v>
          </cell>
          <cell r="F779">
            <v>772.5</v>
          </cell>
        </row>
        <row r="780">
          <cell r="C780" t="str">
            <v>Vibrator</v>
          </cell>
          <cell r="F780">
            <v>125</v>
          </cell>
        </row>
        <row r="781">
          <cell r="B781" t="str">
            <v>Rate analysis for : 1.00 Cum.</v>
          </cell>
        </row>
        <row r="790">
          <cell r="A790">
            <v>4.13</v>
          </cell>
          <cell r="B790" t="str">
            <v>D1(7-2B)</v>
          </cell>
          <cell r="C790" t="str">
            <v>P.C.C. (1:4:8) work in foundation, wall (crushed or stone ballast)</v>
          </cell>
          <cell r="F790" t="str">
            <v>Cum.</v>
          </cell>
        </row>
        <row r="791">
          <cell r="B791" t="str">
            <v>Resources</v>
          </cell>
          <cell r="C791" t="str">
            <v>Level/Type</v>
          </cell>
          <cell r="F791" t="str">
            <v>Rate</v>
          </cell>
        </row>
        <row r="792">
          <cell r="B792" t="str">
            <v>Labour</v>
          </cell>
          <cell r="C792" t="str">
            <v>Skilled</v>
          </cell>
          <cell r="F792">
            <v>600</v>
          </cell>
        </row>
        <row r="793">
          <cell r="C793" t="str">
            <v>Unskilled</v>
          </cell>
          <cell r="F793">
            <v>350</v>
          </cell>
        </row>
        <row r="794">
          <cell r="B794" t="str">
            <v>Materials</v>
          </cell>
          <cell r="C794" t="str">
            <v>Cement</v>
          </cell>
          <cell r="F794">
            <v>12566</v>
          </cell>
        </row>
        <row r="795">
          <cell r="C795" t="str">
            <v>Aggrigate 40 mm-crushed/ballast  stone</v>
          </cell>
          <cell r="F795">
            <v>2000</v>
          </cell>
        </row>
        <row r="796">
          <cell r="C796" t="str">
            <v>Aggrigate 20 mm-crushed/ballast  stone</v>
          </cell>
          <cell r="F796">
            <v>2000</v>
          </cell>
        </row>
        <row r="797">
          <cell r="C797" t="str">
            <v>Sand</v>
          </cell>
          <cell r="F797">
            <v>1200</v>
          </cell>
        </row>
        <row r="798">
          <cell r="C798" t="str">
            <v>Water</v>
          </cell>
          <cell r="F798">
            <v>0.1</v>
          </cell>
        </row>
        <row r="799">
          <cell r="B799" t="str">
            <v>Rate analysis for : 1.00 Cum.</v>
          </cell>
        </row>
        <row r="804">
          <cell r="A804">
            <v>4.1399999999999997</v>
          </cell>
          <cell r="B804" t="str">
            <v>D1(7-2C)</v>
          </cell>
          <cell r="C804" t="str">
            <v>P.C.C. (1:3:6) work in foundation, wall (crushed or stone ballast)</v>
          </cell>
          <cell r="F804" t="str">
            <v>Cum.</v>
          </cell>
        </row>
        <row r="805">
          <cell r="B805" t="str">
            <v>Resources</v>
          </cell>
          <cell r="C805" t="str">
            <v>Level/Type</v>
          </cell>
          <cell r="F805" t="str">
            <v>Rate</v>
          </cell>
        </row>
        <row r="806">
          <cell r="B806" t="str">
            <v>Labour</v>
          </cell>
          <cell r="C806" t="str">
            <v>Skilled</v>
          </cell>
          <cell r="F806">
            <v>600</v>
          </cell>
        </row>
        <row r="807">
          <cell r="C807" t="str">
            <v>Unskilled</v>
          </cell>
          <cell r="F807">
            <v>350</v>
          </cell>
        </row>
        <row r="808">
          <cell r="B808" t="str">
            <v>Materials</v>
          </cell>
          <cell r="C808" t="str">
            <v>Cement</v>
          </cell>
          <cell r="F808">
            <v>12566</v>
          </cell>
        </row>
        <row r="809">
          <cell r="C809" t="str">
            <v>Aggrigate 40 mm-crushed/ballast  stone</v>
          </cell>
          <cell r="F809">
            <v>2000</v>
          </cell>
        </row>
        <row r="810">
          <cell r="C810" t="str">
            <v>Aggrigate 20 mm-crushed/ballast  stone</v>
          </cell>
          <cell r="F810">
            <v>2000</v>
          </cell>
        </row>
        <row r="811">
          <cell r="C811" t="str">
            <v>Sand</v>
          </cell>
          <cell r="F811">
            <v>1200</v>
          </cell>
        </row>
        <row r="812">
          <cell r="C812" t="str">
            <v>Water</v>
          </cell>
          <cell r="F812">
            <v>0.1</v>
          </cell>
        </row>
        <row r="813">
          <cell r="B813" t="str">
            <v>Rate analysis for : 1.00 Cum.</v>
          </cell>
        </row>
        <row r="818">
          <cell r="A818">
            <v>4.1500000000000004</v>
          </cell>
          <cell r="B818" t="str">
            <v>D1(7-2D)</v>
          </cell>
          <cell r="C818" t="str">
            <v>P.C.C. (1:2:4) work in foundation, wall (crushed or stone ballast)</v>
          </cell>
          <cell r="F818" t="str">
            <v>Cum.</v>
          </cell>
        </row>
        <row r="819">
          <cell r="B819" t="str">
            <v>Resources</v>
          </cell>
          <cell r="C819" t="str">
            <v>Level/Type</v>
          </cell>
          <cell r="F819" t="str">
            <v>Rate</v>
          </cell>
        </row>
        <row r="820">
          <cell r="B820" t="str">
            <v>Labour</v>
          </cell>
          <cell r="C820" t="str">
            <v>Skilled</v>
          </cell>
          <cell r="F820">
            <v>600</v>
          </cell>
        </row>
        <row r="821">
          <cell r="C821" t="str">
            <v>Unskilled</v>
          </cell>
          <cell r="F821">
            <v>350</v>
          </cell>
        </row>
        <row r="822">
          <cell r="B822" t="str">
            <v>Materials</v>
          </cell>
          <cell r="C822" t="str">
            <v>Cement</v>
          </cell>
          <cell r="F822">
            <v>12566</v>
          </cell>
        </row>
        <row r="823">
          <cell r="C823" t="str">
            <v>Aggrigate 40 mm-crushed/ballast  stone</v>
          </cell>
          <cell r="F823">
            <v>2000</v>
          </cell>
        </row>
        <row r="824">
          <cell r="C824" t="str">
            <v>Aggrigate 20 mm-crushed/ballast  stone</v>
          </cell>
          <cell r="F824">
            <v>2000</v>
          </cell>
        </row>
        <row r="825">
          <cell r="C825" t="str">
            <v>Aggrigate 10 mm-crushed/ballast  stone</v>
          </cell>
          <cell r="F825">
            <v>2000</v>
          </cell>
        </row>
        <row r="826">
          <cell r="C826" t="str">
            <v>Sand</v>
          </cell>
          <cell r="F826">
            <v>1200</v>
          </cell>
        </row>
        <row r="827">
          <cell r="C827" t="str">
            <v>Water</v>
          </cell>
          <cell r="F827">
            <v>0.1</v>
          </cell>
        </row>
        <row r="828">
          <cell r="B828" t="str">
            <v>Rate analysis for : 1.00 Cum.</v>
          </cell>
        </row>
        <row r="833">
          <cell r="A833">
            <v>4.16</v>
          </cell>
          <cell r="B833" t="str">
            <v>D2(7-4A)</v>
          </cell>
          <cell r="C833" t="str">
            <v>P.C.C. (1:2:4) for R.C.C. work in slab, beam etc (crushed or stone ballast)</v>
          </cell>
          <cell r="F833" t="str">
            <v>Cum.</v>
          </cell>
        </row>
        <row r="834">
          <cell r="B834" t="str">
            <v>Resources</v>
          </cell>
          <cell r="C834" t="str">
            <v>Level/Type</v>
          </cell>
          <cell r="F834" t="str">
            <v>Rate</v>
          </cell>
        </row>
        <row r="835">
          <cell r="B835" t="str">
            <v>Labour</v>
          </cell>
          <cell r="C835" t="str">
            <v>Skilled</v>
          </cell>
          <cell r="F835">
            <v>600</v>
          </cell>
        </row>
        <row r="836">
          <cell r="C836" t="str">
            <v>Unskilled</v>
          </cell>
          <cell r="F836">
            <v>350</v>
          </cell>
        </row>
        <row r="837">
          <cell r="B837" t="str">
            <v>Materials</v>
          </cell>
          <cell r="C837" t="str">
            <v>Cement</v>
          </cell>
          <cell r="F837">
            <v>12566</v>
          </cell>
        </row>
        <row r="838">
          <cell r="C838" t="str">
            <v>Aggrigate 40 mm-crushed/ballast  stone</v>
          </cell>
          <cell r="F838">
            <v>2000</v>
          </cell>
        </row>
        <row r="839">
          <cell r="C839" t="str">
            <v>Aggrigate 20 mmcrushed/ballast  stone</v>
          </cell>
          <cell r="F839">
            <v>2000</v>
          </cell>
        </row>
        <row r="840">
          <cell r="C840" t="str">
            <v>Aggrigate 10 mm-crushed/ballast  stone</v>
          </cell>
          <cell r="F840">
            <v>2000</v>
          </cell>
        </row>
        <row r="841">
          <cell r="C841" t="str">
            <v>Sand</v>
          </cell>
          <cell r="F841">
            <v>1200</v>
          </cell>
        </row>
        <row r="842">
          <cell r="C842" t="str">
            <v>Water</v>
          </cell>
          <cell r="F842">
            <v>0.1</v>
          </cell>
        </row>
        <row r="843">
          <cell r="B843" t="str">
            <v>Rate analysis for : 1.00 Cum.</v>
          </cell>
        </row>
        <row r="849">
          <cell r="A849">
            <v>4.17</v>
          </cell>
          <cell r="B849" t="str">
            <v>D2(7-4B)</v>
          </cell>
          <cell r="C849" t="str">
            <v>P.C.C. (1:1½:3) for R.C.C. work in slab, beam etc (crushed or stone ballast)</v>
          </cell>
          <cell r="F849" t="str">
            <v>Cum.</v>
          </cell>
        </row>
        <row r="850">
          <cell r="B850" t="str">
            <v>Resources</v>
          </cell>
          <cell r="C850" t="str">
            <v>Level/Type</v>
          </cell>
          <cell r="F850" t="str">
            <v>Rate</v>
          </cell>
        </row>
        <row r="851">
          <cell r="B851" t="str">
            <v>Labour</v>
          </cell>
          <cell r="C851" t="str">
            <v>Skilled</v>
          </cell>
          <cell r="F851">
            <v>600</v>
          </cell>
        </row>
        <row r="852">
          <cell r="C852" t="str">
            <v>Unskilled</v>
          </cell>
          <cell r="F852">
            <v>350</v>
          </cell>
        </row>
        <row r="853">
          <cell r="B853" t="str">
            <v>Materials</v>
          </cell>
          <cell r="C853" t="str">
            <v>Cement</v>
          </cell>
          <cell r="F853">
            <v>12566</v>
          </cell>
        </row>
        <row r="854">
          <cell r="C854" t="str">
            <v>Aggrigate 20 mm-crushed/ballast  stone</v>
          </cell>
          <cell r="F854">
            <v>2000</v>
          </cell>
        </row>
        <row r="855">
          <cell r="C855" t="str">
            <v>Aggrigate 10 mm-crushed/ballast  stone</v>
          </cell>
          <cell r="F855">
            <v>2000</v>
          </cell>
        </row>
        <row r="856">
          <cell r="C856" t="str">
            <v>Sand</v>
          </cell>
          <cell r="F856">
            <v>1200</v>
          </cell>
        </row>
        <row r="857">
          <cell r="C857" t="str">
            <v>Water</v>
          </cell>
          <cell r="F857">
            <v>0.1</v>
          </cell>
        </row>
        <row r="858">
          <cell r="B858" t="str">
            <v>Rate analysis for : 1.00 Cum.</v>
          </cell>
        </row>
        <row r="863">
          <cell r="A863">
            <v>4.18</v>
          </cell>
          <cell r="B863" t="str">
            <v>D2(7-4C)</v>
          </cell>
          <cell r="C863" t="str">
            <v>P.C.C. (1:1:2) for R.C.C. work in slab, beam etc (crushed or stone ballast)</v>
          </cell>
          <cell r="F863" t="str">
            <v>Cum.</v>
          </cell>
        </row>
        <row r="864">
          <cell r="B864" t="str">
            <v>Resources</v>
          </cell>
          <cell r="C864" t="str">
            <v>Level/Type</v>
          </cell>
          <cell r="F864" t="str">
            <v>Rate</v>
          </cell>
        </row>
        <row r="865">
          <cell r="B865" t="str">
            <v>Labour</v>
          </cell>
          <cell r="C865" t="str">
            <v>Skilled</v>
          </cell>
          <cell r="F865">
            <v>600</v>
          </cell>
        </row>
        <row r="866">
          <cell r="C866" t="str">
            <v>Unskilled</v>
          </cell>
          <cell r="F866">
            <v>350</v>
          </cell>
        </row>
        <row r="867">
          <cell r="B867" t="str">
            <v>Materials</v>
          </cell>
          <cell r="C867" t="str">
            <v>Cement</v>
          </cell>
          <cell r="F867">
            <v>12566</v>
          </cell>
        </row>
        <row r="868">
          <cell r="C868" t="str">
            <v>Aggrigate 20 mm-crushed/ballast  stone</v>
          </cell>
          <cell r="F868">
            <v>2000</v>
          </cell>
        </row>
        <row r="869">
          <cell r="C869" t="str">
            <v>Aggrigate 10 mm-crushed/ballast  stone</v>
          </cell>
          <cell r="F869">
            <v>2000</v>
          </cell>
        </row>
        <row r="870">
          <cell r="C870" t="str">
            <v>Sand</v>
          </cell>
          <cell r="F870">
            <v>1200</v>
          </cell>
        </row>
        <row r="871">
          <cell r="C871" t="str">
            <v>Water</v>
          </cell>
          <cell r="F871">
            <v>0.1</v>
          </cell>
        </row>
        <row r="872">
          <cell r="B872" t="str">
            <v>Rate analysis for : 1.00 Cum.</v>
          </cell>
        </row>
        <row r="877">
          <cell r="A877">
            <v>4.1900000000000004</v>
          </cell>
          <cell r="B877" t="str">
            <v>D3(A)</v>
          </cell>
          <cell r="C877" t="str">
            <v>P.C.C. (1:3:6) work (USED MACHINE) in foundation, wall (crushed or stone ballast)</v>
          </cell>
          <cell r="F877" t="str">
            <v>Cum.</v>
          </cell>
        </row>
        <row r="878">
          <cell r="B878" t="str">
            <v>Resources</v>
          </cell>
          <cell r="C878" t="str">
            <v>Level/Type</v>
          </cell>
          <cell r="F878" t="str">
            <v>Rate</v>
          </cell>
        </row>
        <row r="879">
          <cell r="B879" t="str">
            <v>Labour</v>
          </cell>
          <cell r="C879" t="str">
            <v>Skilled</v>
          </cell>
          <cell r="F879">
            <v>600</v>
          </cell>
        </row>
        <row r="880">
          <cell r="C880" t="str">
            <v>Unskilled</v>
          </cell>
          <cell r="F880">
            <v>350</v>
          </cell>
        </row>
        <row r="881">
          <cell r="B881" t="str">
            <v>Materials</v>
          </cell>
          <cell r="C881" t="str">
            <v>Cement</v>
          </cell>
          <cell r="F881">
            <v>12566</v>
          </cell>
        </row>
        <row r="882">
          <cell r="C882" t="str">
            <v>Aggrigate 40 mm-crushed/ballast  stone</v>
          </cell>
          <cell r="F882">
            <v>2000</v>
          </cell>
        </row>
        <row r="883">
          <cell r="C883" t="str">
            <v>Aggrigate 20 mm-crushed/ballast  stone</v>
          </cell>
          <cell r="F883">
            <v>2000</v>
          </cell>
        </row>
        <row r="884">
          <cell r="C884" t="str">
            <v>Sand</v>
          </cell>
          <cell r="F884">
            <v>1200</v>
          </cell>
        </row>
        <row r="885">
          <cell r="C885" t="str">
            <v>Water</v>
          </cell>
          <cell r="F885">
            <v>0.1</v>
          </cell>
        </row>
        <row r="886">
          <cell r="C886" t="str">
            <v>Disel</v>
          </cell>
          <cell r="F886">
            <v>100</v>
          </cell>
        </row>
        <row r="887">
          <cell r="C887" t="str">
            <v>Petrol</v>
          </cell>
          <cell r="F887">
            <v>125</v>
          </cell>
        </row>
        <row r="888">
          <cell r="B888" t="str">
            <v>Equipment</v>
          </cell>
          <cell r="C888" t="str">
            <v>Mixture Machine (0.20-0.28 Cum.)</v>
          </cell>
          <cell r="F888">
            <v>772.5</v>
          </cell>
        </row>
        <row r="889">
          <cell r="C889" t="str">
            <v>Vibrator</v>
          </cell>
          <cell r="F889">
            <v>125</v>
          </cell>
        </row>
        <row r="890">
          <cell r="B890" t="str">
            <v>Rate analysis for : 1.00 Cum.</v>
          </cell>
        </row>
        <row r="908">
          <cell r="A908">
            <v>4.2</v>
          </cell>
          <cell r="B908" t="str">
            <v>D3(B)</v>
          </cell>
          <cell r="C908" t="str">
            <v>P.C.C. (1:2:4) work (USED MACHINE) in foundation, wall (crushed or stone ballast)</v>
          </cell>
          <cell r="F908" t="str">
            <v>Cum.</v>
          </cell>
        </row>
        <row r="909">
          <cell r="B909" t="str">
            <v>Resources</v>
          </cell>
          <cell r="C909" t="str">
            <v>Level/Type</v>
          </cell>
          <cell r="F909" t="str">
            <v>Rate</v>
          </cell>
        </row>
        <row r="910">
          <cell r="B910" t="str">
            <v>Labour</v>
          </cell>
          <cell r="C910" t="str">
            <v>Skilled</v>
          </cell>
          <cell r="F910">
            <v>600</v>
          </cell>
        </row>
        <row r="911">
          <cell r="C911" t="str">
            <v>Unskilled</v>
          </cell>
          <cell r="F911">
            <v>350</v>
          </cell>
        </row>
        <row r="912">
          <cell r="B912" t="str">
            <v>Materials</v>
          </cell>
          <cell r="C912" t="str">
            <v>Cement</v>
          </cell>
          <cell r="F912">
            <v>12566</v>
          </cell>
        </row>
        <row r="913">
          <cell r="C913" t="str">
            <v>Aggrigate 40 mm-crushed/ballast  stone</v>
          </cell>
          <cell r="F913">
            <v>2000</v>
          </cell>
        </row>
        <row r="914">
          <cell r="C914" t="str">
            <v>Aggrigate 20 mm-crushed/ballast  stone</v>
          </cell>
          <cell r="F914">
            <v>2000</v>
          </cell>
        </row>
        <row r="915">
          <cell r="C915" t="str">
            <v>Sand</v>
          </cell>
          <cell r="F915">
            <v>1200</v>
          </cell>
        </row>
        <row r="916">
          <cell r="C916" t="str">
            <v>Water</v>
          </cell>
          <cell r="F916">
            <v>0.1</v>
          </cell>
        </row>
        <row r="917">
          <cell r="C917" t="str">
            <v>Disel</v>
          </cell>
          <cell r="F917">
            <v>100</v>
          </cell>
        </row>
        <row r="918">
          <cell r="C918" t="str">
            <v>Petrol</v>
          </cell>
          <cell r="F918">
            <v>125</v>
          </cell>
        </row>
        <row r="919">
          <cell r="B919" t="str">
            <v>Equipment</v>
          </cell>
          <cell r="C919" t="str">
            <v>Mixture Machine (0.20-0.28 Cum.)</v>
          </cell>
          <cell r="F919">
            <v>772.5</v>
          </cell>
        </row>
        <row r="920">
          <cell r="C920" t="str">
            <v>Vibrator</v>
          </cell>
          <cell r="F920">
            <v>125</v>
          </cell>
        </row>
        <row r="921">
          <cell r="B921" t="str">
            <v>Rate analysis for : 1.00 Cum.</v>
          </cell>
        </row>
        <row r="928">
          <cell r="A928">
            <v>4.21</v>
          </cell>
          <cell r="B928" t="str">
            <v>D3(B)</v>
          </cell>
          <cell r="C928" t="str">
            <v>P.C.C. (1:2:4) work (USED MACHINE) in slab beam etc (crushed or stone ballast)</v>
          </cell>
          <cell r="F928" t="str">
            <v>Cum.</v>
          </cell>
        </row>
        <row r="929">
          <cell r="B929" t="str">
            <v>Resources</v>
          </cell>
          <cell r="C929" t="str">
            <v>Level/Type</v>
          </cell>
          <cell r="F929" t="str">
            <v>Rate</v>
          </cell>
        </row>
        <row r="930">
          <cell r="B930" t="str">
            <v>Labour</v>
          </cell>
          <cell r="C930" t="str">
            <v>Skilled</v>
          </cell>
          <cell r="F930">
            <v>600</v>
          </cell>
        </row>
        <row r="931">
          <cell r="C931" t="str">
            <v>Unskilled</v>
          </cell>
          <cell r="F931">
            <v>350</v>
          </cell>
        </row>
        <row r="932">
          <cell r="B932" t="str">
            <v>Materials</v>
          </cell>
          <cell r="C932" t="str">
            <v>Cement</v>
          </cell>
          <cell r="F932">
            <v>12566</v>
          </cell>
        </row>
        <row r="933">
          <cell r="C933" t="str">
            <v>Aggrigate 40 mm-crushed/ballast  stone</v>
          </cell>
          <cell r="F933">
            <v>2000</v>
          </cell>
        </row>
        <row r="934">
          <cell r="C934" t="str">
            <v>Aggrigate 20 mm-crushed/ballast  stone</v>
          </cell>
          <cell r="F934">
            <v>2000</v>
          </cell>
        </row>
        <row r="935">
          <cell r="C935" t="str">
            <v>Aggrigate 20 mm-crushed/ballast  stone</v>
          </cell>
          <cell r="F935">
            <v>2000</v>
          </cell>
        </row>
        <row r="936">
          <cell r="C936" t="str">
            <v>Sand</v>
          </cell>
          <cell r="F936">
            <v>1200</v>
          </cell>
        </row>
        <row r="937">
          <cell r="C937" t="str">
            <v>Water</v>
          </cell>
          <cell r="F937">
            <v>0.1</v>
          </cell>
        </row>
        <row r="938">
          <cell r="C938" t="str">
            <v>Disel</v>
          </cell>
          <cell r="F938">
            <v>100</v>
          </cell>
        </row>
        <row r="939">
          <cell r="C939" t="str">
            <v>Petrol</v>
          </cell>
          <cell r="F939">
            <v>125</v>
          </cell>
        </row>
        <row r="940">
          <cell r="B940" t="str">
            <v>Equipment</v>
          </cell>
          <cell r="C940" t="str">
            <v>Mixture Machine (0.20-0.28 Cum.)</v>
          </cell>
          <cell r="F940">
            <v>772.5</v>
          </cell>
        </row>
        <row r="941">
          <cell r="C941" t="str">
            <v>Vibrator</v>
          </cell>
          <cell r="F941">
            <v>125</v>
          </cell>
        </row>
        <row r="942">
          <cell r="B942" t="str">
            <v>Rate analysis for : 1.00 Cum.</v>
          </cell>
        </row>
        <row r="947">
          <cell r="A947">
            <v>4.22</v>
          </cell>
          <cell r="B947" t="str">
            <v>D4(A)</v>
          </cell>
          <cell r="C947" t="str">
            <v>P.C.C. (1:1½:3) for R.C.C. work(USED MACHINE) in slab, beam etc (crushed or stone ballast)</v>
          </cell>
          <cell r="F947" t="str">
            <v>Cum.</v>
          </cell>
        </row>
        <row r="948">
          <cell r="B948" t="str">
            <v>Resources</v>
          </cell>
          <cell r="C948" t="str">
            <v>Level/Type</v>
          </cell>
          <cell r="F948" t="str">
            <v>Rate</v>
          </cell>
        </row>
        <row r="949">
          <cell r="B949" t="str">
            <v>Labour</v>
          </cell>
          <cell r="C949" t="str">
            <v>Skilled</v>
          </cell>
          <cell r="F949">
            <v>600</v>
          </cell>
        </row>
        <row r="950">
          <cell r="C950" t="str">
            <v>Unskilled</v>
          </cell>
          <cell r="F950">
            <v>350</v>
          </cell>
        </row>
        <row r="951">
          <cell r="B951" t="str">
            <v>Materials</v>
          </cell>
          <cell r="C951" t="str">
            <v>Cement</v>
          </cell>
          <cell r="F951">
            <v>12566</v>
          </cell>
        </row>
        <row r="952">
          <cell r="C952" t="str">
            <v>Aggrigate 20 mm-crushed/ballast  stone</v>
          </cell>
          <cell r="F952">
            <v>2000</v>
          </cell>
        </row>
        <row r="953">
          <cell r="C953" t="str">
            <v>Aggrigate 10 mm-crushed/ballast  stone</v>
          </cell>
          <cell r="F953">
            <v>2000</v>
          </cell>
        </row>
        <row r="954">
          <cell r="C954" t="str">
            <v>Sand</v>
          </cell>
          <cell r="F954">
            <v>1200</v>
          </cell>
        </row>
        <row r="955">
          <cell r="C955" t="str">
            <v>Water</v>
          </cell>
          <cell r="F955">
            <v>0.1</v>
          </cell>
        </row>
        <row r="956">
          <cell r="C956" t="str">
            <v>Disel</v>
          </cell>
          <cell r="F956">
            <v>100</v>
          </cell>
        </row>
        <row r="957">
          <cell r="C957" t="str">
            <v>Petrol</v>
          </cell>
          <cell r="F957">
            <v>125</v>
          </cell>
        </row>
        <row r="958">
          <cell r="B958" t="str">
            <v>Equipment</v>
          </cell>
          <cell r="C958" t="str">
            <v>Mixture Machine (0.20-0.28 Cum.)</v>
          </cell>
          <cell r="F958">
            <v>772.5</v>
          </cell>
        </row>
        <row r="959">
          <cell r="C959" t="str">
            <v>Vibrator</v>
          </cell>
          <cell r="F959">
            <v>125</v>
          </cell>
        </row>
        <row r="960">
          <cell r="B960" t="str">
            <v>Rate analysis for : 1.00 Cum.</v>
          </cell>
        </row>
        <row r="968">
          <cell r="A968">
            <v>4.2300000000000004</v>
          </cell>
          <cell r="B968" t="str">
            <v>D4(B)</v>
          </cell>
          <cell r="C968" t="str">
            <v>P.C.C. (1:1:2) for R.C.C. work(USED MACHINE) in slab, beam etc (crushed or stone ballast)</v>
          </cell>
          <cell r="F968" t="str">
            <v>Cum.</v>
          </cell>
        </row>
        <row r="969">
          <cell r="B969" t="str">
            <v>Resources</v>
          </cell>
          <cell r="C969" t="str">
            <v>Level/Type</v>
          </cell>
          <cell r="F969" t="str">
            <v>Rate</v>
          </cell>
        </row>
        <row r="970">
          <cell r="B970" t="str">
            <v>Labour</v>
          </cell>
          <cell r="C970" t="str">
            <v>Skilled</v>
          </cell>
          <cell r="F970">
            <v>600</v>
          </cell>
        </row>
        <row r="971">
          <cell r="C971" t="str">
            <v>Unskilled</v>
          </cell>
          <cell r="F971">
            <v>350</v>
          </cell>
        </row>
        <row r="972">
          <cell r="B972" t="str">
            <v>Materials</v>
          </cell>
          <cell r="C972" t="str">
            <v>Cement</v>
          </cell>
          <cell r="F972">
            <v>12566</v>
          </cell>
        </row>
        <row r="973">
          <cell r="C973" t="str">
            <v>Aggrigate 20 mm-crushed/ballast  stone</v>
          </cell>
          <cell r="F973">
            <v>2000</v>
          </cell>
        </row>
        <row r="974">
          <cell r="C974" t="str">
            <v>Aggrigate 10 mm-crushed/ballast  stone</v>
          </cell>
          <cell r="F974">
            <v>2000</v>
          </cell>
        </row>
        <row r="975">
          <cell r="C975" t="str">
            <v>Sand</v>
          </cell>
          <cell r="F975">
            <v>1200</v>
          </cell>
        </row>
        <row r="976">
          <cell r="C976" t="str">
            <v>Water</v>
          </cell>
          <cell r="F976">
            <v>0.1</v>
          </cell>
        </row>
        <row r="977">
          <cell r="C977" t="str">
            <v>Disel</v>
          </cell>
          <cell r="F977">
            <v>100</v>
          </cell>
        </row>
        <row r="978">
          <cell r="C978" t="str">
            <v>Petrol</v>
          </cell>
          <cell r="F978">
            <v>125</v>
          </cell>
        </row>
        <row r="979">
          <cell r="B979" t="str">
            <v>Equipment</v>
          </cell>
          <cell r="C979" t="str">
            <v>Mixture Machine (0.20-0.28 Cum.)</v>
          </cell>
          <cell r="F979">
            <v>772.5</v>
          </cell>
        </row>
        <row r="980">
          <cell r="C980" t="str">
            <v>Vibrator</v>
          </cell>
          <cell r="F980">
            <v>125</v>
          </cell>
        </row>
        <row r="981">
          <cell r="B981" t="str">
            <v>Rate analysis for : 1.00 Cum.</v>
          </cell>
        </row>
        <row r="986">
          <cell r="A986">
            <v>4.24</v>
          </cell>
          <cell r="B986" t="str">
            <v>D(5)</v>
          </cell>
          <cell r="C986" t="str">
            <v>P.C.C. (1:1:2) for R.C.C. work in slab (crushed or stone ballast) with micro  silica &amp; super plasticiser</v>
          </cell>
          <cell r="F986" t="str">
            <v>Cum.</v>
          </cell>
        </row>
        <row r="987">
          <cell r="B987" t="str">
            <v>Resources</v>
          </cell>
          <cell r="C987" t="str">
            <v>Level/Type</v>
          </cell>
          <cell r="F987" t="str">
            <v>Rate</v>
          </cell>
        </row>
        <row r="988">
          <cell r="B988" t="str">
            <v>Labour</v>
          </cell>
          <cell r="C988" t="str">
            <v>Skilled</v>
          </cell>
          <cell r="F988">
            <v>600</v>
          </cell>
        </row>
        <row r="989">
          <cell r="C989" t="str">
            <v>Unskilled</v>
          </cell>
          <cell r="F989">
            <v>350</v>
          </cell>
        </row>
        <row r="990">
          <cell r="B990" t="str">
            <v>Materials</v>
          </cell>
          <cell r="C990" t="str">
            <v>Cement</v>
          </cell>
          <cell r="F990">
            <v>12566</v>
          </cell>
        </row>
        <row r="991">
          <cell r="C991" t="str">
            <v>Aggrigate 20 mm-crushed/ballast  stone</v>
          </cell>
          <cell r="F991">
            <v>2000</v>
          </cell>
        </row>
        <row r="992">
          <cell r="C992" t="str">
            <v>Sand</v>
          </cell>
          <cell r="F992">
            <v>1200</v>
          </cell>
        </row>
        <row r="993">
          <cell r="C993" t="str">
            <v>Super plasticiser</v>
          </cell>
          <cell r="F993">
            <v>257.5</v>
          </cell>
        </row>
        <row r="994">
          <cell r="C994" t="str">
            <v xml:space="preserve">Micro silica </v>
          </cell>
          <cell r="F994">
            <v>297.67</v>
          </cell>
        </row>
        <row r="995">
          <cell r="C995" t="str">
            <v>Water</v>
          </cell>
          <cell r="F995">
            <v>0.1</v>
          </cell>
        </row>
        <row r="996">
          <cell r="C996" t="str">
            <v>Disel</v>
          </cell>
          <cell r="F996">
            <v>100</v>
          </cell>
        </row>
        <row r="997">
          <cell r="C997" t="str">
            <v>Petrol</v>
          </cell>
          <cell r="F997">
            <v>125</v>
          </cell>
        </row>
        <row r="998">
          <cell r="C998" t="str">
            <v>Mixture Machine (0.20-0.28 Cum.)</v>
          </cell>
          <cell r="F998">
            <v>772.5</v>
          </cell>
        </row>
        <row r="999">
          <cell r="C999" t="str">
            <v>Vibrator</v>
          </cell>
          <cell r="F999">
            <v>125</v>
          </cell>
        </row>
        <row r="1000">
          <cell r="B1000" t="str">
            <v>Rate analysis for : 1.00 Cum.</v>
          </cell>
        </row>
        <row r="1005">
          <cell r="A1005">
            <v>4.25</v>
          </cell>
          <cell r="B1005" t="str">
            <v>D9(7-5)</v>
          </cell>
          <cell r="C1005" t="str">
            <v>Torsteel reinforcement bar for R.C.C. work with cutting, bending, binding &amp; laying with all complete.</v>
          </cell>
          <cell r="F1005" t="str">
            <v>Kg.</v>
          </cell>
        </row>
        <row r="1006">
          <cell r="B1006" t="str">
            <v>Resources</v>
          </cell>
          <cell r="C1006" t="str">
            <v>Level/Type</v>
          </cell>
          <cell r="F1006" t="str">
            <v>Rate</v>
          </cell>
        </row>
        <row r="1007">
          <cell r="B1007" t="str">
            <v>Labour</v>
          </cell>
          <cell r="C1007" t="str">
            <v>Skilled</v>
          </cell>
          <cell r="F1007">
            <v>600</v>
          </cell>
        </row>
        <row r="1008">
          <cell r="C1008" t="str">
            <v>Unskilled</v>
          </cell>
          <cell r="F1008">
            <v>350</v>
          </cell>
        </row>
        <row r="1009">
          <cell r="B1009" t="str">
            <v>Materials</v>
          </cell>
          <cell r="C1009" t="str">
            <v xml:space="preserve">TOR/TMT reinforcement bar </v>
          </cell>
          <cell r="F1009">
            <v>83945</v>
          </cell>
        </row>
        <row r="1010">
          <cell r="C1010" t="str">
            <v xml:space="preserve">Binding wire </v>
          </cell>
          <cell r="F1010">
            <v>123.6</v>
          </cell>
        </row>
        <row r="1011">
          <cell r="B1011" t="str">
            <v>Rate analysis for : 1.00 MT</v>
          </cell>
        </row>
        <row r="1028">
          <cell r="A1028" t="str">
            <v xml:space="preserve">E - FORM &amp; PROPS WORK </v>
          </cell>
        </row>
        <row r="1030">
          <cell r="A1030">
            <v>5.01</v>
          </cell>
          <cell r="B1030" t="str">
            <v>E1(8-3A)</v>
          </cell>
          <cell r="C1030" t="str">
            <v>Form work shuttering &amp; centering (COLUMN) with (USED LOCAL WOOD) all complete.</v>
          </cell>
          <cell r="F1030" t="str">
            <v>Sqm.</v>
          </cell>
        </row>
        <row r="1031">
          <cell r="B1031" t="str">
            <v>Resources</v>
          </cell>
          <cell r="C1031" t="str">
            <v>Level/Type</v>
          </cell>
          <cell r="F1031" t="str">
            <v>Rate</v>
          </cell>
        </row>
        <row r="1032">
          <cell r="B1032" t="str">
            <v>Labour</v>
          </cell>
          <cell r="C1032" t="str">
            <v>Skilled</v>
          </cell>
          <cell r="F1032">
            <v>600</v>
          </cell>
        </row>
        <row r="1033">
          <cell r="C1033" t="str">
            <v>Unskilled</v>
          </cell>
          <cell r="F1033">
            <v>350</v>
          </cell>
        </row>
        <row r="1034">
          <cell r="B1034" t="str">
            <v>Materials</v>
          </cell>
          <cell r="C1034" t="str">
            <v>Wood Local</v>
          </cell>
          <cell r="F1034">
            <v>32737</v>
          </cell>
        </row>
        <row r="1035">
          <cell r="C1035" t="str">
            <v>Killa</v>
          </cell>
          <cell r="F1035">
            <v>113.3</v>
          </cell>
        </row>
        <row r="1036">
          <cell r="B1036" t="str">
            <v>Rate analysis for : 10.00 Sqm.</v>
          </cell>
        </row>
        <row r="1041">
          <cell r="A1041">
            <v>5.0199999999999996</v>
          </cell>
          <cell r="B1041" t="str">
            <v>E2(51B)</v>
          </cell>
          <cell r="C1041" t="str">
            <v>Form work shuttering &amp; centering (COLUMN) with (USED PLY WOOD) all complete.</v>
          </cell>
          <cell r="F1041" t="str">
            <v>Sqm.</v>
          </cell>
        </row>
        <row r="1042">
          <cell r="B1042" t="str">
            <v>Resources</v>
          </cell>
          <cell r="C1042" t="str">
            <v>Level/Type</v>
          </cell>
          <cell r="F1042" t="str">
            <v>Rate</v>
          </cell>
        </row>
        <row r="1043">
          <cell r="B1043" t="str">
            <v>Labour</v>
          </cell>
          <cell r="C1043" t="str">
            <v>Skilled</v>
          </cell>
          <cell r="F1043">
            <v>600</v>
          </cell>
        </row>
        <row r="1044">
          <cell r="C1044" t="str">
            <v>Unskilled</v>
          </cell>
          <cell r="F1044">
            <v>350</v>
          </cell>
        </row>
        <row r="1045">
          <cell r="B1045" t="str">
            <v>Materials</v>
          </cell>
          <cell r="C1045" t="str">
            <v xml:space="preserve">Ply board 19 mm thick </v>
          </cell>
          <cell r="F1045">
            <v>997.44999999999993</v>
          </cell>
        </row>
        <row r="1046">
          <cell r="C1046" t="str">
            <v>Wood Local</v>
          </cell>
          <cell r="F1046">
            <v>32737</v>
          </cell>
        </row>
        <row r="1047">
          <cell r="C1047" t="str">
            <v>MS Black pipe(MNB 50-M)</v>
          </cell>
          <cell r="F1047">
            <v>118.45</v>
          </cell>
        </row>
        <row r="1048">
          <cell r="C1048" t="str">
            <v>Killa</v>
          </cell>
          <cell r="F1048">
            <v>113.3</v>
          </cell>
        </row>
        <row r="1049">
          <cell r="B1049" t="str">
            <v>Rate analysis for : 10.00 Sqm.</v>
          </cell>
        </row>
        <row r="1052">
          <cell r="A1052" t="str">
            <v xml:space="preserve">gf]6 M sf7 M ^ k6s;dd k|of]u ug{ ;lsg] To;kl5 @%Ü d"No afFsL /xg] lx;fan] ul/Psf] </v>
          </cell>
        </row>
        <row r="1053">
          <cell r="B1053" t="str">
            <v>0.155/6x0.75=0.019</v>
          </cell>
        </row>
        <row r="1054">
          <cell r="A1054" t="str">
            <v xml:space="preserve">   M KNffO{ M ^ k6s;dd k|of]u ug{ ;lsg] To;kl5 !)Ü d"No afFsL /xg] lx;fan] ul/Psf] </v>
          </cell>
        </row>
        <row r="1055">
          <cell r="B1055" t="str">
            <v>4.62/6x0.90=0.693</v>
          </cell>
        </row>
        <row r="1056">
          <cell r="A1056" t="str">
            <v xml:space="preserve">   M kmnfd] af]N6 M !% k6s;dd k|of]u ug{ ;lsg] To;kl5 @%Ü d"No afFsL /xg] lx;fan] ul/Psf] </v>
          </cell>
        </row>
        <row r="1057">
          <cell r="B1057" t="str">
            <v>10.68/15x0.75=0.54</v>
          </cell>
        </row>
        <row r="1059">
          <cell r="A1059">
            <v>5.03</v>
          </cell>
          <cell r="B1059" t="str">
            <v>E3(8-4A)</v>
          </cell>
          <cell r="C1059" t="str">
            <v>Form work shuttering &amp; centering (BEAM-0.30 Mtr) with (USED LOCAL WOOD) all complete.</v>
          </cell>
          <cell r="F1059" t="str">
            <v>Sqm.</v>
          </cell>
        </row>
        <row r="1060">
          <cell r="B1060" t="str">
            <v>Resources</v>
          </cell>
          <cell r="C1060" t="str">
            <v>Level/Type</v>
          </cell>
          <cell r="F1060" t="str">
            <v xml:space="preserve">Rate </v>
          </cell>
        </row>
        <row r="1061">
          <cell r="B1061" t="str">
            <v>Labours</v>
          </cell>
          <cell r="C1061" t="str">
            <v>Skilled</v>
          </cell>
          <cell r="F1061">
            <v>600</v>
          </cell>
        </row>
        <row r="1062">
          <cell r="C1062" t="str">
            <v>Unskilled</v>
          </cell>
          <cell r="F1062">
            <v>350</v>
          </cell>
        </row>
        <row r="1063">
          <cell r="B1063" t="str">
            <v>Materials</v>
          </cell>
          <cell r="C1063" t="str">
            <v>Wood Local</v>
          </cell>
          <cell r="F1063">
            <v>32737</v>
          </cell>
        </row>
        <row r="1064">
          <cell r="C1064" t="str">
            <v>Killa</v>
          </cell>
          <cell r="F1064">
            <v>113.3</v>
          </cell>
        </row>
        <row r="1065">
          <cell r="B1065" t="str">
            <v>Rate analysis for : 10.00 Sqm.</v>
          </cell>
        </row>
        <row r="1070">
          <cell r="A1070">
            <v>5.04</v>
          </cell>
          <cell r="B1070" t="str">
            <v>E4(8-4B)</v>
          </cell>
          <cell r="C1070" t="str">
            <v>Form work shuttering &amp; centering (BEAM-0.30-0.80 Mtr) with (USED LOCAL WOOD) all complete.</v>
          </cell>
          <cell r="F1070" t="str">
            <v>Sqm.</v>
          </cell>
        </row>
        <row r="1071">
          <cell r="B1071" t="str">
            <v>Resources</v>
          </cell>
          <cell r="C1071" t="str">
            <v>Level/Type</v>
          </cell>
          <cell r="F1071" t="str">
            <v xml:space="preserve">Rate </v>
          </cell>
        </row>
        <row r="1072">
          <cell r="B1072" t="str">
            <v>Labours</v>
          </cell>
          <cell r="C1072" t="str">
            <v>Skilled</v>
          </cell>
          <cell r="F1072">
            <v>600</v>
          </cell>
        </row>
        <row r="1073">
          <cell r="C1073" t="str">
            <v>Unskilled</v>
          </cell>
          <cell r="F1073">
            <v>350</v>
          </cell>
        </row>
        <row r="1074">
          <cell r="B1074" t="str">
            <v>Materials</v>
          </cell>
          <cell r="C1074" t="str">
            <v>Wood Local</v>
          </cell>
          <cell r="F1074">
            <v>32737</v>
          </cell>
        </row>
        <row r="1075">
          <cell r="C1075" t="str">
            <v>Killa</v>
          </cell>
          <cell r="F1075">
            <v>113.3</v>
          </cell>
        </row>
        <row r="1076">
          <cell r="B1076" t="str">
            <v>Rate analysis for : 10.00 Sqm.</v>
          </cell>
        </row>
        <row r="1083">
          <cell r="A1083">
            <v>5.05</v>
          </cell>
          <cell r="B1083" t="str">
            <v>(8-2A)</v>
          </cell>
          <cell r="C1083" t="str">
            <v>Form work shuttering &amp; centering for slab floor (USED LOCAL WOOD) all complete.</v>
          </cell>
          <cell r="F1083" t="str">
            <v>Sqm.</v>
          </cell>
        </row>
        <row r="1084">
          <cell r="B1084" t="str">
            <v>Resources</v>
          </cell>
          <cell r="C1084" t="str">
            <v>Level/Type</v>
          </cell>
          <cell r="F1084" t="str">
            <v xml:space="preserve">Rate </v>
          </cell>
        </row>
        <row r="1085">
          <cell r="B1085" t="str">
            <v>Labours</v>
          </cell>
          <cell r="C1085" t="str">
            <v>Skilled</v>
          </cell>
          <cell r="F1085">
            <v>600</v>
          </cell>
        </row>
        <row r="1086">
          <cell r="C1086" t="str">
            <v>Unskilled</v>
          </cell>
          <cell r="F1086">
            <v>350</v>
          </cell>
        </row>
        <row r="1087">
          <cell r="B1087" t="str">
            <v>Materials</v>
          </cell>
          <cell r="C1087" t="str">
            <v>Wood Local</v>
          </cell>
          <cell r="F1087">
            <v>32737</v>
          </cell>
        </row>
        <row r="1088">
          <cell r="C1088" t="str">
            <v>Killa</v>
          </cell>
          <cell r="F1088">
            <v>113.3</v>
          </cell>
        </row>
        <row r="1089">
          <cell r="B1089" t="str">
            <v>Rate analysis for : 10.00 Sqm.</v>
          </cell>
        </row>
        <row r="1094">
          <cell r="A1094">
            <v>5.0599999999999996</v>
          </cell>
          <cell r="B1094" t="str">
            <v>E5(51A)</v>
          </cell>
          <cell r="C1094" t="str">
            <v>Form work shuttering &amp; centering Beam with (USED PLY WOOD) all complete.</v>
          </cell>
          <cell r="F1094" t="str">
            <v>Sqm.</v>
          </cell>
        </row>
        <row r="1095">
          <cell r="B1095" t="str">
            <v>Resources</v>
          </cell>
          <cell r="C1095" t="str">
            <v>Level/Type</v>
          </cell>
          <cell r="F1095" t="str">
            <v>Rate</v>
          </cell>
        </row>
        <row r="1096">
          <cell r="B1096" t="str">
            <v>Labour</v>
          </cell>
          <cell r="C1096" t="str">
            <v>Skilled</v>
          </cell>
          <cell r="F1096">
            <v>600</v>
          </cell>
        </row>
        <row r="1097">
          <cell r="C1097" t="str">
            <v>Unskilled</v>
          </cell>
          <cell r="F1097">
            <v>350</v>
          </cell>
        </row>
        <row r="1098">
          <cell r="B1098" t="str">
            <v>Materials</v>
          </cell>
          <cell r="C1098" t="str">
            <v xml:space="preserve">Ply board 19 mm thick </v>
          </cell>
          <cell r="F1098">
            <v>997.44999999999993</v>
          </cell>
        </row>
        <row r="1099">
          <cell r="C1099" t="str">
            <v>Wood Local</v>
          </cell>
          <cell r="F1099">
            <v>32737</v>
          </cell>
        </row>
        <row r="1100">
          <cell r="C1100" t="str">
            <v>MS Black pipe(MNB 50-M)</v>
          </cell>
          <cell r="F1100">
            <v>118.45</v>
          </cell>
        </row>
        <row r="1101">
          <cell r="C1101" t="str">
            <v>Killa</v>
          </cell>
          <cell r="F1101">
            <v>113.3</v>
          </cell>
        </row>
        <row r="1102">
          <cell r="B1102" t="str">
            <v>Rate analysis for : 10.00 Sqm.</v>
          </cell>
        </row>
        <row r="1105">
          <cell r="A1105" t="str">
            <v xml:space="preserve">   M kfO{k M !% k6s;Dd k|of]u ug{ ;lsg] To;kl5 @%Ü d"No afFsL /xg] lx;fan] ul/Psf] </v>
          </cell>
        </row>
        <row r="1106">
          <cell r="B1106" t="str">
            <v>MS Black pipe = 8/15x0.75 =0.40*5.10=2.04 Kg.</v>
          </cell>
        </row>
        <row r="1107">
          <cell r="A1107">
            <v>5.07</v>
          </cell>
          <cell r="B1107" t="str">
            <v>E6(8-4A)</v>
          </cell>
          <cell r="C1107" t="str">
            <v>Form work shuttering &amp; centering with MS pipe (prop), plyboard for slab etc</v>
          </cell>
          <cell r="F1107" t="str">
            <v>Sqm.</v>
          </cell>
        </row>
        <row r="1108">
          <cell r="B1108" t="str">
            <v>Resources</v>
          </cell>
          <cell r="C1108" t="str">
            <v>Level/Type</v>
          </cell>
          <cell r="F1108" t="str">
            <v xml:space="preserve">Rate </v>
          </cell>
        </row>
        <row r="1109">
          <cell r="B1109" t="str">
            <v>Labours</v>
          </cell>
          <cell r="C1109" t="str">
            <v>Skilled</v>
          </cell>
          <cell r="F1109">
            <v>600</v>
          </cell>
        </row>
        <row r="1110">
          <cell r="C1110" t="str">
            <v>Unskilled</v>
          </cell>
          <cell r="F1110">
            <v>350</v>
          </cell>
        </row>
        <row r="1111">
          <cell r="B1111" t="str">
            <v>Materials</v>
          </cell>
          <cell r="C1111" t="str">
            <v xml:space="preserve">Ply board 19 mm thick </v>
          </cell>
          <cell r="F1111">
            <v>997.44999999999993</v>
          </cell>
        </row>
        <row r="1112">
          <cell r="C1112" t="str">
            <v>Wood Local</v>
          </cell>
          <cell r="F1112">
            <v>32737</v>
          </cell>
        </row>
        <row r="1113">
          <cell r="C1113" t="str">
            <v>MS Black pipe(MNB 50-M)</v>
          </cell>
          <cell r="F1113">
            <v>118.45</v>
          </cell>
        </row>
        <row r="1114">
          <cell r="C1114" t="str">
            <v>Killa</v>
          </cell>
          <cell r="F1114">
            <v>113.3</v>
          </cell>
        </row>
        <row r="1115">
          <cell r="B1115" t="str">
            <v>Rate analysis for : 100.00 Sqm.</v>
          </cell>
        </row>
        <row r="1118">
          <cell r="A1118" t="str">
            <v xml:space="preserve">gf]6 M sf7 M ^ k6s;dd k|of]u ug{ ;lsg] To;kl5 @%Ü d"No afFsL /xg] lx;fan] ul/Psf] </v>
          </cell>
        </row>
        <row r="1119">
          <cell r="B1119" t="str">
            <v>1.6875x1.1x0.75/6= 0.232</v>
          </cell>
        </row>
        <row r="1120">
          <cell r="A1120" t="str">
            <v xml:space="preserve">   M KNffO{ M ^ k6s;dd k|of]u ug{ ;lsg] To;kl5 !)Ü d"No afFsL /xg] lx;fan] ul/Psf] </v>
          </cell>
        </row>
        <row r="1121">
          <cell r="B1121" t="str">
            <v>19 mm thick plyboard = 100x1.1x0.9/6=16.5</v>
          </cell>
        </row>
        <row r="1122">
          <cell r="A1122" t="str">
            <v xml:space="preserve">   M kfO{k M !% k6s;Dd k|of]u ug{ ;lsg] To;kl5 @%Ü d"No afFsL /xg] lx;fan] ul/Psf] </v>
          </cell>
        </row>
        <row r="1123">
          <cell r="B1123" t="str">
            <v>MS Black pipe = 88/15x0.75 =4.4*5.10=22.44 Kg.</v>
          </cell>
        </row>
        <row r="1136">
          <cell r="A1136">
            <v>5.08</v>
          </cell>
          <cell r="B1136" t="str">
            <v>E6(8-4A)</v>
          </cell>
          <cell r="C1136" t="str">
            <v>Form work shuttering &amp; centering with Bamboo (prop), plyboard for slab etc</v>
          </cell>
          <cell r="F1136" t="str">
            <v>Sqm.</v>
          </cell>
        </row>
        <row r="1137">
          <cell r="B1137" t="str">
            <v>Resources</v>
          </cell>
          <cell r="C1137" t="str">
            <v>Level/Type</v>
          </cell>
          <cell r="F1137" t="str">
            <v xml:space="preserve">Rate </v>
          </cell>
        </row>
        <row r="1138">
          <cell r="B1138" t="str">
            <v>Labours</v>
          </cell>
          <cell r="C1138" t="str">
            <v>Skilled</v>
          </cell>
          <cell r="F1138">
            <v>600</v>
          </cell>
        </row>
        <row r="1139">
          <cell r="C1139" t="str">
            <v>Unskilled</v>
          </cell>
          <cell r="F1139">
            <v>350</v>
          </cell>
        </row>
        <row r="1140">
          <cell r="B1140" t="str">
            <v>Materials</v>
          </cell>
          <cell r="C1140" t="str">
            <v xml:space="preserve">Ply board 19 mm thick </v>
          </cell>
          <cell r="F1140">
            <v>997.44999999999993</v>
          </cell>
        </row>
        <row r="1141">
          <cell r="C1141" t="str">
            <v>Wood Local</v>
          </cell>
          <cell r="F1141">
            <v>32737</v>
          </cell>
        </row>
        <row r="1142">
          <cell r="C1142" t="str">
            <v>Bamboo</v>
          </cell>
          <cell r="F1142">
            <v>154.5</v>
          </cell>
        </row>
        <row r="1143">
          <cell r="C1143" t="str">
            <v>Killa</v>
          </cell>
          <cell r="F1143">
            <v>113.3</v>
          </cell>
        </row>
        <row r="1144">
          <cell r="B1144" t="str">
            <v>Rate analysis for : 100.00 Sqm.</v>
          </cell>
        </row>
        <row r="1147">
          <cell r="A1147" t="str">
            <v xml:space="preserve">gf]6 M sf7 M ^ k6s;dd k|of]u ug{ ;lsg] To;kl5 @%Ü d"No afFsL /xg] lx;fan] ul/Psf] </v>
          </cell>
        </row>
        <row r="1148">
          <cell r="B1148" t="str">
            <v>1.6875x1.1x0.75/6= 0.232</v>
          </cell>
        </row>
        <row r="1149">
          <cell r="A1149" t="str">
            <v xml:space="preserve">   M KNffO{ M ^ k6s;dd k|of]u ug{ ;lsg] To;kl5 !)Ü d"No afFsL /xg] lx;fan] ul/Psf] </v>
          </cell>
        </row>
        <row r="1150">
          <cell r="B1150" t="str">
            <v>19 mm thick plyboard = 100x1.1x0.9/6=16.5</v>
          </cell>
        </row>
        <row r="1151">
          <cell r="A1151" t="str">
            <v xml:space="preserve">   M kfO{k M ^ k6s;Dd k|of]u ug{ ;lsg] To;kl5 @%Ü d"No afFsL /xg] lx;fan] ul/Psf] </v>
          </cell>
        </row>
        <row r="1152">
          <cell r="B1152" t="str">
            <v>Bamboo assume 1 props/sqm. = (100*3/6)/6*0.75</v>
          </cell>
        </row>
        <row r="1153">
          <cell r="A1153">
            <v>5.09</v>
          </cell>
          <cell r="B1153" t="str">
            <v>E12(8-13A)</v>
          </cell>
          <cell r="C1153" t="str">
            <v>Trench work open type form work  (up to 1.50 Mtr.)</v>
          </cell>
          <cell r="F1153" t="str">
            <v>Sqm.</v>
          </cell>
        </row>
        <row r="1154">
          <cell r="B1154" t="str">
            <v>Resources</v>
          </cell>
          <cell r="C1154" t="str">
            <v>Level/Type</v>
          </cell>
          <cell r="F1154" t="str">
            <v xml:space="preserve">Rate </v>
          </cell>
        </row>
        <row r="1155">
          <cell r="B1155" t="str">
            <v>Labours</v>
          </cell>
          <cell r="C1155" t="str">
            <v>Skilled</v>
          </cell>
          <cell r="F1155">
            <v>600</v>
          </cell>
        </row>
        <row r="1156">
          <cell r="C1156" t="str">
            <v>Unskilled</v>
          </cell>
          <cell r="F1156">
            <v>350</v>
          </cell>
        </row>
        <row r="1157">
          <cell r="B1157" t="str">
            <v>Materials</v>
          </cell>
          <cell r="C1157" t="str">
            <v>Wood Local</v>
          </cell>
          <cell r="F1157">
            <v>32737</v>
          </cell>
        </row>
        <row r="1158">
          <cell r="C1158" t="str">
            <v>Wood Local</v>
          </cell>
          <cell r="F1158">
            <v>32737</v>
          </cell>
        </row>
        <row r="1159">
          <cell r="B1159" t="str">
            <v>Rate analysis for : 100.00 Sqm.</v>
          </cell>
        </row>
        <row r="1162">
          <cell r="A1162" t="str">
            <v xml:space="preserve">        sf7 M ^ k6s;dd k|of]u ug{ ;lsg] To;kl5 @%Ü d"No afFsL /xg] lx;fan] ul/Psf] </v>
          </cell>
        </row>
        <row r="1163">
          <cell r="B1163" t="str">
            <v>Wood = 2.03/6*0.75=0.25375</v>
          </cell>
        </row>
        <row r="1164">
          <cell r="B1164" t="str">
            <v>gf]6 M !Æ j/fj/ @=%$ ;]=dL= kmn]ssf] lx;fj ul/Psf] sf7x? ^ k6s;Dd k|of]u u/L;s]kl5 @%Ü d"No afFsL x'g] u/L lx;fj ul/Psf]]_</v>
          </cell>
        </row>
        <row r="1165">
          <cell r="B1165" t="str">
            <v>Wood = 33.33/6*0.75=4.16*0.0254=0.105</v>
          </cell>
        </row>
        <row r="1166">
          <cell r="A1166">
            <v>5.0999999999999996</v>
          </cell>
          <cell r="B1166" t="str">
            <v>E12(8-13B)</v>
          </cell>
          <cell r="C1166" t="str">
            <v>Trench work open type form work  ( 1.50 to 3.00 Mtr.)</v>
          </cell>
          <cell r="F1166" t="str">
            <v>Sqm.</v>
          </cell>
        </row>
        <row r="1167">
          <cell r="B1167" t="str">
            <v>Resources</v>
          </cell>
          <cell r="C1167" t="str">
            <v>Level/Type</v>
          </cell>
          <cell r="F1167" t="str">
            <v xml:space="preserve">Rate </v>
          </cell>
        </row>
        <row r="1168">
          <cell r="B1168" t="str">
            <v>Labours</v>
          </cell>
          <cell r="C1168" t="str">
            <v>Skilled</v>
          </cell>
          <cell r="F1168">
            <v>600</v>
          </cell>
        </row>
        <row r="1169">
          <cell r="C1169" t="str">
            <v>Unskilled</v>
          </cell>
          <cell r="F1169">
            <v>350</v>
          </cell>
        </row>
        <row r="1170">
          <cell r="B1170" t="str">
            <v>Materials</v>
          </cell>
          <cell r="C1170" t="str">
            <v>Wood Local</v>
          </cell>
          <cell r="F1170">
            <v>32737</v>
          </cell>
        </row>
        <row r="1171">
          <cell r="C1171" t="str">
            <v>Wood Local</v>
          </cell>
          <cell r="F1171">
            <v>32737</v>
          </cell>
        </row>
        <row r="1172">
          <cell r="B1172" t="str">
            <v>Rate analysis for : 100.00 Sqm.</v>
          </cell>
        </row>
        <row r="1177">
          <cell r="A1177">
            <v>5.1100000000000003</v>
          </cell>
          <cell r="B1177" t="str">
            <v>E13(8-13C)</v>
          </cell>
          <cell r="C1177" t="str">
            <v>Trench work open type form work  (above 3.00 Mtr.)</v>
          </cell>
          <cell r="F1177" t="str">
            <v>Sqm.</v>
          </cell>
        </row>
        <row r="1178">
          <cell r="B1178" t="str">
            <v>Resources</v>
          </cell>
          <cell r="C1178" t="str">
            <v>Level/Type</v>
          </cell>
          <cell r="F1178" t="str">
            <v xml:space="preserve">Rate </v>
          </cell>
        </row>
        <row r="1179">
          <cell r="B1179" t="str">
            <v>Labours</v>
          </cell>
          <cell r="C1179" t="str">
            <v>Skilled</v>
          </cell>
          <cell r="F1179">
            <v>600</v>
          </cell>
        </row>
        <row r="1180">
          <cell r="C1180" t="str">
            <v>Unskilled</v>
          </cell>
          <cell r="F1180">
            <v>350</v>
          </cell>
        </row>
        <row r="1181">
          <cell r="B1181" t="str">
            <v>Materials</v>
          </cell>
          <cell r="C1181" t="str">
            <v>Wood Local</v>
          </cell>
          <cell r="F1181">
            <v>32737</v>
          </cell>
        </row>
        <row r="1182">
          <cell r="C1182" t="str">
            <v>Wood Local</v>
          </cell>
          <cell r="F1182">
            <v>32737</v>
          </cell>
        </row>
        <row r="1183">
          <cell r="B1183" t="str">
            <v>Rate analysis for : 100.00 Sqm.</v>
          </cell>
        </row>
        <row r="1190">
          <cell r="A1190" t="str">
            <v>F - ROOFING WORK</v>
          </cell>
        </row>
        <row r="1192">
          <cell r="A1192">
            <v>6.01</v>
          </cell>
          <cell r="B1192" t="str">
            <v>F1( 9-1)</v>
          </cell>
          <cell r="C1192" t="str">
            <v xml:space="preserve">26 (H) 0.50 mm thick plane C.G.I. sheet roofing work </v>
          </cell>
          <cell r="F1192" t="str">
            <v>Sqm.</v>
          </cell>
        </row>
        <row r="1193">
          <cell r="B1193" t="str">
            <v>Resources</v>
          </cell>
          <cell r="C1193" t="str">
            <v>Level/Type</v>
          </cell>
          <cell r="F1193" t="str">
            <v>Rate</v>
          </cell>
        </row>
        <row r="1194">
          <cell r="B1194" t="str">
            <v>Labour</v>
          </cell>
          <cell r="C1194" t="str">
            <v>Skilled</v>
          </cell>
          <cell r="F1194">
            <v>600</v>
          </cell>
        </row>
        <row r="1195">
          <cell r="C1195" t="str">
            <v>Unskilled</v>
          </cell>
          <cell r="F1195">
            <v>350</v>
          </cell>
        </row>
        <row r="1196">
          <cell r="B1196" t="str">
            <v>Materials</v>
          </cell>
          <cell r="C1196" t="str">
            <v>CGI sheet 26 (H) 0.50 mm thick Plane</v>
          </cell>
          <cell r="F1196">
            <v>435.09000000000003</v>
          </cell>
        </row>
        <row r="1197">
          <cell r="C1197" t="str">
            <v>Nutbolt 8 mm.</v>
          </cell>
          <cell r="F1197">
            <v>15.45</v>
          </cell>
        </row>
        <row r="1198">
          <cell r="C1198" t="str">
            <v>J-hook</v>
          </cell>
          <cell r="F1198">
            <v>19.309999999999999</v>
          </cell>
        </row>
        <row r="1199">
          <cell r="C1199" t="str">
            <v>Bitumin washer</v>
          </cell>
          <cell r="F1199">
            <v>0.51</v>
          </cell>
        </row>
        <row r="1200">
          <cell r="B1200" t="str">
            <v>Rate analysis for : 10.00 Sqm.</v>
          </cell>
        </row>
        <row r="1205">
          <cell r="A1205">
            <v>6.02</v>
          </cell>
          <cell r="B1205" t="str">
            <v>F1( 9-1)</v>
          </cell>
          <cell r="C1205" t="str">
            <v xml:space="preserve">26 (M) 0.41mm thick plane C.G.I. sheet roofing work </v>
          </cell>
          <cell r="F1205" t="str">
            <v>Sqm.</v>
          </cell>
        </row>
        <row r="1206">
          <cell r="B1206" t="str">
            <v>Resources</v>
          </cell>
          <cell r="C1206" t="str">
            <v>Level/Type</v>
          </cell>
          <cell r="F1206" t="str">
            <v>Rate</v>
          </cell>
        </row>
        <row r="1207">
          <cell r="B1207" t="str">
            <v>Labour</v>
          </cell>
          <cell r="C1207" t="str">
            <v>Skilled</v>
          </cell>
          <cell r="F1207">
            <v>600</v>
          </cell>
        </row>
        <row r="1208">
          <cell r="C1208" t="str">
            <v>Unskilled</v>
          </cell>
          <cell r="F1208">
            <v>350</v>
          </cell>
        </row>
        <row r="1209">
          <cell r="B1209" t="str">
            <v>Materials</v>
          </cell>
          <cell r="C1209" t="str">
            <v>CGI sheet 26 (M) 0.41 mm thick Plane</v>
          </cell>
          <cell r="F1209">
            <v>406.35999999999996</v>
          </cell>
        </row>
        <row r="1210">
          <cell r="C1210" t="str">
            <v>Nutbolt 8 mm.</v>
          </cell>
          <cell r="F1210">
            <v>15.45</v>
          </cell>
        </row>
        <row r="1211">
          <cell r="C1211" t="str">
            <v>J-hook</v>
          </cell>
          <cell r="F1211">
            <v>19.309999999999999</v>
          </cell>
        </row>
        <row r="1212">
          <cell r="C1212" t="str">
            <v>Bitumin washer</v>
          </cell>
          <cell r="F1212">
            <v>0.51</v>
          </cell>
        </row>
        <row r="1213">
          <cell r="B1213" t="str">
            <v>Rate analysis for : 10.00 Sqm.</v>
          </cell>
        </row>
        <row r="1218">
          <cell r="A1218">
            <v>6.03</v>
          </cell>
          <cell r="B1218" t="str">
            <v>F1( 9-1)</v>
          </cell>
          <cell r="C1218" t="str">
            <v xml:space="preserve">26 (L) 0.35mm thick  plane C.G.I. sheet roofing work </v>
          </cell>
          <cell r="F1218" t="str">
            <v>Sqm.</v>
          </cell>
        </row>
        <row r="1219">
          <cell r="B1219" t="str">
            <v>Resources</v>
          </cell>
          <cell r="C1219" t="str">
            <v>Level/Type</v>
          </cell>
          <cell r="F1219" t="str">
            <v>Rate</v>
          </cell>
        </row>
        <row r="1220">
          <cell r="B1220" t="str">
            <v>Labour</v>
          </cell>
          <cell r="C1220" t="str">
            <v>Skilled</v>
          </cell>
          <cell r="F1220">
            <v>600</v>
          </cell>
        </row>
        <row r="1221">
          <cell r="C1221" t="str">
            <v>Unskilled</v>
          </cell>
          <cell r="F1221">
            <v>350</v>
          </cell>
        </row>
        <row r="1222">
          <cell r="B1222" t="str">
            <v>Materials</v>
          </cell>
          <cell r="C1222" t="str">
            <v>CGI sheet 26 (L) 0.35 mm thick Plane</v>
          </cell>
          <cell r="F1222">
            <v>377.62</v>
          </cell>
        </row>
        <row r="1223">
          <cell r="C1223" t="str">
            <v>Nutbolt 8 mm.</v>
          </cell>
          <cell r="F1223">
            <v>15.45</v>
          </cell>
        </row>
        <row r="1224">
          <cell r="C1224" t="str">
            <v>J-hook</v>
          </cell>
          <cell r="F1224">
            <v>19.309999999999999</v>
          </cell>
        </row>
        <row r="1225">
          <cell r="C1225" t="str">
            <v>Bitumin washer</v>
          </cell>
          <cell r="F1225">
            <v>0.51</v>
          </cell>
        </row>
        <row r="1226">
          <cell r="B1226" t="str">
            <v>Rate analysis for : 10.00 Sqm.</v>
          </cell>
        </row>
        <row r="1231">
          <cell r="A1231">
            <v>6.04</v>
          </cell>
          <cell r="B1231" t="str">
            <v>F3( 9-1)</v>
          </cell>
          <cell r="C1231" t="str">
            <v xml:space="preserve">26 (H) 0.50 mm thick  colour C.G.I. sheet roofing work </v>
          </cell>
          <cell r="F1231" t="str">
            <v>Sqm.</v>
          </cell>
        </row>
        <row r="1232">
          <cell r="B1232" t="str">
            <v>Resources</v>
          </cell>
          <cell r="C1232" t="str">
            <v>Level/Type</v>
          </cell>
          <cell r="F1232" t="str">
            <v>Rate</v>
          </cell>
        </row>
        <row r="1233">
          <cell r="B1233" t="str">
            <v>Labour</v>
          </cell>
          <cell r="C1233" t="str">
            <v>Skilled</v>
          </cell>
          <cell r="F1233">
            <v>600</v>
          </cell>
        </row>
        <row r="1234">
          <cell r="C1234" t="str">
            <v>Unskilled</v>
          </cell>
          <cell r="F1234">
            <v>350</v>
          </cell>
        </row>
        <row r="1235">
          <cell r="B1235" t="str">
            <v>Materials</v>
          </cell>
          <cell r="C1235" t="str">
            <v>CGI sheet 26 (H) 0.50 mm thick colour</v>
          </cell>
          <cell r="F1235">
            <v>550.03</v>
          </cell>
        </row>
        <row r="1236">
          <cell r="C1236" t="str">
            <v>Nutbolt 8 mm.</v>
          </cell>
          <cell r="F1236">
            <v>15.45</v>
          </cell>
        </row>
        <row r="1237">
          <cell r="C1237" t="str">
            <v>J-hook</v>
          </cell>
          <cell r="F1237">
            <v>19.309999999999999</v>
          </cell>
        </row>
        <row r="1238">
          <cell r="C1238" t="str">
            <v>Bitumin washer</v>
          </cell>
          <cell r="F1238">
            <v>0.51</v>
          </cell>
        </row>
        <row r="1239">
          <cell r="B1239" t="str">
            <v>Rate analysis for : 10.00 Sqm.</v>
          </cell>
        </row>
        <row r="1245">
          <cell r="A1245">
            <v>6.05</v>
          </cell>
          <cell r="B1245" t="str">
            <v>F3( 9-1)</v>
          </cell>
          <cell r="C1245" t="str">
            <v xml:space="preserve">26 (M) 0.41mm thick  colour C.G.I. sheet roofing work </v>
          </cell>
          <cell r="F1245" t="str">
            <v>Sqm.</v>
          </cell>
        </row>
        <row r="1246">
          <cell r="B1246" t="str">
            <v>Resources</v>
          </cell>
          <cell r="C1246" t="str">
            <v>Level/Type</v>
          </cell>
          <cell r="F1246" t="str">
            <v>Rate</v>
          </cell>
        </row>
        <row r="1247">
          <cell r="B1247" t="str">
            <v>Labour</v>
          </cell>
          <cell r="C1247" t="str">
            <v>Skilled</v>
          </cell>
          <cell r="F1247">
            <v>600</v>
          </cell>
        </row>
        <row r="1248">
          <cell r="C1248" t="str">
            <v>Unskilled</v>
          </cell>
          <cell r="F1248">
            <v>350</v>
          </cell>
        </row>
        <row r="1249">
          <cell r="B1249" t="str">
            <v>Materials</v>
          </cell>
          <cell r="C1249" t="str">
            <v>CGI sheet 26 (M) 0.41 mm thick colour</v>
          </cell>
          <cell r="F1249">
            <v>517.18999999999994</v>
          </cell>
        </row>
        <row r="1250">
          <cell r="C1250" t="str">
            <v>Nutbolt 8 mm.</v>
          </cell>
          <cell r="F1250">
            <v>15.45</v>
          </cell>
        </row>
        <row r="1251">
          <cell r="C1251" t="str">
            <v>J-hook</v>
          </cell>
          <cell r="F1251">
            <v>19.309999999999999</v>
          </cell>
        </row>
        <row r="1252">
          <cell r="C1252" t="str">
            <v>Bitumin washer</v>
          </cell>
          <cell r="F1252">
            <v>0.51</v>
          </cell>
        </row>
        <row r="1253">
          <cell r="B1253" t="str">
            <v>Rate analysis for : 10.00 Sqm.</v>
          </cell>
        </row>
        <row r="1258">
          <cell r="A1258">
            <v>6.06</v>
          </cell>
          <cell r="B1258" t="str">
            <v>F3( 9-1)</v>
          </cell>
          <cell r="C1258" t="str">
            <v xml:space="preserve">26 (L) 0.35mm thick  colour C.G.I. sheet roofing work </v>
          </cell>
          <cell r="F1258" t="str">
            <v>Sqm.</v>
          </cell>
        </row>
        <row r="1259">
          <cell r="B1259" t="str">
            <v>Resources</v>
          </cell>
          <cell r="C1259" t="str">
            <v>Level/Type</v>
          </cell>
          <cell r="F1259" t="str">
            <v>Rate</v>
          </cell>
        </row>
        <row r="1260">
          <cell r="B1260" t="str">
            <v>Labour</v>
          </cell>
          <cell r="C1260" t="str">
            <v>Skilled</v>
          </cell>
          <cell r="F1260">
            <v>600</v>
          </cell>
        </row>
        <row r="1261">
          <cell r="C1261" t="str">
            <v>Unskilled</v>
          </cell>
          <cell r="F1261">
            <v>350</v>
          </cell>
        </row>
        <row r="1262">
          <cell r="B1262" t="str">
            <v>Materials</v>
          </cell>
          <cell r="C1262" t="str">
            <v>CGI sheet 26 (L) 0.35 mm thick colour</v>
          </cell>
          <cell r="F1262">
            <v>0</v>
          </cell>
        </row>
        <row r="1263">
          <cell r="C1263" t="str">
            <v>Nutbolt 8 mm.</v>
          </cell>
          <cell r="F1263">
            <v>15.45</v>
          </cell>
        </row>
        <row r="1264">
          <cell r="C1264" t="str">
            <v>J-hook</v>
          </cell>
          <cell r="F1264">
            <v>19.309999999999999</v>
          </cell>
        </row>
        <row r="1265">
          <cell r="C1265" t="str">
            <v>Bitumin washer</v>
          </cell>
          <cell r="F1265">
            <v>0.51</v>
          </cell>
        </row>
        <row r="1266">
          <cell r="B1266" t="str">
            <v>Rate analysis for : 10.00 Sqm.</v>
          </cell>
        </row>
        <row r="1271">
          <cell r="A1271">
            <v>6.07</v>
          </cell>
          <cell r="B1271" t="str">
            <v>F2( 9-2)</v>
          </cell>
          <cell r="C1271" t="str">
            <v xml:space="preserve">26 (L)  G.I. plane ridge  cover </v>
          </cell>
          <cell r="F1271" t="str">
            <v>Rmtr.</v>
          </cell>
        </row>
        <row r="1272">
          <cell r="B1272" t="str">
            <v>Resources</v>
          </cell>
          <cell r="C1272" t="str">
            <v>Level/Type</v>
          </cell>
          <cell r="F1272" t="str">
            <v>Rate</v>
          </cell>
        </row>
        <row r="1273">
          <cell r="B1273" t="str">
            <v>Labour</v>
          </cell>
          <cell r="C1273" t="str">
            <v>Skilled</v>
          </cell>
          <cell r="F1273">
            <v>600</v>
          </cell>
        </row>
        <row r="1274">
          <cell r="C1274" t="str">
            <v>Unskilled</v>
          </cell>
          <cell r="F1274">
            <v>350</v>
          </cell>
        </row>
        <row r="1275">
          <cell r="B1275" t="str">
            <v>Materials</v>
          </cell>
          <cell r="C1275" t="str">
            <v>GI ridge cover 26 (L) 0.35 mm thick plane</v>
          </cell>
          <cell r="F1275">
            <v>295.69</v>
          </cell>
        </row>
        <row r="1276">
          <cell r="C1276" t="str">
            <v xml:space="preserve">Nutbolt </v>
          </cell>
        </row>
        <row r="1277">
          <cell r="B1277" t="str">
            <v>Rate analysis for : 10.00 Rmtr.</v>
          </cell>
        </row>
        <row r="1282">
          <cell r="A1282">
            <v>6.08</v>
          </cell>
          <cell r="B1282" t="str">
            <v>F2( 9-2)</v>
          </cell>
          <cell r="C1282" t="str">
            <v xml:space="preserve">28 (H)  G.I. plane ridge  cover </v>
          </cell>
          <cell r="F1282" t="str">
            <v>Rmtr.</v>
          </cell>
        </row>
        <row r="1283">
          <cell r="B1283" t="str">
            <v>Resources</v>
          </cell>
          <cell r="C1283" t="str">
            <v>Level/Type</v>
          </cell>
          <cell r="F1283" t="str">
            <v>Rate</v>
          </cell>
        </row>
        <row r="1284">
          <cell r="B1284" t="str">
            <v>Labour</v>
          </cell>
          <cell r="C1284" t="str">
            <v>Skilled</v>
          </cell>
          <cell r="F1284">
            <v>600</v>
          </cell>
        </row>
        <row r="1285">
          <cell r="C1285" t="str">
            <v>Unskilled</v>
          </cell>
          <cell r="F1285">
            <v>350</v>
          </cell>
        </row>
        <row r="1286">
          <cell r="B1286" t="str">
            <v>Materials</v>
          </cell>
          <cell r="C1286" t="str">
            <v>GI ridge cover 28 (H) 0.31 mm thick plane</v>
          </cell>
          <cell r="F1286">
            <v>239.37</v>
          </cell>
        </row>
        <row r="1287">
          <cell r="C1287" t="str">
            <v xml:space="preserve">Nutbolt </v>
          </cell>
        </row>
        <row r="1288">
          <cell r="B1288" t="str">
            <v>Rate analysis for : 10.00 Rmtr.</v>
          </cell>
        </row>
        <row r="1300">
          <cell r="A1300">
            <v>6.09</v>
          </cell>
          <cell r="B1300" t="str">
            <v>F4( 9-2)</v>
          </cell>
          <cell r="C1300" t="str">
            <v xml:space="preserve">26 (L)  G.I. colour ridge  cover </v>
          </cell>
          <cell r="F1300" t="str">
            <v>Rmtr.</v>
          </cell>
        </row>
        <row r="1301">
          <cell r="B1301" t="str">
            <v>Resources</v>
          </cell>
          <cell r="C1301" t="str">
            <v>Level/Type</v>
          </cell>
          <cell r="F1301" t="str">
            <v>Rate</v>
          </cell>
        </row>
        <row r="1302">
          <cell r="B1302" t="str">
            <v>Labour</v>
          </cell>
          <cell r="C1302" t="str">
            <v>Skilled</v>
          </cell>
          <cell r="F1302">
            <v>600</v>
          </cell>
        </row>
        <row r="1303">
          <cell r="C1303" t="str">
            <v>Unskilled</v>
          </cell>
          <cell r="F1303">
            <v>350</v>
          </cell>
        </row>
        <row r="1304">
          <cell r="B1304" t="str">
            <v>Materials</v>
          </cell>
          <cell r="C1304" t="str">
            <v>GI ridge cover 26 (L) 0.35 mm thick colour</v>
          </cell>
          <cell r="F1304">
            <v>0</v>
          </cell>
        </row>
        <row r="1305">
          <cell r="C1305" t="str">
            <v xml:space="preserve">Nutbolt </v>
          </cell>
        </row>
        <row r="1306">
          <cell r="B1306" t="str">
            <v>Rate analysis for : 10.00 Rmtr.</v>
          </cell>
        </row>
        <row r="1311">
          <cell r="A1311">
            <v>6.1</v>
          </cell>
          <cell r="B1311" t="str">
            <v>F5</v>
          </cell>
          <cell r="C1311" t="str">
            <v xml:space="preserve">26 (H) 0.50 mm thick plane G.I. sheet roofing work </v>
          </cell>
          <cell r="F1311" t="str">
            <v>Sqm.</v>
          </cell>
        </row>
        <row r="1312">
          <cell r="B1312" t="str">
            <v>Resources</v>
          </cell>
          <cell r="C1312" t="str">
            <v>Level/Type</v>
          </cell>
          <cell r="F1312" t="str">
            <v>Rate</v>
          </cell>
        </row>
        <row r="1313">
          <cell r="B1313" t="str">
            <v>Labour</v>
          </cell>
          <cell r="C1313" t="str">
            <v>Skilled</v>
          </cell>
          <cell r="F1313">
            <v>600</v>
          </cell>
        </row>
        <row r="1314">
          <cell r="C1314" t="str">
            <v>Unskilled</v>
          </cell>
          <cell r="F1314">
            <v>350</v>
          </cell>
        </row>
        <row r="1315">
          <cell r="B1315" t="str">
            <v>Materials</v>
          </cell>
          <cell r="C1315" t="str">
            <v>GI sheet 26 (H) 0.50 mm thick plane</v>
          </cell>
          <cell r="F1315">
            <v>0</v>
          </cell>
        </row>
        <row r="1316">
          <cell r="C1316" t="str">
            <v>J-hook</v>
          </cell>
          <cell r="F1316">
            <v>19.309999999999999</v>
          </cell>
        </row>
        <row r="1317">
          <cell r="C1317" t="str">
            <v>Nut bolt 8 mm</v>
          </cell>
          <cell r="F1317">
            <v>11.84</v>
          </cell>
        </row>
        <row r="1318">
          <cell r="C1318" t="str">
            <v>Bitumin washer</v>
          </cell>
          <cell r="F1318">
            <v>0.51</v>
          </cell>
        </row>
        <row r="1319">
          <cell r="B1319" t="str">
            <v>Rate analysis for : 10.00 Sqm.</v>
          </cell>
        </row>
        <row r="1324">
          <cell r="A1324">
            <v>6.11</v>
          </cell>
          <cell r="B1324" t="str">
            <v>F5</v>
          </cell>
          <cell r="C1324" t="str">
            <v xml:space="preserve">26 (M) 0.41 mm thick plane G.I. sheet roofing work </v>
          </cell>
          <cell r="F1324" t="str">
            <v>Sqm.</v>
          </cell>
        </row>
        <row r="1325">
          <cell r="B1325" t="str">
            <v>Resources</v>
          </cell>
          <cell r="C1325" t="str">
            <v>Level/Type</v>
          </cell>
          <cell r="F1325" t="str">
            <v>Rate</v>
          </cell>
        </row>
        <row r="1326">
          <cell r="B1326" t="str">
            <v>Labour</v>
          </cell>
          <cell r="C1326" t="str">
            <v>Skilled</v>
          </cell>
          <cell r="F1326">
            <v>600</v>
          </cell>
        </row>
        <row r="1327">
          <cell r="C1327" t="str">
            <v>Unskilled</v>
          </cell>
          <cell r="F1327">
            <v>350</v>
          </cell>
        </row>
        <row r="1328">
          <cell r="B1328" t="str">
            <v>Materials</v>
          </cell>
          <cell r="C1328" t="str">
            <v>GI sheet 26 (M) 0.41 mm thick plane</v>
          </cell>
          <cell r="F1328">
            <v>0</v>
          </cell>
        </row>
        <row r="1329">
          <cell r="C1329" t="str">
            <v>J-hook</v>
          </cell>
          <cell r="F1329">
            <v>19.309999999999999</v>
          </cell>
        </row>
        <row r="1330">
          <cell r="C1330" t="str">
            <v>Nut bolt 8 mm</v>
          </cell>
          <cell r="F1330">
            <v>11.84</v>
          </cell>
        </row>
        <row r="1331">
          <cell r="C1331" t="str">
            <v>Bitumin washer</v>
          </cell>
          <cell r="F1331">
            <v>0.51</v>
          </cell>
        </row>
        <row r="1332">
          <cell r="B1332" t="str">
            <v>Rate analysis for : 10.00 Sqm.</v>
          </cell>
        </row>
        <row r="1337">
          <cell r="A1337">
            <v>6.12</v>
          </cell>
          <cell r="B1337" t="str">
            <v>F5</v>
          </cell>
          <cell r="C1337" t="str">
            <v xml:space="preserve">26 (L) 0.35 mm thick plane G.I. sheet roofing work </v>
          </cell>
          <cell r="F1337" t="str">
            <v>Sqm.</v>
          </cell>
        </row>
        <row r="1338">
          <cell r="B1338" t="str">
            <v>Resources</v>
          </cell>
          <cell r="C1338" t="str">
            <v>Level/Type</v>
          </cell>
          <cell r="F1338" t="str">
            <v>Rate</v>
          </cell>
        </row>
        <row r="1339">
          <cell r="B1339" t="str">
            <v>Labour</v>
          </cell>
          <cell r="C1339" t="str">
            <v>Skilled</v>
          </cell>
          <cell r="F1339">
            <v>600</v>
          </cell>
        </row>
        <row r="1340">
          <cell r="C1340" t="str">
            <v>Unskilled</v>
          </cell>
          <cell r="F1340">
            <v>350</v>
          </cell>
        </row>
        <row r="1341">
          <cell r="B1341" t="str">
            <v>Materials</v>
          </cell>
          <cell r="C1341" t="str">
            <v>GI sheet 26 (L) 0.35 mm thick plane</v>
          </cell>
          <cell r="F1341">
            <v>0</v>
          </cell>
        </row>
        <row r="1342">
          <cell r="C1342" t="str">
            <v>J-hook</v>
          </cell>
          <cell r="F1342">
            <v>19.309999999999999</v>
          </cell>
        </row>
        <row r="1343">
          <cell r="C1343" t="str">
            <v>Nut bolt 8 mm</v>
          </cell>
          <cell r="F1343">
            <v>11.84</v>
          </cell>
        </row>
        <row r="1344">
          <cell r="C1344" t="str">
            <v>Bitumin washer</v>
          </cell>
          <cell r="F1344">
            <v>0.51</v>
          </cell>
        </row>
        <row r="1345">
          <cell r="B1345" t="str">
            <v>Rate analysis for : 10.00 Sqm.</v>
          </cell>
        </row>
        <row r="1357">
          <cell r="A1357">
            <v>6.13</v>
          </cell>
          <cell r="B1357" t="str">
            <v>F6</v>
          </cell>
          <cell r="C1357" t="str">
            <v xml:space="preserve">26 (H) 0.50 mm thick Colour G.I. sheet roofing work </v>
          </cell>
          <cell r="F1357" t="str">
            <v>Sqm.</v>
          </cell>
        </row>
        <row r="1358">
          <cell r="B1358" t="str">
            <v>Resources</v>
          </cell>
          <cell r="C1358" t="str">
            <v>Level/Type</v>
          </cell>
          <cell r="F1358" t="str">
            <v>Rate</v>
          </cell>
        </row>
        <row r="1359">
          <cell r="B1359" t="str">
            <v>Labour</v>
          </cell>
          <cell r="C1359" t="str">
            <v>Skilled</v>
          </cell>
          <cell r="F1359">
            <v>600</v>
          </cell>
        </row>
        <row r="1360">
          <cell r="C1360" t="str">
            <v>Unskilled</v>
          </cell>
          <cell r="F1360">
            <v>350</v>
          </cell>
        </row>
        <row r="1361">
          <cell r="B1361" t="str">
            <v>Materials</v>
          </cell>
          <cell r="C1361" t="str">
            <v>GI sheet 26 (H) 0.50 mm thick colour</v>
          </cell>
          <cell r="F1361">
            <v>0</v>
          </cell>
        </row>
        <row r="1362">
          <cell r="C1362" t="str">
            <v>J-hook</v>
          </cell>
          <cell r="F1362">
            <v>19.309999999999999</v>
          </cell>
        </row>
        <row r="1363">
          <cell r="C1363" t="str">
            <v>Nut bolt 8 mm</v>
          </cell>
          <cell r="F1363">
            <v>11.84</v>
          </cell>
        </row>
        <row r="1364">
          <cell r="C1364" t="str">
            <v>Bitumin washer</v>
          </cell>
          <cell r="F1364">
            <v>0.51</v>
          </cell>
        </row>
        <row r="1365">
          <cell r="B1365" t="str">
            <v>Rate analysis for : 10.00 Sqm.</v>
          </cell>
        </row>
        <row r="1370">
          <cell r="A1370">
            <v>6.14</v>
          </cell>
          <cell r="B1370" t="str">
            <v>F6</v>
          </cell>
          <cell r="C1370" t="str">
            <v xml:space="preserve">26 (M) 0.41 mm thick Colour G.I. sheet roofing work </v>
          </cell>
          <cell r="F1370" t="str">
            <v>Sqm.</v>
          </cell>
        </row>
        <row r="1371">
          <cell r="B1371" t="str">
            <v>Resources</v>
          </cell>
          <cell r="C1371" t="str">
            <v>Level/Type</v>
          </cell>
          <cell r="F1371" t="str">
            <v>Rate</v>
          </cell>
        </row>
        <row r="1372">
          <cell r="B1372" t="str">
            <v>Labour</v>
          </cell>
          <cell r="C1372" t="str">
            <v>Skilled</v>
          </cell>
          <cell r="F1372">
            <v>600</v>
          </cell>
        </row>
        <row r="1373">
          <cell r="C1373" t="str">
            <v>Unskilled</v>
          </cell>
          <cell r="F1373">
            <v>350</v>
          </cell>
        </row>
        <row r="1374">
          <cell r="B1374" t="str">
            <v>Materials</v>
          </cell>
          <cell r="C1374" t="str">
            <v>GI sheet 26 (M) 0.41 mm thick Colour</v>
          </cell>
          <cell r="F1374">
            <v>0</v>
          </cell>
        </row>
        <row r="1375">
          <cell r="C1375" t="str">
            <v>J-hook</v>
          </cell>
          <cell r="F1375">
            <v>19.309999999999999</v>
          </cell>
        </row>
        <row r="1376">
          <cell r="C1376" t="str">
            <v>Nut bolt 8 mm</v>
          </cell>
          <cell r="F1376">
            <v>11.84</v>
          </cell>
        </row>
        <row r="1377">
          <cell r="C1377" t="str">
            <v>Bitumin washer</v>
          </cell>
          <cell r="F1377">
            <v>0.51</v>
          </cell>
        </row>
        <row r="1378">
          <cell r="B1378" t="str">
            <v>Rate analysis for : 10.00 Sqm.</v>
          </cell>
        </row>
        <row r="1383">
          <cell r="A1383">
            <v>6.15</v>
          </cell>
          <cell r="B1383" t="str">
            <v>F6</v>
          </cell>
          <cell r="C1383" t="str">
            <v xml:space="preserve">26 (L) 0.35 mm thick Colour G.I. sheet roofing work </v>
          </cell>
          <cell r="F1383" t="str">
            <v>Sqm.</v>
          </cell>
        </row>
        <row r="1384">
          <cell r="B1384" t="str">
            <v>Resources</v>
          </cell>
          <cell r="C1384" t="str">
            <v>Level/Type</v>
          </cell>
          <cell r="F1384" t="str">
            <v>Rate</v>
          </cell>
        </row>
        <row r="1385">
          <cell r="B1385" t="str">
            <v>Labour</v>
          </cell>
          <cell r="C1385" t="str">
            <v>Skilled</v>
          </cell>
          <cell r="F1385">
            <v>600</v>
          </cell>
        </row>
        <row r="1386">
          <cell r="C1386" t="str">
            <v>Unskilled</v>
          </cell>
          <cell r="F1386">
            <v>350</v>
          </cell>
        </row>
        <row r="1387">
          <cell r="B1387" t="str">
            <v>Materials</v>
          </cell>
          <cell r="C1387" t="str">
            <v>GI sheet 26 (M) 0.35 mm thick Colour</v>
          </cell>
          <cell r="F1387">
            <v>0</v>
          </cell>
        </row>
        <row r="1388">
          <cell r="C1388" t="str">
            <v>J-hook</v>
          </cell>
          <cell r="F1388">
            <v>19.309999999999999</v>
          </cell>
        </row>
        <row r="1389">
          <cell r="C1389" t="str">
            <v>Nut bolt 8 mm</v>
          </cell>
          <cell r="F1389">
            <v>11.84</v>
          </cell>
        </row>
        <row r="1390">
          <cell r="C1390" t="str">
            <v>Bitumin washer</v>
          </cell>
          <cell r="F1390">
            <v>0.51</v>
          </cell>
        </row>
        <row r="1391">
          <cell r="B1391" t="str">
            <v>Rate analysis for : 10.00 Sqm.</v>
          </cell>
        </row>
        <row r="1396">
          <cell r="A1396">
            <v>6.16</v>
          </cell>
          <cell r="B1396" t="str">
            <v>F7</v>
          </cell>
          <cell r="C1396" t="str">
            <v xml:space="preserve">150 mm breadth upto 450 mm G. I. plane sheet Gutter fixing work with 3x40 mm  M.S. bracke,t nut bolt &amp;  washer . </v>
          </cell>
          <cell r="F1396" t="str">
            <v>Rmtr.</v>
          </cell>
        </row>
        <row r="1397">
          <cell r="B1397" t="str">
            <v>Resources</v>
          </cell>
          <cell r="C1397" t="str">
            <v>Level/Type</v>
          </cell>
          <cell r="F1397" t="str">
            <v>Rate</v>
          </cell>
        </row>
        <row r="1398">
          <cell r="B1398" t="str">
            <v>Labour</v>
          </cell>
          <cell r="C1398" t="str">
            <v>Skilled</v>
          </cell>
          <cell r="F1398">
            <v>600</v>
          </cell>
        </row>
        <row r="1399">
          <cell r="C1399" t="str">
            <v>Unskilled</v>
          </cell>
          <cell r="F1399">
            <v>350</v>
          </cell>
        </row>
        <row r="1400">
          <cell r="B1400" t="str">
            <v>Materials</v>
          </cell>
          <cell r="C1400" t="str">
            <v>GI plane sheet Gutter 450 mm</v>
          </cell>
          <cell r="F1400">
            <v>309</v>
          </cell>
        </row>
        <row r="1401">
          <cell r="C1401" t="str">
            <v>MS bracket 3x40 mm</v>
          </cell>
          <cell r="F1401">
            <v>118.45</v>
          </cell>
        </row>
        <row r="1402">
          <cell r="C1402" t="str">
            <v xml:space="preserve">Nut bolt </v>
          </cell>
          <cell r="F1402">
            <v>11.84</v>
          </cell>
        </row>
        <row r="1403">
          <cell r="C1403" t="str">
            <v>Bitumin washer</v>
          </cell>
          <cell r="F1403">
            <v>0.51</v>
          </cell>
        </row>
        <row r="1404">
          <cell r="B1404" t="str">
            <v>Rate analysis for : 10.00 Rmtr.</v>
          </cell>
        </row>
        <row r="1415">
          <cell r="A1415">
            <v>6.17</v>
          </cell>
          <cell r="B1415" t="str">
            <v>F7</v>
          </cell>
          <cell r="C1415" t="str">
            <v xml:space="preserve">150 mm breadth upto 450 mm G. I. colour sheet Gutter fixing work with 3x40 mm  M.S. bracke,t nut bolt &amp;  washer . </v>
          </cell>
          <cell r="F1415" t="str">
            <v>Rmtr.</v>
          </cell>
        </row>
        <row r="1416">
          <cell r="B1416" t="str">
            <v>Resources</v>
          </cell>
          <cell r="C1416" t="str">
            <v>Level/Type</v>
          </cell>
          <cell r="F1416" t="str">
            <v>Rate</v>
          </cell>
        </row>
        <row r="1417">
          <cell r="B1417" t="str">
            <v>Labour</v>
          </cell>
          <cell r="C1417" t="str">
            <v>Skilled</v>
          </cell>
          <cell r="F1417">
            <v>600</v>
          </cell>
        </row>
        <row r="1418">
          <cell r="C1418" t="str">
            <v>Unskilled</v>
          </cell>
          <cell r="F1418">
            <v>350</v>
          </cell>
        </row>
        <row r="1419">
          <cell r="B1419" t="str">
            <v>Materials</v>
          </cell>
          <cell r="C1419" t="str">
            <v>GI colour sheet Gutter 450 mm</v>
          </cell>
          <cell r="F1419">
            <v>412</v>
          </cell>
        </row>
        <row r="1420">
          <cell r="C1420" t="str">
            <v>MS bracket 3x40 mm</v>
          </cell>
          <cell r="F1420">
            <v>118.45</v>
          </cell>
        </row>
        <row r="1421">
          <cell r="C1421" t="str">
            <v xml:space="preserve">Nut bolt </v>
          </cell>
          <cell r="F1421">
            <v>11.84</v>
          </cell>
        </row>
        <row r="1422">
          <cell r="C1422" t="str">
            <v>Bitumin washer</v>
          </cell>
          <cell r="F1422">
            <v>0.51</v>
          </cell>
        </row>
        <row r="1423">
          <cell r="B1423" t="str">
            <v>Rate analysis for : 10.00 Rmtr.</v>
          </cell>
        </row>
        <row r="1428">
          <cell r="A1428">
            <v>6.18</v>
          </cell>
          <cell r="B1428" t="str">
            <v>F10( 9-6)</v>
          </cell>
          <cell r="C1428" t="str">
            <v xml:space="preserve">Clay tile roofing work </v>
          </cell>
          <cell r="F1428" t="str">
            <v>Rmtr.</v>
          </cell>
        </row>
        <row r="1429">
          <cell r="B1429" t="str">
            <v>Resources</v>
          </cell>
          <cell r="C1429" t="str">
            <v>Level/Type</v>
          </cell>
          <cell r="F1429" t="str">
            <v>Rate</v>
          </cell>
        </row>
        <row r="1430">
          <cell r="B1430" t="str">
            <v>Labour</v>
          </cell>
          <cell r="C1430" t="str">
            <v>Skilled</v>
          </cell>
          <cell r="F1430">
            <v>600</v>
          </cell>
        </row>
        <row r="1431">
          <cell r="C1431" t="str">
            <v>Unskilled</v>
          </cell>
          <cell r="F1431">
            <v>350</v>
          </cell>
        </row>
        <row r="1432">
          <cell r="B1432" t="str">
            <v>Materials</v>
          </cell>
          <cell r="C1432" t="str">
            <v>Clay tile</v>
          </cell>
          <cell r="F1432">
            <v>10.3</v>
          </cell>
        </row>
        <row r="1433">
          <cell r="B1433" t="str">
            <v>Rate analysis for : 10.00 Rmtr.</v>
          </cell>
        </row>
        <row r="1438">
          <cell r="A1438">
            <v>6.19</v>
          </cell>
          <cell r="B1438" t="str">
            <v>F11( 9-7)</v>
          </cell>
          <cell r="C1438" t="str">
            <v xml:space="preserve">Clay tile  ridge  cover  </v>
          </cell>
          <cell r="F1438" t="str">
            <v>Rmtr.</v>
          </cell>
        </row>
        <row r="1439">
          <cell r="B1439" t="str">
            <v>Resources</v>
          </cell>
          <cell r="C1439" t="str">
            <v>Level/Type</v>
          </cell>
          <cell r="F1439" t="str">
            <v>Rate</v>
          </cell>
        </row>
        <row r="1440">
          <cell r="B1440" t="str">
            <v>Labour</v>
          </cell>
          <cell r="C1440" t="str">
            <v>Skilled</v>
          </cell>
          <cell r="F1440">
            <v>600</v>
          </cell>
        </row>
        <row r="1441">
          <cell r="C1441" t="str">
            <v>Unskilled</v>
          </cell>
          <cell r="F1441">
            <v>350</v>
          </cell>
        </row>
        <row r="1442">
          <cell r="B1442" t="str">
            <v>Materials</v>
          </cell>
          <cell r="C1442" t="str">
            <v>Clay tile ridge cover</v>
          </cell>
          <cell r="F1442">
            <v>11.84</v>
          </cell>
        </row>
        <row r="1443">
          <cell r="B1443" t="str">
            <v>Rate analysis for : 10.00 Rmtr.</v>
          </cell>
        </row>
        <row r="1448">
          <cell r="A1448">
            <v>6.2</v>
          </cell>
          <cell r="B1448" t="str">
            <v>F12( 9-8)</v>
          </cell>
          <cell r="C1448" t="str">
            <v xml:space="preserve">100 mm lime concrete (1:1:3) work </v>
          </cell>
          <cell r="F1448" t="str">
            <v>Sqm.</v>
          </cell>
        </row>
        <row r="1449">
          <cell r="B1449" t="str">
            <v>Resources</v>
          </cell>
          <cell r="C1449" t="str">
            <v>Level/Type</v>
          </cell>
          <cell r="F1449" t="str">
            <v>Rate</v>
          </cell>
        </row>
        <row r="1450">
          <cell r="B1450" t="str">
            <v>Labour</v>
          </cell>
          <cell r="C1450" t="str">
            <v>Skilled</v>
          </cell>
          <cell r="F1450">
            <v>600</v>
          </cell>
        </row>
        <row r="1451">
          <cell r="C1451" t="str">
            <v>Unskilled</v>
          </cell>
          <cell r="F1451">
            <v>350</v>
          </cell>
        </row>
        <row r="1452">
          <cell r="B1452" t="str">
            <v>Materials</v>
          </cell>
          <cell r="C1452" t="str">
            <v>Brick Aggrigate</v>
          </cell>
          <cell r="F1452">
            <v>1818.72</v>
          </cell>
        </row>
        <row r="1453">
          <cell r="C1453" t="str">
            <v>White lime</v>
          </cell>
          <cell r="F1453">
            <v>21.63</v>
          </cell>
        </row>
        <row r="1454">
          <cell r="C1454" t="str">
            <v>Surkhee</v>
          </cell>
          <cell r="F1454">
            <v>1818.72</v>
          </cell>
        </row>
        <row r="1455">
          <cell r="B1455" t="str">
            <v>Rate analysis for : 10.00 Sqm..</v>
          </cell>
        </row>
        <row r="1460">
          <cell r="A1460">
            <v>6.21</v>
          </cell>
          <cell r="B1460" t="str">
            <v>F13( 9-9A)</v>
          </cell>
          <cell r="C1460" t="str">
            <v>80 mm thick khar roof with bamboo frame</v>
          </cell>
          <cell r="F1460" t="str">
            <v>Sqm.</v>
          </cell>
        </row>
        <row r="1461">
          <cell r="B1461" t="str">
            <v>Resources</v>
          </cell>
          <cell r="C1461" t="str">
            <v>Level/Type</v>
          </cell>
          <cell r="F1461" t="str">
            <v>Rate</v>
          </cell>
        </row>
        <row r="1462">
          <cell r="B1462" t="str">
            <v>Labour</v>
          </cell>
          <cell r="C1462" t="str">
            <v>Skilled</v>
          </cell>
          <cell r="F1462">
            <v>600</v>
          </cell>
        </row>
        <row r="1463">
          <cell r="C1463" t="str">
            <v>Unskilled</v>
          </cell>
          <cell r="F1463">
            <v>350</v>
          </cell>
        </row>
        <row r="1464">
          <cell r="B1464" t="str">
            <v>Materials</v>
          </cell>
          <cell r="C1464" t="str">
            <v>Khar</v>
          </cell>
          <cell r="F1464">
            <v>14.48</v>
          </cell>
        </row>
        <row r="1465">
          <cell r="C1465" t="str">
            <v>Bamboo</v>
          </cell>
          <cell r="F1465">
            <v>154.5</v>
          </cell>
        </row>
        <row r="1466">
          <cell r="C1466" t="str">
            <v>Dori</v>
          </cell>
          <cell r="F1466">
            <v>61.8</v>
          </cell>
        </row>
        <row r="1467">
          <cell r="C1467" t="str">
            <v>Chattai</v>
          </cell>
          <cell r="F1467">
            <v>41.2</v>
          </cell>
        </row>
        <row r="1468">
          <cell r="B1468" t="str">
            <v>Rate analysis for : 10.00 Sqm..</v>
          </cell>
        </row>
        <row r="1473">
          <cell r="A1473">
            <v>6.22</v>
          </cell>
          <cell r="B1473" t="str">
            <v>F13( 9-9B)</v>
          </cell>
          <cell r="C1473" t="str">
            <v>150 mm thick khar roof with bamboo frame</v>
          </cell>
          <cell r="F1473" t="str">
            <v>Sqm.</v>
          </cell>
        </row>
        <row r="1474">
          <cell r="B1474" t="str">
            <v>Resources</v>
          </cell>
          <cell r="C1474" t="str">
            <v>Level/Type</v>
          </cell>
          <cell r="F1474" t="str">
            <v>Rate</v>
          </cell>
        </row>
        <row r="1475">
          <cell r="B1475" t="str">
            <v>Labour</v>
          </cell>
          <cell r="C1475" t="str">
            <v>Skilled</v>
          </cell>
          <cell r="F1475">
            <v>600</v>
          </cell>
        </row>
        <row r="1476">
          <cell r="C1476" t="str">
            <v>Unskilled</v>
          </cell>
          <cell r="F1476">
            <v>350</v>
          </cell>
        </row>
        <row r="1477">
          <cell r="B1477" t="str">
            <v>Materials</v>
          </cell>
          <cell r="C1477" t="str">
            <v>Khar</v>
          </cell>
          <cell r="F1477">
            <v>14.48</v>
          </cell>
        </row>
        <row r="1478">
          <cell r="C1478" t="str">
            <v>Bamboo</v>
          </cell>
          <cell r="F1478">
            <v>154.5</v>
          </cell>
        </row>
        <row r="1479">
          <cell r="C1479" t="str">
            <v>Dori</v>
          </cell>
          <cell r="F1479">
            <v>61.8</v>
          </cell>
        </row>
        <row r="1480">
          <cell r="C1480" t="str">
            <v>Chattai</v>
          </cell>
          <cell r="F1480">
            <v>41.2</v>
          </cell>
        </row>
        <row r="1481">
          <cell r="B1481" t="str">
            <v>Rate analysis for : 10.00 Sqm..</v>
          </cell>
        </row>
        <row r="1486">
          <cell r="A1486">
            <v>6.23</v>
          </cell>
          <cell r="B1486" t="str">
            <v xml:space="preserve">F14 </v>
          </cell>
          <cell r="C1486" t="str">
            <v xml:space="preserve">1.20 mm thick fiber glass corgated sheet roofing work </v>
          </cell>
          <cell r="F1486" t="str">
            <v>Sqm.</v>
          </cell>
        </row>
        <row r="1487">
          <cell r="B1487" t="str">
            <v>Resources</v>
          </cell>
          <cell r="C1487" t="str">
            <v>Level/Type</v>
          </cell>
          <cell r="F1487" t="str">
            <v>Rate</v>
          </cell>
        </row>
        <row r="1488">
          <cell r="B1488" t="str">
            <v>Labour</v>
          </cell>
          <cell r="C1488" t="str">
            <v>Skilled</v>
          </cell>
          <cell r="F1488">
            <v>600</v>
          </cell>
        </row>
        <row r="1489">
          <cell r="C1489" t="str">
            <v>Unskilled</v>
          </cell>
          <cell r="F1489">
            <v>350</v>
          </cell>
        </row>
        <row r="1490">
          <cell r="B1490" t="str">
            <v>Materials</v>
          </cell>
          <cell r="C1490" t="str">
            <v>Fiber glass 1.20 mm thick corgated</v>
          </cell>
          <cell r="F1490">
            <v>1274.52</v>
          </cell>
        </row>
        <row r="1491">
          <cell r="C1491" t="str">
            <v>Nutbolt 8 mm.</v>
          </cell>
          <cell r="F1491">
            <v>15.45</v>
          </cell>
        </row>
        <row r="1492">
          <cell r="C1492" t="str">
            <v>J-hook</v>
          </cell>
          <cell r="F1492">
            <v>19.309999999999999</v>
          </cell>
        </row>
        <row r="1493">
          <cell r="C1493" t="str">
            <v>Bitumin washer</v>
          </cell>
          <cell r="F1493">
            <v>0.51</v>
          </cell>
        </row>
        <row r="1494">
          <cell r="B1494" t="str">
            <v>Rate analysis for : 10.00 Sqm.</v>
          </cell>
        </row>
        <row r="1499">
          <cell r="A1499">
            <v>6.24</v>
          </cell>
          <cell r="B1499" t="str">
            <v>F18</v>
          </cell>
          <cell r="C1499" t="str">
            <v xml:space="preserve">Readymade colour concrete tile laying work on cement sand (1:4) screeding </v>
          </cell>
          <cell r="F1499" t="str">
            <v>Sqm.</v>
          </cell>
        </row>
        <row r="1500">
          <cell r="B1500" t="str">
            <v>Resources</v>
          </cell>
          <cell r="C1500" t="str">
            <v>Level/Type</v>
          </cell>
          <cell r="F1500" t="str">
            <v>Rate</v>
          </cell>
        </row>
        <row r="1501">
          <cell r="B1501" t="str">
            <v>Labour</v>
          </cell>
          <cell r="C1501" t="str">
            <v>Skilled</v>
          </cell>
          <cell r="F1501">
            <v>600</v>
          </cell>
        </row>
        <row r="1502">
          <cell r="C1502" t="str">
            <v>Unskilled</v>
          </cell>
          <cell r="F1502">
            <v>350</v>
          </cell>
        </row>
        <row r="1503">
          <cell r="B1503" t="str">
            <v>Materials</v>
          </cell>
          <cell r="C1503" t="str">
            <v>Cement</v>
          </cell>
          <cell r="F1503">
            <v>12566</v>
          </cell>
        </row>
        <row r="1504">
          <cell r="C1504" t="str">
            <v>Sand</v>
          </cell>
          <cell r="F1504">
            <v>1200</v>
          </cell>
        </row>
        <row r="1505">
          <cell r="C1505" t="str">
            <v xml:space="preserve">Readymade colour concrete tile </v>
          </cell>
          <cell r="F1505">
            <v>731.45999999999992</v>
          </cell>
        </row>
        <row r="1506">
          <cell r="B1506" t="str">
            <v>Rate analysis for : 10.00 Sqm.</v>
          </cell>
        </row>
        <row r="1511">
          <cell r="A1511">
            <v>6.25</v>
          </cell>
          <cell r="B1511" t="str">
            <v>F19( 10-17)</v>
          </cell>
          <cell r="C1511" t="str">
            <v>Making and fixing of Sal wood beam, lintel, etc</v>
          </cell>
          <cell r="F1511" t="str">
            <v>Cum.</v>
          </cell>
        </row>
        <row r="1512">
          <cell r="B1512" t="str">
            <v>Resources</v>
          </cell>
          <cell r="C1512" t="str">
            <v>Level/Type</v>
          </cell>
          <cell r="F1512" t="str">
            <v>Rate</v>
          </cell>
        </row>
        <row r="1513">
          <cell r="B1513" t="str">
            <v>Labour</v>
          </cell>
          <cell r="C1513" t="str">
            <v>Skilled</v>
          </cell>
          <cell r="F1513">
            <v>600</v>
          </cell>
        </row>
        <row r="1514">
          <cell r="C1514" t="str">
            <v>Unskilled</v>
          </cell>
          <cell r="F1514">
            <v>350</v>
          </cell>
        </row>
        <row r="1515">
          <cell r="B1515" t="str">
            <v>Materials</v>
          </cell>
          <cell r="C1515" t="str">
            <v>Wood Sal</v>
          </cell>
          <cell r="F1515">
            <v>138222.91</v>
          </cell>
        </row>
        <row r="1516">
          <cell r="C1516" t="str">
            <v>Killas</v>
          </cell>
        </row>
        <row r="1517">
          <cell r="B1517" t="str">
            <v>Rate analysis for : 1.00 Cum.</v>
          </cell>
        </row>
        <row r="1521">
          <cell r="A1521">
            <v>6.26</v>
          </cell>
          <cell r="B1521" t="str">
            <v xml:space="preserve"> F20(10-19)</v>
          </cell>
          <cell r="C1521" t="str">
            <v>Making and fixing of 25 mm sal wood eaves board</v>
          </cell>
          <cell r="F1521" t="str">
            <v>Sqm.</v>
          </cell>
        </row>
        <row r="1522">
          <cell r="B1522" t="str">
            <v>Resources</v>
          </cell>
          <cell r="C1522" t="str">
            <v>Level/Type</v>
          </cell>
          <cell r="F1522" t="str">
            <v>Rate</v>
          </cell>
        </row>
        <row r="1523">
          <cell r="B1523" t="str">
            <v>Labour</v>
          </cell>
          <cell r="C1523" t="str">
            <v>Skilled</v>
          </cell>
          <cell r="F1523">
            <v>600</v>
          </cell>
        </row>
        <row r="1524">
          <cell r="C1524" t="str">
            <v>Unskilled</v>
          </cell>
          <cell r="F1524">
            <v>350</v>
          </cell>
        </row>
        <row r="1525">
          <cell r="B1525" t="str">
            <v>Materials</v>
          </cell>
          <cell r="C1525" t="str">
            <v>Wood Sal</v>
          </cell>
          <cell r="F1525">
            <v>138222.91</v>
          </cell>
        </row>
        <row r="1526">
          <cell r="C1526" t="str">
            <v>Killas</v>
          </cell>
        </row>
        <row r="1527">
          <cell r="B1527" t="str">
            <v>Rate analysis for : 10.00 Sqm.</v>
          </cell>
        </row>
        <row r="1532">
          <cell r="A1532">
            <v>6.27</v>
          </cell>
          <cell r="B1532" t="str">
            <v>F22</v>
          </cell>
          <cell r="C1532" t="str">
            <v xml:space="preserve">2 mm thick UPVC roofing sheet roofing work </v>
          </cell>
          <cell r="F1532" t="str">
            <v>Sqm.</v>
          </cell>
        </row>
        <row r="1533">
          <cell r="B1533" t="str">
            <v>Resources</v>
          </cell>
          <cell r="C1533" t="str">
            <v>Level/Type</v>
          </cell>
          <cell r="F1533" t="str">
            <v>Rate</v>
          </cell>
        </row>
        <row r="1534">
          <cell r="B1534" t="str">
            <v>Labour</v>
          </cell>
          <cell r="C1534" t="str">
            <v>Skilled</v>
          </cell>
          <cell r="F1534">
            <v>600</v>
          </cell>
        </row>
        <row r="1535">
          <cell r="C1535" t="str">
            <v>Unskilled</v>
          </cell>
          <cell r="F1535">
            <v>350</v>
          </cell>
        </row>
        <row r="1536">
          <cell r="B1536" t="str">
            <v>Materials</v>
          </cell>
          <cell r="C1536" t="str">
            <v xml:space="preserve">UPVC roofing sheet 2 mm thick </v>
          </cell>
          <cell r="F1536">
            <v>0</v>
          </cell>
        </row>
        <row r="1537">
          <cell r="C1537" t="str">
            <v>Clip</v>
          </cell>
          <cell r="F1537">
            <v>11.84</v>
          </cell>
        </row>
        <row r="1538">
          <cell r="C1538" t="str">
            <v>Self Taping Screw 3"</v>
          </cell>
          <cell r="F1538">
            <v>11</v>
          </cell>
        </row>
        <row r="1539">
          <cell r="B1539" t="str">
            <v>Rate analysis for : 10.00 Sqm.</v>
          </cell>
        </row>
        <row r="1544">
          <cell r="A1544">
            <v>6.28</v>
          </cell>
          <cell r="B1544" t="str">
            <v>F23</v>
          </cell>
          <cell r="C1544" t="str">
            <v xml:space="preserve">3 mm thick UPVC roofing sheet roofing work </v>
          </cell>
          <cell r="F1544" t="str">
            <v>Sqm.</v>
          </cell>
        </row>
        <row r="1545">
          <cell r="B1545" t="str">
            <v>Resources</v>
          </cell>
          <cell r="C1545" t="str">
            <v>Level/Type</v>
          </cell>
          <cell r="F1545" t="str">
            <v>Rate</v>
          </cell>
        </row>
        <row r="1546">
          <cell r="B1546" t="str">
            <v>Labour</v>
          </cell>
          <cell r="C1546" t="str">
            <v>Skilled</v>
          </cell>
          <cell r="F1546">
            <v>600</v>
          </cell>
        </row>
        <row r="1547">
          <cell r="C1547" t="str">
            <v>Unskilled</v>
          </cell>
          <cell r="F1547">
            <v>350</v>
          </cell>
        </row>
        <row r="1548">
          <cell r="B1548" t="str">
            <v>Materials</v>
          </cell>
          <cell r="C1548" t="str">
            <v xml:space="preserve">UPVC roofing sheet 3 mm thick </v>
          </cell>
          <cell r="F1548">
            <v>1219.0999999999999</v>
          </cell>
        </row>
        <row r="1549">
          <cell r="C1549" t="str">
            <v>UPVC Clip</v>
          </cell>
          <cell r="F1549">
            <v>11</v>
          </cell>
        </row>
        <row r="1550">
          <cell r="C1550" t="str">
            <v>Self Taping Screw 3"</v>
          </cell>
          <cell r="F1550">
            <v>11</v>
          </cell>
        </row>
        <row r="1551">
          <cell r="B1551" t="str">
            <v>Rate analysis for : 10.00 Sqm.</v>
          </cell>
        </row>
        <row r="1556">
          <cell r="A1556">
            <v>6.29</v>
          </cell>
          <cell r="B1556" t="str">
            <v>F23</v>
          </cell>
          <cell r="C1556" t="str">
            <v xml:space="preserve">3 mm thick UPVC Ridge cover </v>
          </cell>
          <cell r="F1556" t="str">
            <v>Sqm.</v>
          </cell>
        </row>
        <row r="1557">
          <cell r="B1557" t="str">
            <v>Resources</v>
          </cell>
          <cell r="C1557" t="str">
            <v>Level/Type</v>
          </cell>
          <cell r="F1557" t="str">
            <v>Rate</v>
          </cell>
        </row>
        <row r="1558">
          <cell r="B1558" t="str">
            <v>Labour</v>
          </cell>
          <cell r="C1558" t="str">
            <v>Skilled</v>
          </cell>
          <cell r="F1558">
            <v>600</v>
          </cell>
        </row>
        <row r="1559">
          <cell r="C1559" t="str">
            <v>Unskilled</v>
          </cell>
          <cell r="F1559">
            <v>350</v>
          </cell>
        </row>
        <row r="1560">
          <cell r="B1560" t="str">
            <v>Materials</v>
          </cell>
          <cell r="C1560" t="str">
            <v>UPVC roofing sheet ridge cover</v>
          </cell>
          <cell r="F1560">
            <v>1583.25</v>
          </cell>
        </row>
        <row r="1561">
          <cell r="C1561" t="str">
            <v>UPVC Clip</v>
          </cell>
          <cell r="F1561">
            <v>11</v>
          </cell>
        </row>
        <row r="1562">
          <cell r="C1562" t="str">
            <v>Self Taping Screw 3"</v>
          </cell>
          <cell r="F1562">
            <v>11</v>
          </cell>
        </row>
        <row r="1563">
          <cell r="B1563" t="str">
            <v>Rate analysis for : 10.00 Sqm.</v>
          </cell>
        </row>
        <row r="1588">
          <cell r="A1588" t="str">
            <v>G - DOOR &amp; WINDOW WORK</v>
          </cell>
        </row>
        <row r="1590">
          <cell r="A1590">
            <v>7.01</v>
          </cell>
          <cell r="B1590" t="str">
            <v xml:space="preserve"> G1(10-1)</v>
          </cell>
          <cell r="C1590" t="str">
            <v>Sal wood works for chaukhats with all complete.</v>
          </cell>
          <cell r="F1590" t="str">
            <v>Cum.</v>
          </cell>
        </row>
        <row r="1591">
          <cell r="B1591" t="str">
            <v>Resources</v>
          </cell>
          <cell r="C1591" t="str">
            <v>Level/Type</v>
          </cell>
          <cell r="F1591" t="str">
            <v>Rate</v>
          </cell>
        </row>
        <row r="1592">
          <cell r="B1592" t="str">
            <v>Labour</v>
          </cell>
          <cell r="C1592" t="str">
            <v>Skilled</v>
          </cell>
          <cell r="F1592">
            <v>600</v>
          </cell>
        </row>
        <row r="1593">
          <cell r="C1593" t="str">
            <v>Unskilled</v>
          </cell>
          <cell r="F1593">
            <v>350</v>
          </cell>
        </row>
        <row r="1594">
          <cell r="B1594" t="str">
            <v>Materials</v>
          </cell>
          <cell r="C1594" t="str">
            <v>Wood Sal</v>
          </cell>
          <cell r="F1594">
            <v>138222.91</v>
          </cell>
        </row>
        <row r="1595">
          <cell r="C1595" t="str">
            <v>Hold fast</v>
          </cell>
          <cell r="F1595">
            <v>13.39</v>
          </cell>
        </row>
        <row r="1596">
          <cell r="C1596" t="str">
            <v>pech killas</v>
          </cell>
          <cell r="F1596">
            <v>0.77</v>
          </cell>
        </row>
        <row r="1597">
          <cell r="B1597" t="str">
            <v>Rate analysis for : 1.00 Cum.</v>
          </cell>
        </row>
        <row r="1602">
          <cell r="A1602">
            <v>7.02</v>
          </cell>
          <cell r="B1602" t="str">
            <v>G1(10-1)</v>
          </cell>
          <cell r="C1602" t="str">
            <v>Local wood works for chaukhats with all complete.</v>
          </cell>
          <cell r="F1602" t="str">
            <v>Cum.</v>
          </cell>
        </row>
        <row r="1603">
          <cell r="B1603" t="str">
            <v>Resources</v>
          </cell>
          <cell r="C1603" t="str">
            <v>Level/Type</v>
          </cell>
          <cell r="F1603" t="str">
            <v>Rate</v>
          </cell>
        </row>
        <row r="1604">
          <cell r="B1604" t="str">
            <v>Labour</v>
          </cell>
          <cell r="C1604" t="str">
            <v>Skilled</v>
          </cell>
          <cell r="F1604">
            <v>600</v>
          </cell>
        </row>
        <row r="1605">
          <cell r="C1605" t="str">
            <v>Unskilled</v>
          </cell>
          <cell r="F1605">
            <v>350</v>
          </cell>
        </row>
        <row r="1606">
          <cell r="B1606" t="str">
            <v>Materials</v>
          </cell>
          <cell r="C1606" t="str">
            <v>Wood Local</v>
          </cell>
          <cell r="F1606">
            <v>32737</v>
          </cell>
        </row>
        <row r="1607">
          <cell r="C1607" t="str">
            <v>Hold fast</v>
          </cell>
          <cell r="F1607">
            <v>13.39</v>
          </cell>
        </row>
        <row r="1608">
          <cell r="C1608" t="str">
            <v>pech killas</v>
          </cell>
          <cell r="F1608">
            <v>0.77</v>
          </cell>
        </row>
        <row r="1609">
          <cell r="B1609" t="str">
            <v>Rate analysis for : 1.00 Cum.</v>
          </cell>
        </row>
        <row r="1614">
          <cell r="A1614">
            <v>7.03</v>
          </cell>
          <cell r="B1614" t="str">
            <v>G2(10-2)</v>
          </cell>
          <cell r="C1614" t="str">
            <v>38 mm thick sal wood fully pannelled shutter fixing work with all complete. Size of shutter  1.07 x 1.982 =2.114 Sqm.</v>
          </cell>
          <cell r="F1614" t="str">
            <v>Sqm.</v>
          </cell>
        </row>
        <row r="1615">
          <cell r="B1615" t="str">
            <v>Resources</v>
          </cell>
          <cell r="C1615" t="str">
            <v>Level/Type</v>
          </cell>
          <cell r="F1615" t="str">
            <v>Rate</v>
          </cell>
        </row>
        <row r="1616">
          <cell r="B1616" t="str">
            <v>Labour</v>
          </cell>
          <cell r="C1616" t="str">
            <v>Skilled</v>
          </cell>
          <cell r="F1616">
            <v>600</v>
          </cell>
        </row>
        <row r="1617">
          <cell r="C1617" t="str">
            <v>Unskilled</v>
          </cell>
          <cell r="F1617">
            <v>350</v>
          </cell>
        </row>
        <row r="1618">
          <cell r="B1618" t="str">
            <v>Materials</v>
          </cell>
          <cell r="C1618" t="str">
            <v>Wood Sal</v>
          </cell>
          <cell r="F1618">
            <v>138222.91</v>
          </cell>
        </row>
        <row r="1619">
          <cell r="C1619" t="str">
            <v>Hinge  100 mm</v>
          </cell>
          <cell r="F1619">
            <v>30.9</v>
          </cell>
        </row>
        <row r="1620">
          <cell r="C1620" t="str">
            <v>Towerbolt 150 mm.</v>
          </cell>
          <cell r="F1620">
            <v>77.25</v>
          </cell>
        </row>
        <row r="1621">
          <cell r="C1621" t="str">
            <v>Towerbolt 300 mm.</v>
          </cell>
          <cell r="F1621">
            <v>123.6</v>
          </cell>
        </row>
        <row r="1622">
          <cell r="C1622" t="str">
            <v>Lockingset 250-300mm.</v>
          </cell>
          <cell r="F1622">
            <v>257.5</v>
          </cell>
        </row>
        <row r="1623">
          <cell r="C1623" t="str">
            <v>Handle</v>
          </cell>
          <cell r="F1623">
            <v>154.5</v>
          </cell>
        </row>
        <row r="1624">
          <cell r="C1624" t="str">
            <v>Pech killas</v>
          </cell>
        </row>
        <row r="1625">
          <cell r="B1625" t="str">
            <v>Rate analysis for : 2.114 Sqm.</v>
          </cell>
        </row>
        <row r="1630">
          <cell r="A1630">
            <v>7.04</v>
          </cell>
          <cell r="B1630" t="str">
            <v xml:space="preserve"> G3(10-4)</v>
          </cell>
          <cell r="C1630" t="str">
            <v>38 x 75 mm thick sal wood frame with 4 mm thick fully glazed shutter fixing work with all complete. Size of shutter  1.829 x 1.22 =2.23 Sqm.</v>
          </cell>
          <cell r="F1630" t="str">
            <v>Sqm.</v>
          </cell>
        </row>
        <row r="1631">
          <cell r="B1631" t="str">
            <v>Resources</v>
          </cell>
          <cell r="C1631" t="str">
            <v>Level/Type</v>
          </cell>
          <cell r="F1631" t="str">
            <v>Rate</v>
          </cell>
        </row>
        <row r="1632">
          <cell r="B1632" t="str">
            <v>Labour</v>
          </cell>
          <cell r="C1632" t="str">
            <v>Skilled</v>
          </cell>
          <cell r="F1632">
            <v>600</v>
          </cell>
        </row>
        <row r="1633">
          <cell r="C1633" t="str">
            <v>Unskilled</v>
          </cell>
          <cell r="F1633">
            <v>350</v>
          </cell>
        </row>
        <row r="1634">
          <cell r="B1634" t="str">
            <v>Materials</v>
          </cell>
          <cell r="C1634" t="str">
            <v>Wood Sal</v>
          </cell>
          <cell r="F1634">
            <v>138222.91</v>
          </cell>
        </row>
        <row r="1635">
          <cell r="C1635" t="str">
            <v>Glass 4 mm thick-Plane</v>
          </cell>
          <cell r="F1635">
            <v>664.96</v>
          </cell>
        </row>
        <row r="1636">
          <cell r="C1636" t="str">
            <v>Hinge   75 mm</v>
          </cell>
          <cell r="F1636">
            <v>20.6</v>
          </cell>
        </row>
        <row r="1637">
          <cell r="C1637" t="str">
            <v>Towerbolt 100 mm.</v>
          </cell>
          <cell r="F1637">
            <v>61.8</v>
          </cell>
        </row>
        <row r="1638">
          <cell r="C1638" t="str">
            <v>Handle</v>
          </cell>
          <cell r="F1638">
            <v>154.5</v>
          </cell>
        </row>
        <row r="1639">
          <cell r="C1639" t="str">
            <v>Pech killas</v>
          </cell>
        </row>
        <row r="1640">
          <cell r="B1640" t="str">
            <v>Rate analysis for : 2.23 Sqm.</v>
          </cell>
        </row>
        <row r="1645">
          <cell r="A1645">
            <v>7.05</v>
          </cell>
          <cell r="B1645" t="str">
            <v xml:space="preserve"> G3(10-4)</v>
          </cell>
          <cell r="C1645" t="str">
            <v>38 x 75 mm thick Gamhair wood frame with 4 mm thick fully glazed shutter fixing work with all complete. Size of shutter  1.829 x 1.22 =2.23 Sqm.</v>
          </cell>
          <cell r="F1645" t="str">
            <v>Sqm.</v>
          </cell>
        </row>
        <row r="1646">
          <cell r="B1646" t="str">
            <v>Resources</v>
          </cell>
          <cell r="C1646" t="str">
            <v>Level/Type</v>
          </cell>
          <cell r="F1646" t="str">
            <v>Rate</v>
          </cell>
        </row>
        <row r="1647">
          <cell r="B1647" t="str">
            <v>Labour</v>
          </cell>
          <cell r="C1647" t="str">
            <v>Skilled</v>
          </cell>
          <cell r="F1647">
            <v>600</v>
          </cell>
        </row>
        <row r="1648">
          <cell r="C1648" t="str">
            <v>Unskilled</v>
          </cell>
          <cell r="F1648">
            <v>350</v>
          </cell>
        </row>
        <row r="1649">
          <cell r="B1649" t="str">
            <v>Materials</v>
          </cell>
          <cell r="C1649" t="str">
            <v>Wood Gamhair</v>
          </cell>
          <cell r="F1649">
            <v>64382.770000000004</v>
          </cell>
        </row>
        <row r="1650">
          <cell r="C1650" t="str">
            <v>Glass 4 mm thick-Plane</v>
          </cell>
          <cell r="F1650">
            <v>664.96</v>
          </cell>
        </row>
        <row r="1651">
          <cell r="C1651" t="str">
            <v>Hinge   75 mm</v>
          </cell>
          <cell r="F1651">
            <v>20.6</v>
          </cell>
        </row>
        <row r="1652">
          <cell r="C1652" t="str">
            <v>Towerbolt 100 mm.</v>
          </cell>
          <cell r="F1652">
            <v>61.8</v>
          </cell>
        </row>
        <row r="1653">
          <cell r="C1653" t="str">
            <v>Handle</v>
          </cell>
          <cell r="F1653">
            <v>154.5</v>
          </cell>
        </row>
        <row r="1654">
          <cell r="C1654" t="str">
            <v>Pech killas</v>
          </cell>
        </row>
        <row r="1655">
          <cell r="B1655" t="str">
            <v>Rate analysis for : 2.23 Sqm.</v>
          </cell>
        </row>
        <row r="1660">
          <cell r="A1660">
            <v>7.06</v>
          </cell>
          <cell r="B1660" t="str">
            <v xml:space="preserve"> G4(10-7)</v>
          </cell>
          <cell r="C1660" t="str">
            <v>38 mm thick sal wood frame with 4 mm thick commercial plywood (bothside)  flush shutter fixing with all comolete. Size of shutter  1.092 x 2.058 =2.245 Sqm.</v>
          </cell>
          <cell r="F1660" t="str">
            <v>Sqm.</v>
          </cell>
        </row>
        <row r="1661">
          <cell r="B1661" t="str">
            <v>Resources</v>
          </cell>
          <cell r="C1661" t="str">
            <v>Level/Type</v>
          </cell>
          <cell r="F1661" t="str">
            <v>Rate</v>
          </cell>
        </row>
        <row r="1662">
          <cell r="B1662" t="str">
            <v>Labour</v>
          </cell>
          <cell r="C1662" t="str">
            <v>Skilled</v>
          </cell>
          <cell r="F1662">
            <v>600</v>
          </cell>
        </row>
        <row r="1663">
          <cell r="C1663" t="str">
            <v>Unskilled</v>
          </cell>
          <cell r="F1663">
            <v>350</v>
          </cell>
        </row>
        <row r="1664">
          <cell r="B1664" t="str">
            <v>Materials</v>
          </cell>
          <cell r="C1664" t="str">
            <v>Wood Sal</v>
          </cell>
          <cell r="F1664">
            <v>138222.91</v>
          </cell>
        </row>
        <row r="1665">
          <cell r="C1665" t="str">
            <v>Ply wood 4 mm thick commercial</v>
          </cell>
          <cell r="F1665">
            <v>277.07</v>
          </cell>
        </row>
        <row r="1666">
          <cell r="C1666" t="str">
            <v>Hinge  100 mm</v>
          </cell>
          <cell r="F1666">
            <v>30.9</v>
          </cell>
        </row>
        <row r="1667">
          <cell r="C1667" t="str">
            <v>Towerbolt 150 mm.</v>
          </cell>
          <cell r="F1667">
            <v>77.25</v>
          </cell>
        </row>
        <row r="1668">
          <cell r="C1668" t="str">
            <v xml:space="preserve">Mortice lock(Brass) </v>
          </cell>
          <cell r="F1668">
            <v>1261.75</v>
          </cell>
        </row>
        <row r="1669">
          <cell r="C1669" t="str">
            <v>Pech killas</v>
          </cell>
        </row>
        <row r="1670">
          <cell r="B1670" t="str">
            <v>Rate analysis for : 2.245 Sqm.</v>
          </cell>
        </row>
        <row r="1675">
          <cell r="A1675">
            <v>7.07</v>
          </cell>
          <cell r="B1675" t="str">
            <v xml:space="preserve"> G4(10-8)</v>
          </cell>
          <cell r="C1675" t="str">
            <v>38 mm thick sal wood frame with 3 mm thick TEAK plywood (Both side ) flush shutter fixing with all comolete. Size of shutter  1.092 x 2.058 =2.245 Sqm.</v>
          </cell>
          <cell r="F1675" t="str">
            <v>Sqm.</v>
          </cell>
        </row>
        <row r="1676">
          <cell r="B1676" t="str">
            <v>Resources</v>
          </cell>
          <cell r="C1676" t="str">
            <v>Level/Type</v>
          </cell>
          <cell r="F1676" t="str">
            <v>Rate</v>
          </cell>
        </row>
        <row r="1677">
          <cell r="B1677" t="str">
            <v>Labour</v>
          </cell>
          <cell r="C1677" t="str">
            <v>Skilled</v>
          </cell>
          <cell r="F1677">
            <v>600</v>
          </cell>
        </row>
        <row r="1678">
          <cell r="C1678" t="str">
            <v>Unskilled</v>
          </cell>
          <cell r="F1678">
            <v>350</v>
          </cell>
        </row>
        <row r="1679">
          <cell r="B1679" t="str">
            <v>Materials</v>
          </cell>
          <cell r="C1679" t="str">
            <v>Wood Sal</v>
          </cell>
          <cell r="F1679">
            <v>138222.91</v>
          </cell>
        </row>
        <row r="1680">
          <cell r="C1680" t="str">
            <v>Ply wood 4 mm thick Teak</v>
          </cell>
          <cell r="F1680">
            <v>664.96</v>
          </cell>
        </row>
        <row r="1681">
          <cell r="C1681" t="str">
            <v>Hinge  100 mm</v>
          </cell>
          <cell r="F1681">
            <v>30.9</v>
          </cell>
        </row>
        <row r="1682">
          <cell r="C1682" t="str">
            <v>Towerbolt 150 mm.</v>
          </cell>
          <cell r="F1682">
            <v>77.25</v>
          </cell>
        </row>
        <row r="1683">
          <cell r="C1683" t="str">
            <v xml:space="preserve">Mortice lock(Brass) </v>
          </cell>
          <cell r="F1683">
            <v>1261.75</v>
          </cell>
        </row>
        <row r="1684">
          <cell r="C1684" t="str">
            <v>Pech killas</v>
          </cell>
        </row>
        <row r="1685">
          <cell r="B1685" t="str">
            <v>Rate analysis for : 2.245 Sqm.</v>
          </cell>
        </row>
        <row r="1700">
          <cell r="A1700">
            <v>7.08</v>
          </cell>
          <cell r="B1700" t="str">
            <v xml:space="preserve"> G4(10-9)</v>
          </cell>
          <cell r="C1700" t="str">
            <v>38 mm thick sal wood frame with 26 Bwg G.I. plane sheet  (bothside)  shutter fixing with all comolete. Size of shutter  1.092 x 2.058 =2.245 Sqm.</v>
          </cell>
          <cell r="F1700" t="str">
            <v>Sqm.</v>
          </cell>
        </row>
        <row r="1701">
          <cell r="B1701" t="str">
            <v>Resources</v>
          </cell>
          <cell r="C1701" t="str">
            <v>Level/Type</v>
          </cell>
          <cell r="F1701" t="str">
            <v>Rate</v>
          </cell>
        </row>
        <row r="1702">
          <cell r="B1702" t="str">
            <v>Labour</v>
          </cell>
          <cell r="C1702" t="str">
            <v>Skilled</v>
          </cell>
          <cell r="F1702">
            <v>600</v>
          </cell>
        </row>
        <row r="1703">
          <cell r="C1703" t="str">
            <v>Unskilled</v>
          </cell>
          <cell r="F1703">
            <v>350</v>
          </cell>
        </row>
        <row r="1704">
          <cell r="B1704" t="str">
            <v>Materials</v>
          </cell>
          <cell r="C1704" t="str">
            <v>Wood Sal</v>
          </cell>
          <cell r="F1704">
            <v>138222.91</v>
          </cell>
        </row>
        <row r="1705">
          <cell r="C1705" t="str">
            <v>GI plane sheet 26 gauge</v>
          </cell>
          <cell r="F1705">
            <v>886.62</v>
          </cell>
        </row>
        <row r="1706">
          <cell r="C1706" t="str">
            <v>Hinge  100 mm</v>
          </cell>
          <cell r="F1706">
            <v>30.9</v>
          </cell>
        </row>
        <row r="1707">
          <cell r="C1707" t="str">
            <v>Towerbolt 150 mm.</v>
          </cell>
          <cell r="F1707">
            <v>77.25</v>
          </cell>
        </row>
        <row r="1708">
          <cell r="C1708" t="str">
            <v>Handle</v>
          </cell>
          <cell r="F1708">
            <v>154.5</v>
          </cell>
        </row>
        <row r="1709">
          <cell r="C1709" t="str">
            <v>Lockingset 250 mm.</v>
          </cell>
          <cell r="F1709">
            <v>97.85</v>
          </cell>
        </row>
        <row r="1710">
          <cell r="C1710" t="str">
            <v>Pech killas</v>
          </cell>
        </row>
        <row r="1711">
          <cell r="B1711" t="str">
            <v>Rate analysis for : 2.245 Sqm.</v>
          </cell>
        </row>
        <row r="1716">
          <cell r="A1716">
            <v>7.09</v>
          </cell>
          <cell r="B1716" t="str">
            <v xml:space="preserve"> G4(10-10)</v>
          </cell>
          <cell r="C1716" t="str">
            <v>38 mm thick sal wood frame with 24 Bwg G.I. mosquito proof &amp; expended metal net net shutter fixing with all comolete. Size of shutter  1.092 x 2.058 =2.245 Sqm.</v>
          </cell>
          <cell r="F1716" t="str">
            <v>Sqm.</v>
          </cell>
        </row>
        <row r="1717">
          <cell r="B1717" t="str">
            <v>Resources</v>
          </cell>
          <cell r="C1717" t="str">
            <v>Level/Type</v>
          </cell>
          <cell r="F1717" t="str">
            <v>Rate</v>
          </cell>
        </row>
        <row r="1718">
          <cell r="B1718" t="str">
            <v>Labour</v>
          </cell>
          <cell r="C1718" t="str">
            <v>Skilled</v>
          </cell>
          <cell r="F1718">
            <v>600</v>
          </cell>
        </row>
        <row r="1719">
          <cell r="C1719" t="str">
            <v>Unskilled</v>
          </cell>
          <cell r="F1719">
            <v>350</v>
          </cell>
        </row>
        <row r="1720">
          <cell r="B1720" t="str">
            <v>Materials</v>
          </cell>
          <cell r="C1720" t="str">
            <v>Wood Sal</v>
          </cell>
          <cell r="F1720">
            <v>138222.91</v>
          </cell>
        </row>
        <row r="1721">
          <cell r="C1721" t="str">
            <v xml:space="preserve">Mosquito proof net </v>
          </cell>
          <cell r="F1721">
            <v>332.48</v>
          </cell>
        </row>
        <row r="1722">
          <cell r="C1722" t="str">
            <v xml:space="preserve">Expended metal </v>
          </cell>
          <cell r="F1722">
            <v>581.84</v>
          </cell>
        </row>
        <row r="1723">
          <cell r="C1723" t="str">
            <v>Hinge  100 mm</v>
          </cell>
          <cell r="F1723">
            <v>30.9</v>
          </cell>
        </row>
        <row r="1724">
          <cell r="C1724" t="str">
            <v>Towerbolt 150 mm.</v>
          </cell>
          <cell r="F1724">
            <v>77.25</v>
          </cell>
        </row>
        <row r="1725">
          <cell r="C1725" t="str">
            <v>Handle</v>
          </cell>
          <cell r="F1725">
            <v>154.5</v>
          </cell>
        </row>
        <row r="1726">
          <cell r="C1726" t="str">
            <v>Door spring</v>
          </cell>
          <cell r="F1726">
            <v>173.04</v>
          </cell>
        </row>
        <row r="1727">
          <cell r="C1727" t="str">
            <v>Pech killas</v>
          </cell>
        </row>
        <row r="1728">
          <cell r="B1728" t="str">
            <v>Rate analysis for : 2.245 Sqm.</v>
          </cell>
        </row>
        <row r="1733">
          <cell r="A1733">
            <v>7.1</v>
          </cell>
          <cell r="B1733" t="str">
            <v xml:space="preserve"> G4(10-10)</v>
          </cell>
          <cell r="C1733" t="str">
            <v>38 mm thick sal wood frame with 24 Bwg G.I. mosquito proof net shutter fixing with all comolete. Size of shutter  1.092 x 2.058 =2.245 Sqm.</v>
          </cell>
          <cell r="F1733" t="str">
            <v>Sqm.</v>
          </cell>
        </row>
        <row r="1734">
          <cell r="B1734" t="str">
            <v>Resources</v>
          </cell>
          <cell r="C1734" t="str">
            <v>Level/Type</v>
          </cell>
          <cell r="F1734" t="str">
            <v>Rate</v>
          </cell>
        </row>
        <row r="1735">
          <cell r="B1735" t="str">
            <v>Labour</v>
          </cell>
          <cell r="C1735" t="str">
            <v>Skilled</v>
          </cell>
          <cell r="F1735">
            <v>600</v>
          </cell>
        </row>
        <row r="1736">
          <cell r="C1736" t="str">
            <v>Unskilled</v>
          </cell>
          <cell r="F1736">
            <v>350</v>
          </cell>
        </row>
        <row r="1737">
          <cell r="B1737" t="str">
            <v>Materials</v>
          </cell>
          <cell r="C1737" t="str">
            <v>Wood Sal</v>
          </cell>
          <cell r="F1737">
            <v>138222.91</v>
          </cell>
        </row>
        <row r="1738">
          <cell r="C1738" t="str">
            <v xml:space="preserve">Mosquito proof net </v>
          </cell>
          <cell r="F1738">
            <v>332.48</v>
          </cell>
        </row>
        <row r="1739">
          <cell r="C1739" t="str">
            <v>Hinge  100 mm</v>
          </cell>
          <cell r="F1739">
            <v>30.9</v>
          </cell>
        </row>
        <row r="1740">
          <cell r="C1740" t="str">
            <v>Towerbolt 150 mm.</v>
          </cell>
          <cell r="F1740">
            <v>77.25</v>
          </cell>
        </row>
        <row r="1741">
          <cell r="C1741" t="str">
            <v>Handle</v>
          </cell>
          <cell r="F1741">
            <v>154.5</v>
          </cell>
        </row>
        <row r="1742">
          <cell r="C1742" t="str">
            <v>Door spring</v>
          </cell>
          <cell r="F1742">
            <v>173.04</v>
          </cell>
        </row>
        <row r="1743">
          <cell r="C1743" t="str">
            <v>Pech killas</v>
          </cell>
        </row>
        <row r="1744">
          <cell r="B1744" t="str">
            <v>Rate analysis for : 2.245 Sqm.</v>
          </cell>
        </row>
        <row r="1757">
          <cell r="A1757">
            <v>7.11</v>
          </cell>
          <cell r="B1757" t="str">
            <v xml:space="preserve"> G5(10-11B)</v>
          </cell>
          <cell r="C1757" t="str">
            <v>4 mm thick plane glass fixing work with wooden listies.</v>
          </cell>
          <cell r="F1757" t="str">
            <v>Sqm.</v>
          </cell>
        </row>
        <row r="1758">
          <cell r="B1758" t="str">
            <v>Resources</v>
          </cell>
          <cell r="C1758" t="str">
            <v>Level/Type</v>
          </cell>
          <cell r="F1758" t="str">
            <v>Rate</v>
          </cell>
        </row>
        <row r="1759">
          <cell r="B1759" t="str">
            <v>Labour</v>
          </cell>
          <cell r="C1759" t="str">
            <v>Skilled</v>
          </cell>
          <cell r="F1759">
            <v>600</v>
          </cell>
        </row>
        <row r="1760">
          <cell r="C1760" t="str">
            <v>Unskilled</v>
          </cell>
          <cell r="F1760">
            <v>350</v>
          </cell>
        </row>
        <row r="1761">
          <cell r="B1761" t="str">
            <v>Materials</v>
          </cell>
          <cell r="C1761" t="str">
            <v>Glass 4 mm thick-Plane</v>
          </cell>
          <cell r="F1761">
            <v>664.96</v>
          </cell>
        </row>
        <row r="1762">
          <cell r="C1762" t="str">
            <v>Wooden listies ½"</v>
          </cell>
          <cell r="F1762">
            <v>10.129999999999999</v>
          </cell>
        </row>
        <row r="1763">
          <cell r="C1763" t="str">
            <v>Killas</v>
          </cell>
        </row>
        <row r="1764">
          <cell r="B1764" t="str">
            <v>Rate analysis for : 1.00 Sqm.</v>
          </cell>
        </row>
        <row r="1769">
          <cell r="A1769">
            <v>7.12</v>
          </cell>
          <cell r="B1769" t="str">
            <v xml:space="preserve"> G5(10-11B)</v>
          </cell>
          <cell r="C1769" t="str">
            <v>26 Bwg plane sheet fixing work with wooden listies.</v>
          </cell>
          <cell r="F1769" t="str">
            <v>Sqm.</v>
          </cell>
        </row>
        <row r="1770">
          <cell r="B1770" t="str">
            <v>Resources</v>
          </cell>
          <cell r="C1770" t="str">
            <v>Level/Type</v>
          </cell>
          <cell r="F1770" t="str">
            <v>Rate</v>
          </cell>
        </row>
        <row r="1771">
          <cell r="B1771" t="str">
            <v>Labour</v>
          </cell>
          <cell r="C1771" t="str">
            <v>Skilled</v>
          </cell>
          <cell r="F1771">
            <v>600</v>
          </cell>
        </row>
        <row r="1772">
          <cell r="C1772" t="str">
            <v>Unskilled</v>
          </cell>
          <cell r="F1772">
            <v>350</v>
          </cell>
        </row>
        <row r="1773">
          <cell r="B1773" t="str">
            <v>Materials</v>
          </cell>
          <cell r="C1773" t="str">
            <v>GI plane sheet 26 gauge</v>
          </cell>
          <cell r="F1773">
            <v>886.62</v>
          </cell>
        </row>
        <row r="1774">
          <cell r="C1774" t="str">
            <v>Wooden listies ¾"</v>
          </cell>
          <cell r="F1774">
            <v>11.82</v>
          </cell>
        </row>
        <row r="1775">
          <cell r="C1775" t="str">
            <v>Killas</v>
          </cell>
          <cell r="F1775">
            <v>113.3</v>
          </cell>
        </row>
        <row r="1776">
          <cell r="B1776" t="str">
            <v>Rate analysis for : 1.00 Sqm.</v>
          </cell>
        </row>
        <row r="1781">
          <cell r="A1781">
            <v>7.13</v>
          </cell>
          <cell r="B1781" t="str">
            <v xml:space="preserve"> G6(10-12)</v>
          </cell>
          <cell r="C1781" t="str">
            <v>4 mm thick ply wood fixing work with wooden listies.</v>
          </cell>
          <cell r="F1781" t="str">
            <v>Sqm.</v>
          </cell>
        </row>
        <row r="1782">
          <cell r="B1782" t="str">
            <v>Resources</v>
          </cell>
          <cell r="C1782" t="str">
            <v>Level/Type</v>
          </cell>
          <cell r="F1782" t="str">
            <v>Rate</v>
          </cell>
        </row>
        <row r="1783">
          <cell r="B1783" t="str">
            <v>Labour</v>
          </cell>
          <cell r="C1783" t="str">
            <v>Skilled</v>
          </cell>
          <cell r="F1783">
            <v>600</v>
          </cell>
        </row>
        <row r="1784">
          <cell r="C1784" t="str">
            <v>Unskilled</v>
          </cell>
          <cell r="F1784">
            <v>350</v>
          </cell>
        </row>
        <row r="1785">
          <cell r="B1785" t="str">
            <v>Materials</v>
          </cell>
          <cell r="C1785" t="str">
            <v>Ply wood 4 mm thick commercial</v>
          </cell>
          <cell r="F1785">
            <v>277.07</v>
          </cell>
        </row>
        <row r="1786">
          <cell r="C1786" t="str">
            <v>Wooden listies 1"</v>
          </cell>
          <cell r="F1786">
            <v>15.2</v>
          </cell>
        </row>
        <row r="1787">
          <cell r="C1787" t="str">
            <v>Killas</v>
          </cell>
          <cell r="F1787">
            <v>113.3</v>
          </cell>
        </row>
        <row r="1788">
          <cell r="B1788" t="str">
            <v>Rate analysis for : 1.00 Sqm.</v>
          </cell>
        </row>
        <row r="1793">
          <cell r="A1793">
            <v>7.14</v>
          </cell>
          <cell r="B1793" t="str">
            <v>G5(10-11B)</v>
          </cell>
          <cell r="C1793" t="str">
            <v>Mosquito proof net fixing work with wooden listies.</v>
          </cell>
          <cell r="F1793" t="str">
            <v>Sqm.</v>
          </cell>
        </row>
        <row r="1794">
          <cell r="B1794" t="str">
            <v>Resources</v>
          </cell>
          <cell r="C1794" t="str">
            <v>Level/Type</v>
          </cell>
          <cell r="F1794" t="str">
            <v>Rate</v>
          </cell>
        </row>
        <row r="1795">
          <cell r="B1795" t="str">
            <v>Labour</v>
          </cell>
          <cell r="C1795" t="str">
            <v>Skilled</v>
          </cell>
          <cell r="F1795">
            <v>600</v>
          </cell>
        </row>
        <row r="1796">
          <cell r="C1796" t="str">
            <v>Unskilled</v>
          </cell>
          <cell r="F1796">
            <v>350</v>
          </cell>
        </row>
        <row r="1797">
          <cell r="B1797" t="str">
            <v>Materials</v>
          </cell>
          <cell r="C1797" t="str">
            <v xml:space="preserve">Mosquito proof net </v>
          </cell>
          <cell r="F1797">
            <v>332.48</v>
          </cell>
        </row>
        <row r="1798">
          <cell r="C1798" t="str">
            <v xml:space="preserve">Wooden listies ¾" </v>
          </cell>
          <cell r="F1798">
            <v>11.82</v>
          </cell>
        </row>
        <row r="1799">
          <cell r="C1799" t="str">
            <v>Killas</v>
          </cell>
          <cell r="F1799">
            <v>113.3</v>
          </cell>
        </row>
        <row r="1800">
          <cell r="B1800" t="str">
            <v>Rate analysis for : 1.00 Sqm.</v>
          </cell>
        </row>
        <row r="1805">
          <cell r="A1805">
            <v>7.15</v>
          </cell>
          <cell r="B1805" t="str">
            <v>G5(10-11B)</v>
          </cell>
          <cell r="C1805" t="str">
            <v>Mosquito proof  &amp; expended metal net fixing work with wooden listies.</v>
          </cell>
          <cell r="F1805" t="str">
            <v>Sqm.</v>
          </cell>
        </row>
        <row r="1806">
          <cell r="B1806" t="str">
            <v>Resources</v>
          </cell>
          <cell r="C1806" t="str">
            <v>Level/Type</v>
          </cell>
          <cell r="F1806" t="str">
            <v>Rate</v>
          </cell>
        </row>
        <row r="1807">
          <cell r="B1807" t="str">
            <v>Labour</v>
          </cell>
          <cell r="C1807" t="str">
            <v>Skilled</v>
          </cell>
          <cell r="F1807">
            <v>600</v>
          </cell>
        </row>
        <row r="1808">
          <cell r="C1808" t="str">
            <v>Unskilled</v>
          </cell>
          <cell r="F1808">
            <v>350</v>
          </cell>
        </row>
        <row r="1809">
          <cell r="B1809" t="str">
            <v>Materials</v>
          </cell>
          <cell r="C1809" t="str">
            <v xml:space="preserve">Mosquito proof net </v>
          </cell>
          <cell r="F1809">
            <v>332.48</v>
          </cell>
        </row>
        <row r="1810">
          <cell r="C1810" t="str">
            <v xml:space="preserve">Expended metal </v>
          </cell>
          <cell r="F1810">
            <v>581.84</v>
          </cell>
        </row>
        <row r="1811">
          <cell r="C1811" t="str">
            <v>Wooden listies 1"</v>
          </cell>
          <cell r="F1811">
            <v>15.2</v>
          </cell>
        </row>
        <row r="1812">
          <cell r="C1812" t="str">
            <v>Killas</v>
          </cell>
          <cell r="F1812">
            <v>113.3</v>
          </cell>
        </row>
        <row r="1813">
          <cell r="B1813" t="str">
            <v>Rate analysis for : 1.00 Sqm.</v>
          </cell>
        </row>
        <row r="1818">
          <cell r="A1818">
            <v>7.16</v>
          </cell>
          <cell r="B1818" t="str">
            <v>10-16-A</v>
          </cell>
          <cell r="C1818" t="str">
            <v>False ceiling of 4 mm thick commerical plywood  with 50 mm x 75 mm size local wood frame of box size 0.600 x 0.900 m and fixing of wooden listy in joints</v>
          </cell>
          <cell r="F1818" t="str">
            <v>Sqm.</v>
          </cell>
        </row>
        <row r="1819">
          <cell r="B1819" t="str">
            <v>Resources</v>
          </cell>
          <cell r="C1819" t="str">
            <v>Level/Type</v>
          </cell>
          <cell r="F1819" t="str">
            <v>Rate</v>
          </cell>
        </row>
        <row r="1820">
          <cell r="B1820" t="str">
            <v>Labour</v>
          </cell>
          <cell r="C1820" t="str">
            <v>Skilled</v>
          </cell>
          <cell r="F1820">
            <v>600</v>
          </cell>
        </row>
        <row r="1821">
          <cell r="C1821" t="str">
            <v>Unskilled</v>
          </cell>
          <cell r="F1821">
            <v>350</v>
          </cell>
        </row>
        <row r="1822">
          <cell r="B1822" t="str">
            <v>Materials</v>
          </cell>
          <cell r="C1822" t="str">
            <v>Wood Local</v>
          </cell>
          <cell r="F1822">
            <v>32737</v>
          </cell>
        </row>
        <row r="1823">
          <cell r="C1823" t="str">
            <v>Ply wood 4 mm thick commercial</v>
          </cell>
          <cell r="F1823">
            <v>277.07</v>
          </cell>
        </row>
        <row r="1824">
          <cell r="C1824" t="str">
            <v>Wooden listies 1½"</v>
          </cell>
          <cell r="F1824">
            <v>20.27</v>
          </cell>
        </row>
        <row r="1825">
          <cell r="C1825" t="str">
            <v>Killas</v>
          </cell>
          <cell r="F1825">
            <v>113.3</v>
          </cell>
        </row>
        <row r="1826">
          <cell r="B1826" t="str">
            <v>Rate analysis for : 35.58 Sqm.</v>
          </cell>
        </row>
        <row r="1831">
          <cell r="A1831">
            <v>7.17</v>
          </cell>
          <cell r="B1831" t="str">
            <v xml:space="preserve"> G7(10-21)</v>
          </cell>
          <cell r="C1831" t="str">
            <v>Torsteel reinforcement bar fixing work in window frame with all complete,</v>
          </cell>
          <cell r="F1831" t="str">
            <v>Kg.</v>
          </cell>
        </row>
        <row r="1832">
          <cell r="B1832" t="str">
            <v>Resources</v>
          </cell>
          <cell r="C1832" t="str">
            <v>Level/Type</v>
          </cell>
          <cell r="F1832" t="str">
            <v>Rate</v>
          </cell>
        </row>
        <row r="1833">
          <cell r="B1833" t="str">
            <v>Labour</v>
          </cell>
          <cell r="C1833" t="str">
            <v>Skilled</v>
          </cell>
          <cell r="F1833">
            <v>600</v>
          </cell>
        </row>
        <row r="1834">
          <cell r="C1834" t="str">
            <v>Unskilled</v>
          </cell>
          <cell r="F1834">
            <v>350</v>
          </cell>
        </row>
        <row r="1835">
          <cell r="B1835" t="str">
            <v>Materials</v>
          </cell>
          <cell r="C1835" t="str">
            <v xml:space="preserve">TOR/TMT reinforcement bar </v>
          </cell>
          <cell r="F1835">
            <v>83945</v>
          </cell>
        </row>
        <row r="1836">
          <cell r="B1836" t="str">
            <v>Rate analysis for : 1.00 M.T.</v>
          </cell>
        </row>
        <row r="1841">
          <cell r="A1841">
            <v>7.18</v>
          </cell>
          <cell r="B1841" t="str">
            <v xml:space="preserve"> G8(10-3 &amp; 10-7)</v>
          </cell>
          <cell r="C1841" t="str">
            <v>38 x100mm thick sal wood frame with 12 mm thick commercial plywood pannelled &amp; one side 4 mm thick Teak plywood pannelled shutter fixing with all comolete. Size of shutter  1.092 x 2.058 =2.245 Sqm.</v>
          </cell>
          <cell r="F1841" t="str">
            <v>Sqm.</v>
          </cell>
        </row>
        <row r="1842">
          <cell r="B1842" t="str">
            <v>Resources</v>
          </cell>
          <cell r="C1842" t="str">
            <v>Level/Type</v>
          </cell>
          <cell r="F1842" t="str">
            <v>Rate</v>
          </cell>
        </row>
        <row r="1843">
          <cell r="B1843" t="str">
            <v>Labour</v>
          </cell>
          <cell r="C1843" t="str">
            <v>Skilled</v>
          </cell>
          <cell r="F1843">
            <v>600</v>
          </cell>
        </row>
        <row r="1844">
          <cell r="C1844" t="str">
            <v>Unskilled</v>
          </cell>
          <cell r="F1844">
            <v>350</v>
          </cell>
        </row>
        <row r="1845">
          <cell r="B1845" t="str">
            <v>Materials</v>
          </cell>
          <cell r="C1845" t="str">
            <v>Wood Sal</v>
          </cell>
          <cell r="F1845">
            <v>138222.91</v>
          </cell>
        </row>
        <row r="1846">
          <cell r="C1846" t="str">
            <v>Ply wood 12 mm thick commercial</v>
          </cell>
          <cell r="F1846">
            <v>997.44999999999993</v>
          </cell>
        </row>
        <row r="1847">
          <cell r="C1847" t="str">
            <v>Ply wood 4 mm thick Teak</v>
          </cell>
          <cell r="F1847">
            <v>664.96</v>
          </cell>
        </row>
        <row r="1848">
          <cell r="C1848" t="str">
            <v xml:space="preserve">Wooden listies ¾" </v>
          </cell>
          <cell r="F1848">
            <v>11.82</v>
          </cell>
        </row>
        <row r="1849">
          <cell r="C1849" t="str">
            <v>Fevicol</v>
          </cell>
        </row>
        <row r="1850">
          <cell r="C1850" t="str">
            <v>Hinge  100 mm</v>
          </cell>
          <cell r="F1850">
            <v>30.9</v>
          </cell>
        </row>
        <row r="1851">
          <cell r="C1851" t="str">
            <v>Towerbolt 150 mm.</v>
          </cell>
          <cell r="F1851">
            <v>77.25</v>
          </cell>
        </row>
        <row r="1852">
          <cell r="C1852" t="str">
            <v xml:space="preserve">Mortice lock(Brass) </v>
          </cell>
          <cell r="F1852">
            <v>1261.75</v>
          </cell>
        </row>
        <row r="1853">
          <cell r="C1853" t="str">
            <v>Pech killas</v>
          </cell>
        </row>
        <row r="1854">
          <cell r="B1854" t="str">
            <v>Rate analysis for : 2.245 Sqm.</v>
          </cell>
        </row>
        <row r="1871">
          <cell r="A1871">
            <v>7.19</v>
          </cell>
          <cell r="B1871" t="str">
            <v xml:space="preserve"> G9(10-3 &amp; 10-7)</v>
          </cell>
          <cell r="C1871" t="str">
            <v>38 x100mm thick sal wood frame with 12 mm thick commercial plywood pannelled &amp; both side 4 mm thick Teak plywood pannelled shutter fixing with all comolete. Size of shutter  1.092 x 2.058 =2.245 Sqm.</v>
          </cell>
          <cell r="F1871" t="str">
            <v>Sqm.</v>
          </cell>
        </row>
        <row r="1872">
          <cell r="B1872" t="str">
            <v>Resources</v>
          </cell>
          <cell r="C1872" t="str">
            <v>Level/Type</v>
          </cell>
          <cell r="F1872" t="str">
            <v>Rate</v>
          </cell>
        </row>
        <row r="1873">
          <cell r="B1873" t="str">
            <v>Labour</v>
          </cell>
          <cell r="C1873" t="str">
            <v>Skilled</v>
          </cell>
          <cell r="F1873">
            <v>600</v>
          </cell>
        </row>
        <row r="1874">
          <cell r="C1874" t="str">
            <v>Unskilled</v>
          </cell>
          <cell r="F1874">
            <v>350</v>
          </cell>
        </row>
        <row r="1875">
          <cell r="B1875" t="str">
            <v>Materials</v>
          </cell>
          <cell r="C1875" t="str">
            <v>Wood Sal</v>
          </cell>
          <cell r="F1875">
            <v>138222.91</v>
          </cell>
        </row>
        <row r="1876">
          <cell r="C1876" t="str">
            <v>Ply wood 12 mm thick commercial</v>
          </cell>
          <cell r="F1876">
            <v>997.44999999999993</v>
          </cell>
        </row>
        <row r="1877">
          <cell r="C1877" t="str">
            <v>Ply wood 4 mm thick Teak</v>
          </cell>
          <cell r="F1877">
            <v>664.96</v>
          </cell>
        </row>
        <row r="1878">
          <cell r="C1878" t="str">
            <v xml:space="preserve">Wooden listies ¾" </v>
          </cell>
          <cell r="F1878">
            <v>11.82</v>
          </cell>
        </row>
        <row r="1879">
          <cell r="C1879" t="str">
            <v>Fevicol</v>
          </cell>
        </row>
        <row r="1880">
          <cell r="C1880" t="str">
            <v>Hinge  100 mm</v>
          </cell>
          <cell r="F1880">
            <v>30.9</v>
          </cell>
        </row>
        <row r="1881">
          <cell r="C1881" t="str">
            <v>Towerbolt 150 mm.</v>
          </cell>
          <cell r="F1881">
            <v>77.25</v>
          </cell>
        </row>
        <row r="1882">
          <cell r="C1882" t="str">
            <v xml:space="preserve">Mortice lock(Brass) </v>
          </cell>
          <cell r="F1882">
            <v>1261.75</v>
          </cell>
        </row>
        <row r="1883">
          <cell r="C1883" t="str">
            <v>Pech killas</v>
          </cell>
        </row>
        <row r="1884">
          <cell r="B1884" t="str">
            <v>Rate analysis for : 2.245 Sqm.</v>
          </cell>
        </row>
        <row r="1889">
          <cell r="A1889">
            <v>7.2</v>
          </cell>
          <cell r="B1889" t="str">
            <v xml:space="preserve"> G10(10-3 &amp; 10-7)</v>
          </cell>
          <cell r="C1889" t="str">
            <v>38 x100mm thick sal wood frame with 12 mm thick water proof plywood pannelled &amp; one side 4 mm thick Teak plywood pannelled shutter fixing with all comolete. Size of shutter  1.092 x 2.058 =2.245 Sqm.</v>
          </cell>
          <cell r="F1889" t="str">
            <v>Sqm.</v>
          </cell>
        </row>
        <row r="1890">
          <cell r="B1890" t="str">
            <v>Resources</v>
          </cell>
          <cell r="C1890" t="str">
            <v>Level/Type</v>
          </cell>
          <cell r="F1890" t="str">
            <v>Rate</v>
          </cell>
        </row>
        <row r="1891">
          <cell r="B1891" t="str">
            <v>Labour</v>
          </cell>
          <cell r="C1891" t="str">
            <v>Skilled</v>
          </cell>
          <cell r="F1891">
            <v>600</v>
          </cell>
        </row>
        <row r="1892">
          <cell r="C1892" t="str">
            <v>Unskilled</v>
          </cell>
          <cell r="F1892">
            <v>350</v>
          </cell>
        </row>
        <row r="1893">
          <cell r="B1893" t="str">
            <v>Materials</v>
          </cell>
          <cell r="C1893" t="str">
            <v>Wood Sal</v>
          </cell>
          <cell r="F1893">
            <v>138222.91</v>
          </cell>
        </row>
        <row r="1894">
          <cell r="C1894" t="str">
            <v>Ply wood 12 mm thick water proof</v>
          </cell>
          <cell r="F1894">
            <v>997.44999999999993</v>
          </cell>
        </row>
        <row r="1895">
          <cell r="C1895" t="str">
            <v>Ply wood 4 mm thick Teak</v>
          </cell>
          <cell r="F1895">
            <v>664.96</v>
          </cell>
        </row>
        <row r="1896">
          <cell r="C1896" t="str">
            <v xml:space="preserve">Wooden listies ¾" </v>
          </cell>
          <cell r="F1896">
            <v>11.82</v>
          </cell>
        </row>
        <row r="1897">
          <cell r="C1897" t="str">
            <v>Fevicol</v>
          </cell>
        </row>
        <row r="1898">
          <cell r="C1898" t="str">
            <v>Hinge  100 mm</v>
          </cell>
          <cell r="F1898">
            <v>30.9</v>
          </cell>
        </row>
        <row r="1899">
          <cell r="C1899" t="str">
            <v>Towerbolt 150 mm.</v>
          </cell>
          <cell r="F1899">
            <v>77.25</v>
          </cell>
        </row>
        <row r="1900">
          <cell r="C1900" t="str">
            <v xml:space="preserve">Mortice lock(Brass) </v>
          </cell>
          <cell r="F1900">
            <v>1261.75</v>
          </cell>
        </row>
        <row r="1901">
          <cell r="C1901" t="str">
            <v>Pech killas</v>
          </cell>
        </row>
        <row r="1902">
          <cell r="B1902" t="str">
            <v>Rate analysis for : 2.245 Sqm.</v>
          </cell>
        </row>
        <row r="1907">
          <cell r="A1907">
            <v>7.21</v>
          </cell>
          <cell r="B1907" t="str">
            <v xml:space="preserve"> G17</v>
          </cell>
          <cell r="C1907" t="str">
            <v>Aluminium sliding window shutter fixing with all comolete. Size of shutter =1.49Sqm.</v>
          </cell>
          <cell r="F1907" t="str">
            <v>Sqm.</v>
          </cell>
        </row>
        <row r="1908">
          <cell r="B1908" t="str">
            <v>Resources</v>
          </cell>
          <cell r="C1908" t="str">
            <v>Level/Type</v>
          </cell>
          <cell r="F1908" t="str">
            <v>Rate</v>
          </cell>
        </row>
        <row r="1909">
          <cell r="B1909" t="str">
            <v>Labour</v>
          </cell>
          <cell r="C1909" t="str">
            <v>Skilled</v>
          </cell>
        </row>
        <row r="1910">
          <cell r="C1910" t="str">
            <v>Unskilled</v>
          </cell>
        </row>
        <row r="1911">
          <cell r="B1911" t="str">
            <v>Materials</v>
          </cell>
          <cell r="C1911" t="str">
            <v xml:space="preserve">Aluminium </v>
          </cell>
        </row>
        <row r="1912">
          <cell r="C1912" t="str">
            <v>PVC plug</v>
          </cell>
        </row>
        <row r="1913">
          <cell r="C1913" t="str">
            <v>Aluminium pench killa</v>
          </cell>
        </row>
        <row r="1914">
          <cell r="C1914" t="str">
            <v>Rubber bidding</v>
          </cell>
        </row>
        <row r="1915">
          <cell r="C1915" t="str">
            <v>Glass 4 mm thick-Plane</v>
          </cell>
        </row>
        <row r="1916">
          <cell r="C1916" t="str">
            <v>Wheel runner</v>
          </cell>
        </row>
        <row r="1917">
          <cell r="C1917" t="str">
            <v>Lock with handle</v>
          </cell>
        </row>
        <row r="1918">
          <cell r="B1918" t="str">
            <v>Rate analysis for : 1.490 Sqm.</v>
          </cell>
        </row>
        <row r="1923">
          <cell r="A1923">
            <v>7.22</v>
          </cell>
          <cell r="B1923" t="str">
            <v xml:space="preserve"> G18</v>
          </cell>
          <cell r="C1923" t="str">
            <v>Aluminium cashment window shutter fixing with all comolete. Size of shutter =2.23Sqm.</v>
          </cell>
          <cell r="F1923" t="str">
            <v>Sqm.</v>
          </cell>
        </row>
        <row r="1924">
          <cell r="B1924" t="str">
            <v>Resources</v>
          </cell>
          <cell r="C1924" t="str">
            <v>Level/Type</v>
          </cell>
          <cell r="F1924" t="str">
            <v>Rate</v>
          </cell>
        </row>
        <row r="1925">
          <cell r="B1925" t="str">
            <v>Labour</v>
          </cell>
          <cell r="C1925" t="str">
            <v>Skilled</v>
          </cell>
        </row>
        <row r="1926">
          <cell r="C1926" t="str">
            <v>Unskilled</v>
          </cell>
        </row>
        <row r="1927">
          <cell r="B1927" t="str">
            <v>Materials</v>
          </cell>
          <cell r="C1927" t="str">
            <v xml:space="preserve">Aluminium </v>
          </cell>
        </row>
        <row r="1928">
          <cell r="C1928" t="str">
            <v>PVC plug</v>
          </cell>
        </row>
        <row r="1929">
          <cell r="C1929" t="str">
            <v>Aluminium pench killa</v>
          </cell>
        </row>
        <row r="1930">
          <cell r="C1930" t="str">
            <v>Rubber bidding</v>
          </cell>
        </row>
        <row r="1931">
          <cell r="C1931" t="str">
            <v>Glass 4 mm thick-Plane</v>
          </cell>
        </row>
        <row r="1932">
          <cell r="C1932" t="str">
            <v>Fricition stey</v>
          </cell>
        </row>
        <row r="1933">
          <cell r="C1933" t="str">
            <v>Lock with handle</v>
          </cell>
        </row>
        <row r="1934">
          <cell r="B1934" t="str">
            <v>Rate analysis for : 2.23 Sqm.</v>
          </cell>
        </row>
        <row r="1939">
          <cell r="A1939">
            <v>7.23</v>
          </cell>
          <cell r="B1939" t="str">
            <v xml:space="preserve"> G19</v>
          </cell>
          <cell r="C1939" t="str">
            <v>Aluminium Pre-leminated door shutter fixing with all comolete. Size of shutter =2.16 Sqm.</v>
          </cell>
          <cell r="F1939" t="str">
            <v>Sqm.</v>
          </cell>
        </row>
        <row r="1940">
          <cell r="B1940" t="str">
            <v>Resources</v>
          </cell>
          <cell r="C1940" t="str">
            <v>Level/Type</v>
          </cell>
          <cell r="F1940" t="str">
            <v>Rate</v>
          </cell>
        </row>
        <row r="1941">
          <cell r="B1941" t="str">
            <v>Labour</v>
          </cell>
          <cell r="C1941" t="str">
            <v>Skilled</v>
          </cell>
        </row>
        <row r="1942">
          <cell r="C1942" t="str">
            <v>Unskilled</v>
          </cell>
        </row>
        <row r="1943">
          <cell r="B1943" t="str">
            <v>Materials</v>
          </cell>
          <cell r="C1943" t="str">
            <v xml:space="preserve">Aluminium </v>
          </cell>
        </row>
        <row r="1944">
          <cell r="C1944" t="str">
            <v>Hinge 100 mm Aluminium</v>
          </cell>
        </row>
        <row r="1945">
          <cell r="C1945" t="str">
            <v>Aluminium pench killa</v>
          </cell>
        </row>
        <row r="1946">
          <cell r="C1946" t="str">
            <v>Rubber bidding</v>
          </cell>
        </row>
        <row r="1947">
          <cell r="C1947" t="str">
            <v>Pre-leminated board</v>
          </cell>
        </row>
        <row r="1948">
          <cell r="C1948" t="str">
            <v>Automatic closer</v>
          </cell>
        </row>
        <row r="1949">
          <cell r="C1949" t="str">
            <v>Lock with handle</v>
          </cell>
        </row>
        <row r="1950">
          <cell r="B1950" t="str">
            <v>Rate analysis for : 2.160 Sqm.</v>
          </cell>
        </row>
        <row r="1955">
          <cell r="A1955">
            <v>7.24</v>
          </cell>
          <cell r="B1955" t="str">
            <v xml:space="preserve"> G20</v>
          </cell>
          <cell r="C1955" t="str">
            <v>Aluminium  door shutter fixing with top 4mm thick plane glass &amp; bottom Pre-leminated all comolete. Size of shutter =1.81 Sqm.</v>
          </cell>
          <cell r="F1955" t="str">
            <v>Sqm.</v>
          </cell>
        </row>
        <row r="1956">
          <cell r="B1956" t="str">
            <v>Resources</v>
          </cell>
          <cell r="C1956" t="str">
            <v>Level/Type</v>
          </cell>
          <cell r="F1956" t="str">
            <v>Rate</v>
          </cell>
        </row>
        <row r="1957">
          <cell r="B1957" t="str">
            <v>Labour</v>
          </cell>
          <cell r="C1957" t="str">
            <v>Skilled</v>
          </cell>
        </row>
        <row r="1958">
          <cell r="C1958" t="str">
            <v>Unskilled</v>
          </cell>
        </row>
        <row r="1959">
          <cell r="B1959" t="str">
            <v>Materials</v>
          </cell>
          <cell r="C1959" t="str">
            <v xml:space="preserve">Aluminium </v>
          </cell>
        </row>
        <row r="1960">
          <cell r="C1960" t="str">
            <v>Hinge 100 mm Aluminium</v>
          </cell>
        </row>
        <row r="1961">
          <cell r="C1961" t="str">
            <v>Aluminium pench killa</v>
          </cell>
        </row>
        <row r="1962">
          <cell r="C1962" t="str">
            <v>Rubber bidding</v>
          </cell>
        </row>
        <row r="1963">
          <cell r="C1963" t="str">
            <v>Glass 4 mm thick-Plane</v>
          </cell>
        </row>
        <row r="1964">
          <cell r="C1964" t="str">
            <v>Pre-leminated board</v>
          </cell>
        </row>
        <row r="1965">
          <cell r="C1965" t="str">
            <v>Automatic closer</v>
          </cell>
        </row>
        <row r="1966">
          <cell r="C1966" t="str">
            <v>Lock with handle</v>
          </cell>
        </row>
        <row r="1967">
          <cell r="B1967" t="str">
            <v>Rate analysis for : 1.490 Sqm.</v>
          </cell>
        </row>
        <row r="1997">
          <cell r="A1997" t="str">
            <v>H - FLOORING WORK</v>
          </cell>
        </row>
        <row r="1999">
          <cell r="A1999">
            <v>8.01</v>
          </cell>
          <cell r="B1999" t="str">
            <v xml:space="preserve">H1(11-1A) </v>
          </cell>
          <cell r="C1999" t="str">
            <v xml:space="preserve">25 mm or 1" thick P.C.C. (1:2:4) work in floor with riverbed aggrigate all complete.                             </v>
          </cell>
          <cell r="F1999" t="str">
            <v>Sqm.</v>
          </cell>
        </row>
        <row r="2000">
          <cell r="B2000" t="str">
            <v>Resources</v>
          </cell>
          <cell r="C2000" t="str">
            <v>Level/Type</v>
          </cell>
          <cell r="F2000" t="str">
            <v>Rate</v>
          </cell>
        </row>
        <row r="2001">
          <cell r="B2001" t="str">
            <v>Labour</v>
          </cell>
          <cell r="C2001" t="str">
            <v>Skilled</v>
          </cell>
          <cell r="F2001">
            <v>600</v>
          </cell>
        </row>
        <row r="2002">
          <cell r="C2002" t="str">
            <v>Unskilled</v>
          </cell>
          <cell r="F2002">
            <v>350</v>
          </cell>
        </row>
        <row r="2003">
          <cell r="B2003" t="str">
            <v>Materials</v>
          </cell>
          <cell r="C2003" t="str">
            <v>Cement</v>
          </cell>
          <cell r="F2003">
            <v>12566</v>
          </cell>
        </row>
        <row r="2004">
          <cell r="C2004" t="str">
            <v>Sand</v>
          </cell>
          <cell r="F2004">
            <v>1200</v>
          </cell>
        </row>
        <row r="2005">
          <cell r="C2005" t="str">
            <v>Aggrigate 12 mm-River bed</v>
          </cell>
          <cell r="F2005">
            <v>1500</v>
          </cell>
        </row>
        <row r="2006">
          <cell r="B2006" t="str">
            <v>Rate analysis for :10.00 Sqm.</v>
          </cell>
        </row>
        <row r="2011">
          <cell r="A2011">
            <v>8.02</v>
          </cell>
          <cell r="B2011" t="str">
            <v xml:space="preserve">H1(11-1B) </v>
          </cell>
          <cell r="C2011" t="str">
            <v xml:space="preserve">38 mm or 1½" thick P.C.C. (1:2:4) work in floor with riverbed aggrigate all complete.                                                </v>
          </cell>
          <cell r="F2011" t="str">
            <v>Sqm.</v>
          </cell>
        </row>
        <row r="2012">
          <cell r="B2012" t="str">
            <v>Resources</v>
          </cell>
          <cell r="C2012" t="str">
            <v>Level/Type</v>
          </cell>
          <cell r="F2012" t="str">
            <v>Rate</v>
          </cell>
        </row>
        <row r="2013">
          <cell r="B2013" t="str">
            <v>Labour</v>
          </cell>
          <cell r="C2013" t="str">
            <v>Skilled</v>
          </cell>
          <cell r="F2013">
            <v>600</v>
          </cell>
        </row>
        <row r="2014">
          <cell r="C2014" t="str">
            <v>Unskilled</v>
          </cell>
          <cell r="F2014">
            <v>350</v>
          </cell>
        </row>
        <row r="2015">
          <cell r="B2015" t="str">
            <v>Materials</v>
          </cell>
          <cell r="C2015" t="str">
            <v>Cement</v>
          </cell>
          <cell r="F2015">
            <v>12566</v>
          </cell>
        </row>
        <row r="2016">
          <cell r="C2016" t="str">
            <v>Sand</v>
          </cell>
          <cell r="F2016">
            <v>1200</v>
          </cell>
        </row>
        <row r="2017">
          <cell r="C2017" t="str">
            <v>Aggrigate 12 mm-River bed</v>
          </cell>
          <cell r="F2017">
            <v>1500</v>
          </cell>
        </row>
        <row r="2018">
          <cell r="B2018" t="str">
            <v>Rate analysis for :10.00 Sqm.</v>
          </cell>
        </row>
        <row r="2023">
          <cell r="A2023">
            <v>8.0299999999999994</v>
          </cell>
          <cell r="B2023" t="str">
            <v xml:space="preserve">H1(11-1C) </v>
          </cell>
          <cell r="C2023" t="str">
            <v xml:space="preserve">50 mm or 2" thick P.C.C. (1:2:4) work in floor with riverbed aggrigate all complete.                                </v>
          </cell>
          <cell r="F2023" t="str">
            <v>Sqm.</v>
          </cell>
        </row>
        <row r="2024">
          <cell r="B2024" t="str">
            <v>Resources</v>
          </cell>
          <cell r="C2024" t="str">
            <v>Level/Type</v>
          </cell>
          <cell r="F2024" t="str">
            <v>Rate</v>
          </cell>
        </row>
        <row r="2025">
          <cell r="B2025" t="str">
            <v>Labour</v>
          </cell>
          <cell r="C2025" t="str">
            <v>Skilled</v>
          </cell>
          <cell r="F2025">
            <v>600</v>
          </cell>
        </row>
        <row r="2026">
          <cell r="C2026" t="str">
            <v>Unskilled</v>
          </cell>
          <cell r="F2026">
            <v>350</v>
          </cell>
        </row>
        <row r="2027">
          <cell r="B2027" t="str">
            <v>Materials</v>
          </cell>
          <cell r="C2027" t="str">
            <v>Cement</v>
          </cell>
          <cell r="F2027">
            <v>12566</v>
          </cell>
        </row>
        <row r="2028">
          <cell r="C2028" t="str">
            <v>Sand</v>
          </cell>
          <cell r="F2028">
            <v>1200</v>
          </cell>
        </row>
        <row r="2029">
          <cell r="C2029" t="str">
            <v>Aggrigate 20 mm-River bed</v>
          </cell>
          <cell r="F2029">
            <v>1500</v>
          </cell>
        </row>
        <row r="2030">
          <cell r="B2030" t="str">
            <v>Rate analysis for :10.00 Sqm.</v>
          </cell>
        </row>
        <row r="2035">
          <cell r="A2035">
            <v>8.0399999999999991</v>
          </cell>
          <cell r="B2035" t="str">
            <v xml:space="preserve">H1(11-1D) </v>
          </cell>
          <cell r="C2035" t="str">
            <v xml:space="preserve">75 mm or 3" thick P.C.C. (1:2:4) work in floor with riverbed aggrigate all complete. </v>
          </cell>
          <cell r="F2035" t="str">
            <v>Sqm.</v>
          </cell>
        </row>
        <row r="2036">
          <cell r="B2036" t="str">
            <v>Resources</v>
          </cell>
          <cell r="C2036" t="str">
            <v>Level/Type</v>
          </cell>
          <cell r="F2036" t="str">
            <v>Rate</v>
          </cell>
        </row>
        <row r="2037">
          <cell r="B2037" t="str">
            <v>Labour</v>
          </cell>
          <cell r="C2037" t="str">
            <v>Skilled</v>
          </cell>
          <cell r="F2037">
            <v>600</v>
          </cell>
        </row>
        <row r="2038">
          <cell r="C2038" t="str">
            <v>Unskilled</v>
          </cell>
          <cell r="F2038">
            <v>350</v>
          </cell>
        </row>
        <row r="2039">
          <cell r="B2039" t="str">
            <v>Materials</v>
          </cell>
          <cell r="C2039" t="str">
            <v>Cement</v>
          </cell>
          <cell r="F2039">
            <v>12566</v>
          </cell>
        </row>
        <row r="2040">
          <cell r="C2040" t="str">
            <v>Sand</v>
          </cell>
          <cell r="F2040">
            <v>1200</v>
          </cell>
        </row>
        <row r="2041">
          <cell r="C2041" t="str">
            <v>Aggrigate 20 mm-River bed</v>
          </cell>
          <cell r="F2041">
            <v>1500</v>
          </cell>
        </row>
        <row r="2042">
          <cell r="B2042" t="str">
            <v>Rate analysis for :10.00 Sqm.</v>
          </cell>
        </row>
        <row r="2055">
          <cell r="A2055">
            <v>8.0500000000000007</v>
          </cell>
          <cell r="B2055" t="str">
            <v xml:space="preserve">H1(11-1A) </v>
          </cell>
          <cell r="C2055" t="str">
            <v xml:space="preserve">25 mm or 1" thick P.C.C. (1:2:4) work in floor with crushed/ballast aggrigate all complete.                             </v>
          </cell>
          <cell r="F2055" t="str">
            <v>Sqm.</v>
          </cell>
        </row>
        <row r="2056">
          <cell r="B2056" t="str">
            <v>Resources</v>
          </cell>
          <cell r="C2056" t="str">
            <v>Level/Type</v>
          </cell>
          <cell r="F2056" t="str">
            <v>Rate</v>
          </cell>
        </row>
        <row r="2057">
          <cell r="B2057" t="str">
            <v>Labour</v>
          </cell>
          <cell r="C2057" t="str">
            <v>Skilled</v>
          </cell>
          <cell r="F2057">
            <v>600</v>
          </cell>
        </row>
        <row r="2058">
          <cell r="C2058" t="str">
            <v>Unskilled</v>
          </cell>
          <cell r="F2058">
            <v>350</v>
          </cell>
        </row>
        <row r="2059">
          <cell r="B2059" t="str">
            <v>Materials</v>
          </cell>
          <cell r="C2059" t="str">
            <v>Cement</v>
          </cell>
          <cell r="F2059">
            <v>12566</v>
          </cell>
        </row>
        <row r="2060">
          <cell r="C2060" t="str">
            <v>Sand</v>
          </cell>
          <cell r="F2060">
            <v>1200</v>
          </cell>
        </row>
        <row r="2061">
          <cell r="C2061" t="str">
            <v>Aggrigate 12 mm-Crushed</v>
          </cell>
          <cell r="F2061">
            <v>2000</v>
          </cell>
        </row>
        <row r="2062">
          <cell r="B2062" t="str">
            <v>Rate analysis for :10.00 Sqm.</v>
          </cell>
        </row>
        <row r="2067">
          <cell r="A2067">
            <v>8.06</v>
          </cell>
          <cell r="B2067" t="str">
            <v xml:space="preserve">H1(11-1B) </v>
          </cell>
          <cell r="C2067" t="str">
            <v xml:space="preserve">38 mm or 1½" thick P.C.C. (1:2:4) work in floor with crushed/ballast aggrigate all complete.                                                </v>
          </cell>
          <cell r="F2067" t="str">
            <v>Sqm.</v>
          </cell>
        </row>
        <row r="2068">
          <cell r="B2068" t="str">
            <v>Resources</v>
          </cell>
          <cell r="C2068" t="str">
            <v>Level/Type</v>
          </cell>
          <cell r="F2068" t="str">
            <v>Rate</v>
          </cell>
        </row>
        <row r="2069">
          <cell r="B2069" t="str">
            <v>Labour</v>
          </cell>
          <cell r="C2069" t="str">
            <v>Skilled</v>
          </cell>
          <cell r="F2069">
            <v>600</v>
          </cell>
        </row>
        <row r="2070">
          <cell r="C2070" t="str">
            <v>Unskilled</v>
          </cell>
          <cell r="F2070">
            <v>350</v>
          </cell>
        </row>
        <row r="2071">
          <cell r="B2071" t="str">
            <v>Materials</v>
          </cell>
          <cell r="C2071" t="str">
            <v>Cement</v>
          </cell>
          <cell r="F2071">
            <v>12566</v>
          </cell>
        </row>
        <row r="2072">
          <cell r="C2072" t="str">
            <v>Sand</v>
          </cell>
          <cell r="F2072">
            <v>1200</v>
          </cell>
        </row>
        <row r="2073">
          <cell r="C2073" t="str">
            <v>Aggrigate 12 mm-Crushed</v>
          </cell>
          <cell r="F2073">
            <v>2000</v>
          </cell>
        </row>
        <row r="2074">
          <cell r="B2074" t="str">
            <v>Rate analysis for :10.00 Sqm.</v>
          </cell>
        </row>
        <row r="2079">
          <cell r="A2079">
            <v>8.07</v>
          </cell>
          <cell r="B2079" t="str">
            <v xml:space="preserve">H1(11-1C) </v>
          </cell>
          <cell r="C2079" t="str">
            <v xml:space="preserve">50 mm or 2" thick P.C.C. (1:2:4) work in floor with crushed/ballast aggrigate all complete.                                </v>
          </cell>
          <cell r="F2079" t="str">
            <v>Sqm.</v>
          </cell>
        </row>
        <row r="2080">
          <cell r="B2080" t="str">
            <v>Resources</v>
          </cell>
          <cell r="C2080" t="str">
            <v>Level/Type</v>
          </cell>
          <cell r="F2080" t="str">
            <v>Rate</v>
          </cell>
        </row>
        <row r="2081">
          <cell r="B2081" t="str">
            <v>Labour</v>
          </cell>
          <cell r="C2081" t="str">
            <v>Skilled</v>
          </cell>
          <cell r="F2081">
            <v>600</v>
          </cell>
        </row>
        <row r="2082">
          <cell r="C2082" t="str">
            <v>Unskilled</v>
          </cell>
          <cell r="F2082">
            <v>350</v>
          </cell>
        </row>
        <row r="2083">
          <cell r="B2083" t="str">
            <v>Materials</v>
          </cell>
          <cell r="C2083" t="str">
            <v>Cement</v>
          </cell>
          <cell r="F2083">
            <v>12566</v>
          </cell>
        </row>
        <row r="2084">
          <cell r="C2084" t="str">
            <v>Sand</v>
          </cell>
          <cell r="F2084">
            <v>1200</v>
          </cell>
        </row>
        <row r="2085">
          <cell r="C2085" t="str">
            <v>Aggrigate 20 mm-Crushed</v>
          </cell>
          <cell r="F2085">
            <v>2000</v>
          </cell>
        </row>
        <row r="2086">
          <cell r="B2086" t="str">
            <v>Rate analysis for :10.00 Sqm.</v>
          </cell>
        </row>
        <row r="2091">
          <cell r="A2091">
            <v>8.08</v>
          </cell>
          <cell r="B2091" t="str">
            <v xml:space="preserve">H1(11-1D) </v>
          </cell>
          <cell r="C2091" t="str">
            <v xml:space="preserve">75 mm or 3" thick P.C.C. (1:2:4) work in floor with crushed/ballast aggrigate all complete. </v>
          </cell>
          <cell r="F2091" t="str">
            <v>Sqm.</v>
          </cell>
        </row>
        <row r="2092">
          <cell r="B2092" t="str">
            <v>Resources</v>
          </cell>
          <cell r="C2092" t="str">
            <v>Level/Type</v>
          </cell>
          <cell r="F2092" t="str">
            <v>Rate</v>
          </cell>
        </row>
        <row r="2093">
          <cell r="B2093" t="str">
            <v>Labour</v>
          </cell>
          <cell r="C2093" t="str">
            <v>Skilled</v>
          </cell>
          <cell r="F2093">
            <v>600</v>
          </cell>
        </row>
        <row r="2094">
          <cell r="C2094" t="str">
            <v>Unskilled</v>
          </cell>
          <cell r="F2094">
            <v>350</v>
          </cell>
        </row>
        <row r="2095">
          <cell r="B2095" t="str">
            <v>Materials</v>
          </cell>
          <cell r="C2095" t="str">
            <v>Cement</v>
          </cell>
          <cell r="F2095">
            <v>12566</v>
          </cell>
        </row>
        <row r="2096">
          <cell r="C2096" t="str">
            <v>Sand</v>
          </cell>
          <cell r="F2096">
            <v>1200</v>
          </cell>
        </row>
        <row r="2097">
          <cell r="C2097" t="str">
            <v>Aggrigate 20 mm-Crushed</v>
          </cell>
          <cell r="F2097">
            <v>2000</v>
          </cell>
        </row>
        <row r="2098">
          <cell r="B2098" t="str">
            <v>Rate analysis for :10.00 Sqm.</v>
          </cell>
        </row>
        <row r="2114">
          <cell r="A2114">
            <v>8.09</v>
          </cell>
          <cell r="B2114" t="str">
            <v xml:space="preserve"> H2(11-2)</v>
          </cell>
          <cell r="C2114" t="str">
            <v>25 mm thick mosaic flooring with 20 mm thick P.C.C. (1:2:4) &amp; 5 mm thick white cement marble chips1:1 rubbing &amp; polishing work with all complete.</v>
          </cell>
          <cell r="F2114" t="str">
            <v>Sqm.</v>
          </cell>
        </row>
        <row r="2115">
          <cell r="B2115" t="str">
            <v>Resources</v>
          </cell>
          <cell r="C2115" t="str">
            <v>Level/Type</v>
          </cell>
          <cell r="F2115" t="str">
            <v>Rate</v>
          </cell>
        </row>
        <row r="2116">
          <cell r="B2116" t="str">
            <v>Labour</v>
          </cell>
          <cell r="C2116" t="str">
            <v>Skilled</v>
          </cell>
          <cell r="F2116">
            <v>600</v>
          </cell>
        </row>
        <row r="2117">
          <cell r="C2117" t="str">
            <v>Unskilled</v>
          </cell>
          <cell r="F2117">
            <v>350</v>
          </cell>
        </row>
        <row r="2118">
          <cell r="B2118" t="str">
            <v>Materials</v>
          </cell>
          <cell r="C2118" t="str">
            <v>Cement</v>
          </cell>
          <cell r="F2118">
            <v>12566</v>
          </cell>
        </row>
        <row r="2119">
          <cell r="C2119" t="str">
            <v>Sand</v>
          </cell>
          <cell r="F2119">
            <v>1200</v>
          </cell>
        </row>
        <row r="2120">
          <cell r="C2120" t="str">
            <v>Aggrigate 12 mm-River bed</v>
          </cell>
          <cell r="F2120">
            <v>1500</v>
          </cell>
        </row>
        <row r="2121">
          <cell r="C2121" t="str">
            <v>White cement</v>
          </cell>
          <cell r="F2121">
            <v>33475</v>
          </cell>
        </row>
        <row r="2122">
          <cell r="C2122" t="str">
            <v>Marble chips 3 mm</v>
          </cell>
          <cell r="F2122">
            <v>65920</v>
          </cell>
        </row>
        <row r="2123">
          <cell r="C2123" t="str">
            <v>Akjalik acid powder</v>
          </cell>
          <cell r="F2123">
            <v>77.25</v>
          </cell>
        </row>
        <row r="2124">
          <cell r="C2124" t="str">
            <v xml:space="preserve">Main Polish </v>
          </cell>
          <cell r="F2124">
            <v>185.4</v>
          </cell>
        </row>
        <row r="2125">
          <cell r="C2125" t="str">
            <v>Tarpaintain oil</v>
          </cell>
          <cell r="F2125">
            <v>118.45</v>
          </cell>
        </row>
        <row r="2126">
          <cell r="C2126" t="str">
            <v>Carborendam Stone</v>
          </cell>
          <cell r="F2126">
            <v>164.8</v>
          </cell>
        </row>
        <row r="2127">
          <cell r="B2127" t="str">
            <v>Rate analysis for :10.00 Sqm.</v>
          </cell>
        </row>
        <row r="2132">
          <cell r="A2132">
            <v>8.1</v>
          </cell>
          <cell r="B2132" t="str">
            <v xml:space="preserve"> H3(11-3)</v>
          </cell>
          <cell r="C2132" t="str">
            <v>25 mm thick mosaic flooring with 19 mm thick cement sand plaster 1:2 &amp; 6 mm thick white cement marble chips1:1 rubbing &amp; polishing work with all complete.</v>
          </cell>
          <cell r="F2132" t="str">
            <v>Sqm.</v>
          </cell>
        </row>
        <row r="2133">
          <cell r="B2133" t="str">
            <v>Resources</v>
          </cell>
          <cell r="C2133" t="str">
            <v>Level/Type</v>
          </cell>
          <cell r="F2133" t="str">
            <v>Rate</v>
          </cell>
        </row>
        <row r="2134">
          <cell r="B2134" t="str">
            <v>Labour</v>
          </cell>
          <cell r="C2134" t="str">
            <v>Skilled</v>
          </cell>
          <cell r="F2134">
            <v>600</v>
          </cell>
        </row>
        <row r="2135">
          <cell r="C2135" t="str">
            <v>Unskilled</v>
          </cell>
          <cell r="F2135">
            <v>350</v>
          </cell>
        </row>
        <row r="2136">
          <cell r="B2136" t="str">
            <v>Materials</v>
          </cell>
          <cell r="C2136" t="str">
            <v>Cement</v>
          </cell>
          <cell r="F2136">
            <v>12566</v>
          </cell>
        </row>
        <row r="2137">
          <cell r="C2137" t="str">
            <v>Sand</v>
          </cell>
          <cell r="F2137">
            <v>1200</v>
          </cell>
        </row>
        <row r="2138">
          <cell r="C2138" t="str">
            <v>White cement</v>
          </cell>
          <cell r="F2138">
            <v>33475</v>
          </cell>
        </row>
        <row r="2139">
          <cell r="C2139" t="str">
            <v>Marble chips 3 mm</v>
          </cell>
          <cell r="F2139">
            <v>65920</v>
          </cell>
        </row>
        <row r="2140">
          <cell r="C2140" t="str">
            <v>Akjalik acid powder</v>
          </cell>
          <cell r="F2140">
            <v>77.25</v>
          </cell>
        </row>
        <row r="2141">
          <cell r="C2141" t="str">
            <v xml:space="preserve">Main Polish </v>
          </cell>
          <cell r="F2141">
            <v>185.4</v>
          </cell>
        </row>
        <row r="2142">
          <cell r="C2142" t="str">
            <v>Tarpaintain oil</v>
          </cell>
          <cell r="F2142">
            <v>118.45</v>
          </cell>
        </row>
        <row r="2143">
          <cell r="C2143" t="str">
            <v>Carborendam Stone</v>
          </cell>
          <cell r="F2143">
            <v>164.8</v>
          </cell>
        </row>
        <row r="2144">
          <cell r="B2144" t="str">
            <v>Rate analysis for :10.00 Sqm.</v>
          </cell>
        </row>
        <row r="2149">
          <cell r="A2149">
            <v>8.11</v>
          </cell>
          <cell r="B2149" t="str">
            <v xml:space="preserve"> H4(11-4)</v>
          </cell>
          <cell r="C2149" t="str">
            <v>20 mm thick mosaic flooring with 12.5mm thick cement sand plaster 1:2 &amp; 6 mm thick white cement marble chips1:1 rubbing &amp; polishing work with all complete.</v>
          </cell>
          <cell r="F2149" t="str">
            <v>Sqm.</v>
          </cell>
        </row>
        <row r="2150">
          <cell r="B2150" t="str">
            <v>Resources</v>
          </cell>
          <cell r="C2150" t="str">
            <v>Level/Type</v>
          </cell>
          <cell r="F2150" t="str">
            <v>Rate</v>
          </cell>
        </row>
        <row r="2151">
          <cell r="B2151" t="str">
            <v>Labour</v>
          </cell>
          <cell r="C2151" t="str">
            <v>Skilled</v>
          </cell>
          <cell r="F2151">
            <v>600</v>
          </cell>
        </row>
        <row r="2152">
          <cell r="C2152" t="str">
            <v>Unskilled</v>
          </cell>
          <cell r="F2152">
            <v>350</v>
          </cell>
        </row>
        <row r="2153">
          <cell r="B2153" t="str">
            <v>Materials</v>
          </cell>
          <cell r="C2153" t="str">
            <v>Cement</v>
          </cell>
          <cell r="F2153">
            <v>12566</v>
          </cell>
        </row>
        <row r="2154">
          <cell r="C2154" t="str">
            <v>Sand</v>
          </cell>
          <cell r="F2154">
            <v>1200</v>
          </cell>
        </row>
        <row r="2155">
          <cell r="C2155" t="str">
            <v>White cement</v>
          </cell>
          <cell r="F2155">
            <v>33475</v>
          </cell>
        </row>
        <row r="2156">
          <cell r="C2156" t="str">
            <v>Marble chips 3 mm</v>
          </cell>
          <cell r="F2156">
            <v>65920</v>
          </cell>
        </row>
        <row r="2157">
          <cell r="C2157" t="str">
            <v>Akjalik acid powder</v>
          </cell>
          <cell r="F2157">
            <v>77.25</v>
          </cell>
        </row>
        <row r="2158">
          <cell r="C2158" t="str">
            <v xml:space="preserve">Main Polish </v>
          </cell>
          <cell r="F2158">
            <v>185.4</v>
          </cell>
        </row>
        <row r="2159">
          <cell r="C2159" t="str">
            <v>Tarpaintain oil</v>
          </cell>
          <cell r="F2159">
            <v>118.45</v>
          </cell>
        </row>
        <row r="2160">
          <cell r="C2160" t="str">
            <v>Carborendam Stone</v>
          </cell>
          <cell r="F2160">
            <v>164.8</v>
          </cell>
        </row>
        <row r="2161">
          <cell r="B2161" t="str">
            <v>Rate analysis for :10.00 Sqm.</v>
          </cell>
        </row>
        <row r="2171">
          <cell r="A2171">
            <v>8.1199999999999992</v>
          </cell>
          <cell r="B2171" t="str">
            <v xml:space="preserve"> H5(11-5)</v>
          </cell>
          <cell r="C2171" t="str">
            <v>20 mm thick Terrazo tile paving with 20 mm thick cement sand  mortar 1:4  rubbing &amp; polishing work with all complete.</v>
          </cell>
          <cell r="F2171" t="str">
            <v>Sqm.</v>
          </cell>
        </row>
        <row r="2172">
          <cell r="B2172" t="str">
            <v>Resources</v>
          </cell>
          <cell r="C2172" t="str">
            <v>Level/Type</v>
          </cell>
          <cell r="F2172" t="str">
            <v>Rate</v>
          </cell>
        </row>
        <row r="2173">
          <cell r="B2173" t="str">
            <v>Labour</v>
          </cell>
          <cell r="C2173" t="str">
            <v>Skilled</v>
          </cell>
          <cell r="F2173">
            <v>600</v>
          </cell>
        </row>
        <row r="2174">
          <cell r="C2174" t="str">
            <v>Unskilled</v>
          </cell>
          <cell r="F2174">
            <v>350</v>
          </cell>
        </row>
        <row r="2175">
          <cell r="B2175" t="str">
            <v>Materials</v>
          </cell>
          <cell r="C2175" t="str">
            <v>Terrazo tile 20 mm thick</v>
          </cell>
          <cell r="F2175">
            <v>554.14</v>
          </cell>
        </row>
        <row r="2176">
          <cell r="C2176" t="str">
            <v>Cement</v>
          </cell>
          <cell r="F2176">
            <v>12566</v>
          </cell>
        </row>
        <row r="2177">
          <cell r="C2177" t="str">
            <v>Sand</v>
          </cell>
          <cell r="F2177">
            <v>1200</v>
          </cell>
        </row>
        <row r="2178">
          <cell r="C2178" t="str">
            <v>Akjalik acid powder</v>
          </cell>
          <cell r="F2178">
            <v>77.25</v>
          </cell>
        </row>
        <row r="2179">
          <cell r="C2179" t="str">
            <v xml:space="preserve">Main Polish </v>
          </cell>
          <cell r="F2179">
            <v>185.4</v>
          </cell>
        </row>
        <row r="2180">
          <cell r="C2180" t="str">
            <v>Tarpaintain oil</v>
          </cell>
          <cell r="F2180">
            <v>118.45</v>
          </cell>
        </row>
        <row r="2181">
          <cell r="C2181" t="str">
            <v>Carborendam Stone</v>
          </cell>
          <cell r="F2181">
            <v>164.8</v>
          </cell>
        </row>
        <row r="2182">
          <cell r="B2182" t="str">
            <v>Rate analysis for :10.00 Sqm.</v>
          </cell>
        </row>
        <row r="2187">
          <cell r="A2187">
            <v>8.1300000000000008</v>
          </cell>
          <cell r="B2187" t="str">
            <v xml:space="preserve"> 11-6</v>
          </cell>
          <cell r="C2187" t="str">
            <v>15 mm thick marble tile 600x600 mm paving with 20 mm thick cement sand  mortar 1:2 rubbing &amp; polishing work with all complete.</v>
          </cell>
          <cell r="F2187" t="str">
            <v>Sqm.</v>
          </cell>
        </row>
        <row r="2188">
          <cell r="B2188" t="str">
            <v>Resources</v>
          </cell>
          <cell r="C2188" t="str">
            <v>Level/Type</v>
          </cell>
          <cell r="F2188" t="str">
            <v>Rate</v>
          </cell>
        </row>
        <row r="2189">
          <cell r="B2189" t="str">
            <v>Labour</v>
          </cell>
          <cell r="C2189" t="str">
            <v>Skilled</v>
          </cell>
          <cell r="F2189">
            <v>600</v>
          </cell>
        </row>
        <row r="2190">
          <cell r="C2190" t="str">
            <v>Unskilled</v>
          </cell>
          <cell r="F2190">
            <v>350</v>
          </cell>
        </row>
        <row r="2191">
          <cell r="B2191" t="str">
            <v>Materials</v>
          </cell>
          <cell r="C2191" t="str">
            <v>Marble tile 15mm</v>
          </cell>
          <cell r="F2191">
            <v>1662.42</v>
          </cell>
        </row>
        <row r="2192">
          <cell r="C2192" t="str">
            <v>Cement</v>
          </cell>
          <cell r="F2192">
            <v>12566</v>
          </cell>
        </row>
        <row r="2193">
          <cell r="C2193" t="str">
            <v>Sand</v>
          </cell>
          <cell r="F2193">
            <v>1200</v>
          </cell>
        </row>
        <row r="2194">
          <cell r="C2194" t="str">
            <v>Akjalik acid powder</v>
          </cell>
          <cell r="F2194">
            <v>77.25</v>
          </cell>
        </row>
        <row r="2195">
          <cell r="C2195" t="str">
            <v xml:space="preserve">Main Polish </v>
          </cell>
          <cell r="F2195">
            <v>185.4</v>
          </cell>
        </row>
        <row r="2196">
          <cell r="C2196" t="str">
            <v>Tarpaintain oil</v>
          </cell>
          <cell r="F2196">
            <v>118.45</v>
          </cell>
        </row>
        <row r="2197">
          <cell r="C2197" t="str">
            <v>Carborendam Stone</v>
          </cell>
          <cell r="F2197">
            <v>164.8</v>
          </cell>
        </row>
        <row r="2198">
          <cell r="B2198" t="str">
            <v>Rate analysis for :10.00 Sqm.</v>
          </cell>
        </row>
        <row r="2203">
          <cell r="A2203">
            <v>8.14</v>
          </cell>
          <cell r="B2203" t="str">
            <v>H6(11-7)</v>
          </cell>
          <cell r="C2203" t="str">
            <v xml:space="preserve">Porcelain glazed /non glazed tile paving work in cement sand (1:4) mortar </v>
          </cell>
          <cell r="F2203" t="str">
            <v>Sqm.</v>
          </cell>
        </row>
        <row r="2204">
          <cell r="B2204" t="str">
            <v>Resources</v>
          </cell>
          <cell r="C2204" t="str">
            <v>Level/Type</v>
          </cell>
          <cell r="F2204" t="str">
            <v>Rate</v>
          </cell>
        </row>
        <row r="2205">
          <cell r="B2205" t="str">
            <v>Labour</v>
          </cell>
          <cell r="C2205" t="str">
            <v>Skilled</v>
          </cell>
          <cell r="F2205">
            <v>600</v>
          </cell>
        </row>
        <row r="2206">
          <cell r="C2206" t="str">
            <v>Unskilled</v>
          </cell>
          <cell r="F2206">
            <v>350</v>
          </cell>
        </row>
        <row r="2207">
          <cell r="B2207" t="str">
            <v>Materials</v>
          </cell>
          <cell r="C2207" t="str">
            <v xml:space="preserve">Porecelain glazed/non glazed tile </v>
          </cell>
          <cell r="F2207">
            <v>803.4</v>
          </cell>
        </row>
        <row r="2208">
          <cell r="C2208" t="str">
            <v>Cement</v>
          </cell>
          <cell r="F2208">
            <v>12566</v>
          </cell>
        </row>
        <row r="2209">
          <cell r="C2209" t="str">
            <v>Sand</v>
          </cell>
          <cell r="F2209">
            <v>1200</v>
          </cell>
        </row>
        <row r="2210">
          <cell r="C2210" t="str">
            <v>White cement</v>
          </cell>
          <cell r="F2210">
            <v>33.475000000000001</v>
          </cell>
        </row>
        <row r="2211">
          <cell r="B2211" t="str">
            <v>Rate analysis for :10.00 Sqm.</v>
          </cell>
        </row>
        <row r="2216">
          <cell r="A2216">
            <v>8.15</v>
          </cell>
          <cell r="B2216" t="str">
            <v>H6(11-7)</v>
          </cell>
          <cell r="C2216" t="str">
            <v xml:space="preserve">Spartik Non-glazed tile paving work in cement sand (1:4) mortar </v>
          </cell>
          <cell r="F2216" t="str">
            <v>Sqm.</v>
          </cell>
        </row>
        <row r="2217">
          <cell r="B2217" t="str">
            <v>Resources</v>
          </cell>
          <cell r="C2217" t="str">
            <v>Level/Type</v>
          </cell>
          <cell r="F2217" t="str">
            <v>Rate</v>
          </cell>
        </row>
        <row r="2218">
          <cell r="B2218" t="str">
            <v>Labour</v>
          </cell>
          <cell r="C2218" t="str">
            <v>Skilled</v>
          </cell>
          <cell r="F2218">
            <v>600</v>
          </cell>
        </row>
        <row r="2219">
          <cell r="C2219" t="str">
            <v>Unskilled</v>
          </cell>
          <cell r="F2219">
            <v>350</v>
          </cell>
        </row>
        <row r="2220">
          <cell r="B2220" t="str">
            <v>Materials</v>
          </cell>
          <cell r="C2220" t="str">
            <v xml:space="preserve">Spartik non glazed tile </v>
          </cell>
          <cell r="F2220">
            <v>0</v>
          </cell>
        </row>
        <row r="2221">
          <cell r="C2221" t="str">
            <v>Cement</v>
          </cell>
          <cell r="F2221">
            <v>12566</v>
          </cell>
        </row>
        <row r="2222">
          <cell r="C2222" t="str">
            <v>Sand</v>
          </cell>
          <cell r="F2222">
            <v>1200</v>
          </cell>
        </row>
        <row r="2223">
          <cell r="C2223" t="str">
            <v>White cement</v>
          </cell>
          <cell r="F2223">
            <v>33.475000000000001</v>
          </cell>
        </row>
        <row r="2224">
          <cell r="B2224" t="str">
            <v>Rate analysis for :10.00 Sqm.</v>
          </cell>
        </row>
        <row r="2229">
          <cell r="A2229">
            <v>8.16</v>
          </cell>
          <cell r="B2229" t="str">
            <v>H12(11-12)</v>
          </cell>
          <cell r="C2229" t="str">
            <v xml:space="preserve">Flat Brick paving in 1:6 &amp; cement sand pointing in1:2 in joints </v>
          </cell>
          <cell r="F2229" t="str">
            <v>Sqm.</v>
          </cell>
        </row>
        <row r="2230">
          <cell r="B2230" t="str">
            <v>Resources</v>
          </cell>
          <cell r="C2230" t="str">
            <v>Level/Type</v>
          </cell>
          <cell r="F2230" t="str">
            <v>Rate</v>
          </cell>
        </row>
        <row r="2231">
          <cell r="B2231" t="str">
            <v>Labour</v>
          </cell>
          <cell r="C2231" t="str">
            <v>Skilled</v>
          </cell>
          <cell r="F2231">
            <v>600</v>
          </cell>
        </row>
        <row r="2232">
          <cell r="C2232" t="str">
            <v>Unskilled</v>
          </cell>
          <cell r="F2232">
            <v>350</v>
          </cell>
        </row>
        <row r="2233">
          <cell r="B2233" t="str">
            <v>Materials</v>
          </cell>
          <cell r="C2233" t="str">
            <v>Brick Chiminy</v>
          </cell>
          <cell r="F2233">
            <v>11.33</v>
          </cell>
        </row>
        <row r="2234">
          <cell r="C2234" t="str">
            <v>Cement</v>
          </cell>
          <cell r="F2234">
            <v>12566</v>
          </cell>
        </row>
        <row r="2235">
          <cell r="C2235" t="str">
            <v>Sand</v>
          </cell>
          <cell r="F2235">
            <v>1200</v>
          </cell>
        </row>
        <row r="2236">
          <cell r="B2236" t="str">
            <v>Rate analysis for :10.00 Sqm.</v>
          </cell>
        </row>
        <row r="2241">
          <cell r="A2241">
            <v>8.17</v>
          </cell>
          <cell r="B2241" t="str">
            <v>H13(11-13)</v>
          </cell>
          <cell r="C2241" t="str">
            <v xml:space="preserve">Edge Brick paving in 1:6 &amp; cement sand pointing in1:2 in joints </v>
          </cell>
          <cell r="F2241" t="str">
            <v>Sqm.</v>
          </cell>
        </row>
        <row r="2242">
          <cell r="B2242" t="str">
            <v>Resources</v>
          </cell>
          <cell r="C2242" t="str">
            <v>Level/Type</v>
          </cell>
          <cell r="F2242" t="str">
            <v>Rate</v>
          </cell>
        </row>
        <row r="2243">
          <cell r="B2243" t="str">
            <v>Labour</v>
          </cell>
          <cell r="C2243" t="str">
            <v>Skilled</v>
          </cell>
          <cell r="F2243">
            <v>600</v>
          </cell>
        </row>
        <row r="2244">
          <cell r="C2244" t="str">
            <v>Unskilled</v>
          </cell>
          <cell r="F2244">
            <v>350</v>
          </cell>
        </row>
        <row r="2245">
          <cell r="B2245" t="str">
            <v>Materials</v>
          </cell>
          <cell r="C2245" t="str">
            <v>Brick Chiminy</v>
          </cell>
          <cell r="F2245">
            <v>11.33</v>
          </cell>
        </row>
        <row r="2246">
          <cell r="C2246" t="str">
            <v>Cement</v>
          </cell>
          <cell r="F2246">
            <v>12566</v>
          </cell>
        </row>
        <row r="2247">
          <cell r="C2247" t="str">
            <v>Sand</v>
          </cell>
          <cell r="F2247">
            <v>1200</v>
          </cell>
        </row>
        <row r="2248">
          <cell r="B2248" t="str">
            <v>Rate analysis for :10.00 Sqm.</v>
          </cell>
        </row>
        <row r="2253">
          <cell r="A2253">
            <v>8.18</v>
          </cell>
          <cell r="B2253" t="str">
            <v xml:space="preserve"> H15(11-15A)</v>
          </cell>
          <cell r="C2253" t="str">
            <v>Dry flat Brick paving work</v>
          </cell>
          <cell r="F2253" t="str">
            <v>Sqm.</v>
          </cell>
        </row>
        <row r="2254">
          <cell r="B2254" t="str">
            <v>Resources</v>
          </cell>
          <cell r="C2254" t="str">
            <v>Level/Type</v>
          </cell>
          <cell r="F2254" t="str">
            <v>Rate</v>
          </cell>
        </row>
        <row r="2255">
          <cell r="B2255" t="str">
            <v>Labour</v>
          </cell>
          <cell r="C2255" t="str">
            <v>Skilled</v>
          </cell>
          <cell r="F2255">
            <v>600</v>
          </cell>
        </row>
        <row r="2256">
          <cell r="C2256" t="str">
            <v>Unskilled</v>
          </cell>
          <cell r="F2256">
            <v>350</v>
          </cell>
        </row>
        <row r="2257">
          <cell r="B2257" t="str">
            <v>Materials</v>
          </cell>
          <cell r="C2257" t="str">
            <v>Brick Chiminy</v>
          </cell>
          <cell r="F2257">
            <v>11.33</v>
          </cell>
        </row>
        <row r="2258">
          <cell r="C2258" t="str">
            <v>Sand</v>
          </cell>
          <cell r="F2258">
            <v>1200</v>
          </cell>
        </row>
        <row r="2259">
          <cell r="B2259" t="str">
            <v>Rate analysis for :10.00 Sqm.</v>
          </cell>
        </row>
        <row r="2264">
          <cell r="A2264">
            <v>8.19</v>
          </cell>
          <cell r="B2264" t="str">
            <v xml:space="preserve"> H15(11-15A)</v>
          </cell>
          <cell r="C2264" t="str">
            <v>Dry flat Brick (Brick Bat ) paving work</v>
          </cell>
          <cell r="F2264" t="str">
            <v>Sqm.</v>
          </cell>
        </row>
        <row r="2265">
          <cell r="B2265" t="str">
            <v>Resources</v>
          </cell>
          <cell r="C2265" t="str">
            <v>Level/Type</v>
          </cell>
          <cell r="F2265" t="str">
            <v>Rate</v>
          </cell>
        </row>
        <row r="2266">
          <cell r="B2266" t="str">
            <v>Labour</v>
          </cell>
          <cell r="C2266" t="str">
            <v>Skilled</v>
          </cell>
          <cell r="F2266">
            <v>600</v>
          </cell>
        </row>
        <row r="2267">
          <cell r="C2267" t="str">
            <v>Unskilled</v>
          </cell>
          <cell r="F2267">
            <v>350</v>
          </cell>
        </row>
        <row r="2268">
          <cell r="B2268" t="str">
            <v>Materials</v>
          </cell>
          <cell r="C2268" t="str">
            <v>Brick Bat</v>
          </cell>
          <cell r="F2268">
            <v>5.53</v>
          </cell>
        </row>
        <row r="2269">
          <cell r="C2269" t="str">
            <v>Sand</v>
          </cell>
          <cell r="F2269">
            <v>1200</v>
          </cell>
        </row>
        <row r="2270">
          <cell r="B2270" t="str">
            <v>Rate analysis for :10.00 Sqm.</v>
          </cell>
        </row>
        <row r="2275">
          <cell r="A2275">
            <v>8.1999999999999993</v>
          </cell>
          <cell r="B2275" t="str">
            <v xml:space="preserve"> H15(11-15B)</v>
          </cell>
          <cell r="C2275" t="str">
            <v>Dry edge Brick paving work</v>
          </cell>
          <cell r="F2275" t="str">
            <v>Sqm.</v>
          </cell>
        </row>
        <row r="2276">
          <cell r="B2276" t="str">
            <v>Resources</v>
          </cell>
          <cell r="C2276" t="str">
            <v>Level/Type</v>
          </cell>
          <cell r="F2276" t="str">
            <v>Rate</v>
          </cell>
        </row>
        <row r="2277">
          <cell r="B2277" t="str">
            <v>Labour</v>
          </cell>
          <cell r="C2277" t="str">
            <v>Skilled</v>
          </cell>
          <cell r="F2277">
            <v>600</v>
          </cell>
        </row>
        <row r="2278">
          <cell r="C2278" t="str">
            <v>Unskilled</v>
          </cell>
          <cell r="F2278">
            <v>350</v>
          </cell>
        </row>
        <row r="2279">
          <cell r="B2279" t="str">
            <v>Materials</v>
          </cell>
          <cell r="C2279" t="str">
            <v>Brick Chiminy</v>
          </cell>
          <cell r="F2279">
            <v>11.33</v>
          </cell>
        </row>
        <row r="2280">
          <cell r="C2280" t="str">
            <v>Sand</v>
          </cell>
          <cell r="F2280">
            <v>1200</v>
          </cell>
        </row>
        <row r="2281">
          <cell r="B2281" t="str">
            <v>Rate analysis for :10.00 Sqm.</v>
          </cell>
        </row>
        <row r="2286">
          <cell r="B2286" t="str">
            <v>Note :</v>
          </cell>
          <cell r="C2286" t="str">
            <v>1.00 Cum Brick bat=465 Brick</v>
          </cell>
        </row>
        <row r="2288">
          <cell r="A2288">
            <v>8.2100000000000009</v>
          </cell>
          <cell r="B2288" t="str">
            <v xml:space="preserve"> H15(11-15B)</v>
          </cell>
          <cell r="C2288" t="str">
            <v>Dry edge Brick (Brick Bat ) paving work</v>
          </cell>
          <cell r="F2288" t="str">
            <v>Sqm.</v>
          </cell>
        </row>
        <row r="2289">
          <cell r="B2289" t="str">
            <v>Resources</v>
          </cell>
          <cell r="C2289" t="str">
            <v>Level/Type</v>
          </cell>
          <cell r="F2289" t="str">
            <v>Rate</v>
          </cell>
        </row>
        <row r="2290">
          <cell r="B2290" t="str">
            <v>Labour</v>
          </cell>
          <cell r="C2290" t="str">
            <v>Skilled</v>
          </cell>
          <cell r="F2290">
            <v>600</v>
          </cell>
        </row>
        <row r="2291">
          <cell r="C2291" t="str">
            <v>Unskilled</v>
          </cell>
          <cell r="F2291">
            <v>350</v>
          </cell>
        </row>
        <row r="2292">
          <cell r="B2292" t="str">
            <v>Materials</v>
          </cell>
          <cell r="C2292" t="str">
            <v>Brick Bat</v>
          </cell>
          <cell r="F2292">
            <v>5.53</v>
          </cell>
        </row>
        <row r="2293">
          <cell r="C2293" t="str">
            <v>Sand</v>
          </cell>
          <cell r="F2293">
            <v>1200</v>
          </cell>
        </row>
        <row r="2294">
          <cell r="B2294" t="str">
            <v>Rate analysis for :10.00 Sqm.</v>
          </cell>
        </row>
        <row r="2299">
          <cell r="A2299">
            <v>8.2200000000000006</v>
          </cell>
          <cell r="B2299" t="str">
            <v>H16( 11-16)</v>
          </cell>
          <cell r="C2299" t="str">
            <v>Stone filling in floor with sand  lead up to 30 mtr.</v>
          </cell>
          <cell r="F2299" t="str">
            <v>Cum.</v>
          </cell>
        </row>
        <row r="2300">
          <cell r="B2300" t="str">
            <v>Resources</v>
          </cell>
          <cell r="C2300" t="str">
            <v>Level/Type</v>
          </cell>
          <cell r="F2300" t="str">
            <v>Rate</v>
          </cell>
        </row>
        <row r="2301">
          <cell r="B2301" t="str">
            <v>Labour</v>
          </cell>
          <cell r="C2301" t="str">
            <v>Skilled</v>
          </cell>
          <cell r="F2301">
            <v>600</v>
          </cell>
        </row>
        <row r="2302">
          <cell r="C2302" t="str">
            <v>Unskilled</v>
          </cell>
          <cell r="F2302">
            <v>350</v>
          </cell>
        </row>
        <row r="2303">
          <cell r="B2303" t="str">
            <v>Materials</v>
          </cell>
          <cell r="C2303" t="str">
            <v>Stone block</v>
          </cell>
          <cell r="F2303">
            <v>1400</v>
          </cell>
        </row>
        <row r="2304">
          <cell r="C2304" t="str">
            <v>Sand Local</v>
          </cell>
          <cell r="F2304">
            <v>250</v>
          </cell>
        </row>
        <row r="2305">
          <cell r="B2305" t="str">
            <v>Rate analysis for :1.00 Cum.</v>
          </cell>
        </row>
        <row r="2310">
          <cell r="A2310">
            <v>8.23</v>
          </cell>
          <cell r="B2310" t="str">
            <v>H17( 11-17)</v>
          </cell>
          <cell r="C2310" t="str">
            <v>Edge brick paving with sand packing in voids &amp; cement sand (1:3) flush pointing in top surface.</v>
          </cell>
          <cell r="F2310" t="str">
            <v>Sqm.</v>
          </cell>
        </row>
        <row r="2311">
          <cell r="B2311" t="str">
            <v>Resources</v>
          </cell>
          <cell r="C2311" t="str">
            <v>Level/Type</v>
          </cell>
          <cell r="F2311" t="str">
            <v>Rate</v>
          </cell>
        </row>
        <row r="2312">
          <cell r="B2312" t="str">
            <v>Labour</v>
          </cell>
          <cell r="C2312" t="str">
            <v>Skilled</v>
          </cell>
          <cell r="F2312">
            <v>600</v>
          </cell>
        </row>
        <row r="2313">
          <cell r="C2313" t="str">
            <v>Unskilled</v>
          </cell>
          <cell r="F2313">
            <v>350</v>
          </cell>
        </row>
        <row r="2314">
          <cell r="B2314" t="str">
            <v>Materials</v>
          </cell>
          <cell r="C2314" t="str">
            <v>Brick Chiminy</v>
          </cell>
          <cell r="F2314">
            <v>11.33</v>
          </cell>
        </row>
        <row r="2315">
          <cell r="C2315" t="str">
            <v>cement</v>
          </cell>
          <cell r="F2315">
            <v>12566</v>
          </cell>
        </row>
        <row r="2316">
          <cell r="C2316" t="str">
            <v>Sand</v>
          </cell>
          <cell r="F2316">
            <v>1200</v>
          </cell>
        </row>
        <row r="2317">
          <cell r="B2317" t="str">
            <v>Rate analysis for :10.00 Sqm.</v>
          </cell>
        </row>
        <row r="2322">
          <cell r="A2322">
            <v>8.24</v>
          </cell>
          <cell r="B2322" t="str">
            <v>H19( 11-19A)</v>
          </cell>
          <cell r="C2322" t="str">
            <v>Sand filling work</v>
          </cell>
          <cell r="F2322" t="str">
            <v>Cum.</v>
          </cell>
        </row>
        <row r="2323">
          <cell r="B2323" t="str">
            <v>Resources</v>
          </cell>
          <cell r="C2323" t="str">
            <v>Level/Type</v>
          </cell>
          <cell r="F2323" t="str">
            <v>Rate</v>
          </cell>
        </row>
        <row r="2324">
          <cell r="B2324" t="str">
            <v>Labour</v>
          </cell>
          <cell r="C2324" t="str">
            <v>Skilled</v>
          </cell>
          <cell r="F2324">
            <v>600</v>
          </cell>
        </row>
        <row r="2325">
          <cell r="B2325" t="str">
            <v>Materials</v>
          </cell>
          <cell r="C2325" t="str">
            <v>Sand local</v>
          </cell>
          <cell r="F2325">
            <v>250</v>
          </cell>
        </row>
        <row r="2326">
          <cell r="B2326" t="str">
            <v>Rate analysis for :10.00 Cum.</v>
          </cell>
        </row>
        <row r="2331">
          <cell r="A2331">
            <v>8.25</v>
          </cell>
          <cell r="B2331" t="str">
            <v>H19( 11-19B)</v>
          </cell>
          <cell r="C2331" t="str">
            <v>15-15 cm. Brick bat filling work.</v>
          </cell>
          <cell r="F2331" t="str">
            <v>Cum.</v>
          </cell>
        </row>
        <row r="2332">
          <cell r="B2332" t="str">
            <v>Resources</v>
          </cell>
          <cell r="C2332" t="str">
            <v>Level/Type</v>
          </cell>
          <cell r="F2332" t="str">
            <v>Rate</v>
          </cell>
        </row>
        <row r="2333">
          <cell r="B2333" t="str">
            <v>Labour</v>
          </cell>
          <cell r="C2333" t="str">
            <v>Skilled</v>
          </cell>
          <cell r="F2333">
            <v>600</v>
          </cell>
        </row>
        <row r="2334">
          <cell r="B2334" t="str">
            <v>Materials</v>
          </cell>
          <cell r="C2334" t="str">
            <v>Brick bat</v>
          </cell>
          <cell r="F2334">
            <v>2575</v>
          </cell>
        </row>
        <row r="2335">
          <cell r="B2335" t="str">
            <v>Rate analysis for :10.00 Cum.</v>
          </cell>
        </row>
        <row r="2340">
          <cell r="A2340">
            <v>8.26</v>
          </cell>
          <cell r="B2340" t="str">
            <v>H20( 11-20)</v>
          </cell>
          <cell r="C2340" t="str">
            <v>3 mm thick neat cement punning work.</v>
          </cell>
          <cell r="F2340" t="str">
            <v>Sqm.</v>
          </cell>
        </row>
        <row r="2341">
          <cell r="B2341" t="str">
            <v>Resources</v>
          </cell>
          <cell r="C2341" t="str">
            <v>Level/Type</v>
          </cell>
          <cell r="F2341" t="str">
            <v>Rate</v>
          </cell>
        </row>
        <row r="2342">
          <cell r="B2342" t="str">
            <v>Labour</v>
          </cell>
          <cell r="C2342" t="str">
            <v>Skilled</v>
          </cell>
          <cell r="F2342">
            <v>600</v>
          </cell>
        </row>
        <row r="2343">
          <cell r="C2343" t="str">
            <v>Unskilled</v>
          </cell>
          <cell r="F2343">
            <v>350</v>
          </cell>
        </row>
        <row r="2344">
          <cell r="B2344" t="str">
            <v>Materials</v>
          </cell>
          <cell r="C2344" t="str">
            <v>Cement</v>
          </cell>
          <cell r="F2344">
            <v>12.566000000000001</v>
          </cell>
        </row>
        <row r="2345">
          <cell r="B2345" t="str">
            <v>Rate analysis for :10.00 Sqm.</v>
          </cell>
        </row>
        <row r="2350">
          <cell r="A2350">
            <v>8.27</v>
          </cell>
          <cell r="B2350" t="str">
            <v xml:space="preserve"> H21(11-21)</v>
          </cell>
          <cell r="C2350" t="str">
            <v xml:space="preserve">25 mm thick Sal wood planking work with 50x75 mm sal  wood frame in 600x600 mm </v>
          </cell>
          <cell r="F2350" t="str">
            <v>Sqm.</v>
          </cell>
        </row>
        <row r="2351">
          <cell r="B2351" t="str">
            <v>Resources</v>
          </cell>
          <cell r="C2351" t="str">
            <v>Level/Type</v>
          </cell>
          <cell r="F2351" t="str">
            <v>Rate</v>
          </cell>
        </row>
        <row r="2352">
          <cell r="B2352" t="str">
            <v>Labour</v>
          </cell>
          <cell r="C2352" t="str">
            <v>Skilled</v>
          </cell>
          <cell r="F2352">
            <v>600</v>
          </cell>
        </row>
        <row r="2353">
          <cell r="C2353" t="str">
            <v>Unskilled</v>
          </cell>
          <cell r="F2353">
            <v>350</v>
          </cell>
        </row>
        <row r="2354">
          <cell r="B2354" t="str">
            <v>Materials</v>
          </cell>
          <cell r="C2354" t="str">
            <v>Wood Sal</v>
          </cell>
          <cell r="F2354">
            <v>138222.91</v>
          </cell>
        </row>
        <row r="2355">
          <cell r="C2355" t="str">
            <v>Killa</v>
          </cell>
        </row>
        <row r="2356">
          <cell r="B2356" t="str">
            <v>Rate analysis for :10.00 Sqm.</v>
          </cell>
        </row>
        <row r="2361">
          <cell r="A2361">
            <v>8.2799999999999994</v>
          </cell>
          <cell r="B2361" t="str">
            <v>H24( 11-20)</v>
          </cell>
          <cell r="C2361" t="str">
            <v>3 mm thick neat Plaster of peris punning work.</v>
          </cell>
          <cell r="F2361" t="str">
            <v>Sqm.</v>
          </cell>
        </row>
        <row r="2362">
          <cell r="B2362" t="str">
            <v>Resources</v>
          </cell>
          <cell r="C2362" t="str">
            <v>Level/Type</v>
          </cell>
          <cell r="F2362" t="str">
            <v>Rate</v>
          </cell>
        </row>
        <row r="2363">
          <cell r="B2363" t="str">
            <v>Labour</v>
          </cell>
          <cell r="C2363" t="str">
            <v>Skilled</v>
          </cell>
          <cell r="F2363">
            <v>600</v>
          </cell>
        </row>
        <row r="2364">
          <cell r="C2364" t="str">
            <v>Unskilled</v>
          </cell>
          <cell r="F2364">
            <v>350</v>
          </cell>
        </row>
        <row r="2365">
          <cell r="B2365" t="str">
            <v>Materials</v>
          </cell>
          <cell r="C2365" t="str">
            <v>Plaster of peris</v>
          </cell>
          <cell r="F2365">
            <v>23.69</v>
          </cell>
        </row>
        <row r="2366">
          <cell r="B2366" t="str">
            <v>Rate analysis for :10.00 Sqm.</v>
          </cell>
        </row>
        <row r="2371">
          <cell r="A2371">
            <v>8.2899999999999991</v>
          </cell>
          <cell r="B2371" t="str">
            <v>H25(11-7)</v>
          </cell>
          <cell r="C2371" t="str">
            <v xml:space="preserve">Clay tile(Machine Made) paving work in cement sand (1:4) mortar </v>
          </cell>
          <cell r="F2371" t="str">
            <v>Sqm.</v>
          </cell>
        </row>
        <row r="2372">
          <cell r="B2372" t="str">
            <v>Resources</v>
          </cell>
          <cell r="C2372" t="str">
            <v>Level/Type</v>
          </cell>
          <cell r="F2372" t="str">
            <v>Rate</v>
          </cell>
        </row>
        <row r="2373">
          <cell r="B2373" t="str">
            <v>Labour</v>
          </cell>
          <cell r="C2373" t="str">
            <v>Skilled</v>
          </cell>
          <cell r="F2373">
            <v>600</v>
          </cell>
        </row>
        <row r="2374">
          <cell r="C2374" t="str">
            <v>Unskilled</v>
          </cell>
          <cell r="F2374">
            <v>350</v>
          </cell>
        </row>
        <row r="2375">
          <cell r="B2375" t="str">
            <v>Materials</v>
          </cell>
          <cell r="C2375" t="str">
            <v>lay tile(Machine Made)</v>
          </cell>
          <cell r="F2375">
            <v>113.3</v>
          </cell>
        </row>
        <row r="2376">
          <cell r="C2376" t="str">
            <v>Cement</v>
          </cell>
          <cell r="F2376">
            <v>12566</v>
          </cell>
        </row>
        <row r="2377">
          <cell r="C2377" t="str">
            <v>Sand</v>
          </cell>
          <cell r="F2377">
            <v>1200</v>
          </cell>
        </row>
        <row r="2378">
          <cell r="B2378" t="str">
            <v>Rate analysis for :10.00 Sqm.</v>
          </cell>
        </row>
        <row r="2383">
          <cell r="A2383">
            <v>8.3000000000000007</v>
          </cell>
          <cell r="B2383" t="str">
            <v>H26(11-6)</v>
          </cell>
          <cell r="C2383" t="str">
            <v xml:space="preserve"> Grenite 16 mm thick paving with 20 mm thick cement sand  mortar 1:2 rubbing &amp; polishing work with all complete.</v>
          </cell>
          <cell r="F2383" t="str">
            <v>Sqm.</v>
          </cell>
        </row>
        <row r="2384">
          <cell r="B2384" t="str">
            <v>Resources</v>
          </cell>
          <cell r="C2384" t="str">
            <v>Level/Type</v>
          </cell>
          <cell r="F2384" t="str">
            <v>Rate</v>
          </cell>
        </row>
        <row r="2385">
          <cell r="B2385" t="str">
            <v>Labour</v>
          </cell>
          <cell r="C2385" t="str">
            <v>Skilled</v>
          </cell>
          <cell r="F2385">
            <v>600</v>
          </cell>
        </row>
        <row r="2386">
          <cell r="C2386" t="str">
            <v>Unskilled</v>
          </cell>
          <cell r="F2386">
            <v>350</v>
          </cell>
        </row>
        <row r="2387">
          <cell r="B2387" t="str">
            <v>Materials</v>
          </cell>
          <cell r="C2387" t="str">
            <v>Grenite 16 mm thick</v>
          </cell>
          <cell r="F2387">
            <v>1100</v>
          </cell>
        </row>
        <row r="2388">
          <cell r="C2388" t="str">
            <v>Cement</v>
          </cell>
          <cell r="F2388">
            <v>12566</v>
          </cell>
        </row>
        <row r="2389">
          <cell r="C2389" t="str">
            <v>Sand</v>
          </cell>
          <cell r="F2389">
            <v>1200</v>
          </cell>
        </row>
        <row r="2390">
          <cell r="C2390" t="str">
            <v>Akjalik acid powder</v>
          </cell>
          <cell r="F2390">
            <v>77.25</v>
          </cell>
        </row>
        <row r="2391">
          <cell r="C2391" t="str">
            <v xml:space="preserve">Main Polish </v>
          </cell>
          <cell r="F2391">
            <v>185.4</v>
          </cell>
        </row>
        <row r="2392">
          <cell r="C2392" t="str">
            <v>Tarpaintain oil</v>
          </cell>
          <cell r="F2392">
            <v>118.45</v>
          </cell>
        </row>
        <row r="2393">
          <cell r="C2393" t="str">
            <v>Carborendam Stone</v>
          </cell>
          <cell r="F2393">
            <v>164.8</v>
          </cell>
        </row>
        <row r="2394">
          <cell r="B2394" t="str">
            <v>Equipment</v>
          </cell>
          <cell r="C2394" t="str">
            <v>Unskilled</v>
          </cell>
          <cell r="F2394">
            <v>350</v>
          </cell>
        </row>
        <row r="2395">
          <cell r="B2395" t="str">
            <v>Rate analysis for :10.00 Sqm.</v>
          </cell>
        </row>
        <row r="2406">
          <cell r="A2406" t="str">
            <v>I - PLASTER &amp; POINTING WORK</v>
          </cell>
        </row>
        <row r="2408">
          <cell r="A2408">
            <v>9.01</v>
          </cell>
          <cell r="B2408" t="str">
            <v>I1(12-1B)</v>
          </cell>
          <cell r="C2408" t="str">
            <v>12.5 mm. thick cement sand plaster work 1:3 on wall.</v>
          </cell>
          <cell r="F2408" t="str">
            <v>Sqm.</v>
          </cell>
        </row>
        <row r="2409">
          <cell r="B2409" t="str">
            <v>Resources</v>
          </cell>
          <cell r="C2409" t="str">
            <v>Level/Type</v>
          </cell>
          <cell r="F2409" t="str">
            <v>Rate</v>
          </cell>
        </row>
        <row r="2410">
          <cell r="B2410" t="str">
            <v>Labour</v>
          </cell>
          <cell r="C2410" t="str">
            <v>Skilled</v>
          </cell>
          <cell r="F2410">
            <v>600</v>
          </cell>
        </row>
        <row r="2411">
          <cell r="C2411" t="str">
            <v>Unskilled</v>
          </cell>
          <cell r="F2411">
            <v>350</v>
          </cell>
        </row>
        <row r="2412">
          <cell r="B2412" t="str">
            <v>Materials</v>
          </cell>
          <cell r="C2412" t="str">
            <v>Cement</v>
          </cell>
          <cell r="F2412">
            <v>12566</v>
          </cell>
        </row>
        <row r="2413">
          <cell r="C2413" t="str">
            <v>Sand</v>
          </cell>
          <cell r="F2413">
            <v>1200</v>
          </cell>
        </row>
        <row r="2414">
          <cell r="B2414" t="str">
            <v>Rate analysis for :100.00 Sqm.</v>
          </cell>
        </row>
        <row r="2419">
          <cell r="A2419">
            <v>9.02</v>
          </cell>
          <cell r="B2419" t="str">
            <v>I1(12-1C)</v>
          </cell>
          <cell r="C2419" t="str">
            <v>12.5 mm. thick cement sand plaster work 1:4 on wall.</v>
          </cell>
          <cell r="F2419" t="str">
            <v>Sqm.</v>
          </cell>
        </row>
        <row r="2420">
          <cell r="B2420" t="str">
            <v>Resources</v>
          </cell>
          <cell r="C2420" t="str">
            <v>Level/Type</v>
          </cell>
          <cell r="F2420" t="str">
            <v>Rate</v>
          </cell>
        </row>
        <row r="2421">
          <cell r="B2421" t="str">
            <v>Labour</v>
          </cell>
          <cell r="C2421" t="str">
            <v>Skilled</v>
          </cell>
          <cell r="F2421">
            <v>600</v>
          </cell>
        </row>
        <row r="2422">
          <cell r="C2422" t="str">
            <v>Unskilled</v>
          </cell>
          <cell r="F2422">
            <v>350</v>
          </cell>
        </row>
        <row r="2423">
          <cell r="B2423" t="str">
            <v>Materials</v>
          </cell>
          <cell r="C2423" t="str">
            <v>Cement</v>
          </cell>
          <cell r="F2423">
            <v>12566</v>
          </cell>
        </row>
        <row r="2424">
          <cell r="C2424" t="str">
            <v>Sand</v>
          </cell>
          <cell r="F2424">
            <v>1200</v>
          </cell>
        </row>
        <row r="2425">
          <cell r="B2425" t="str">
            <v>Rate analysis for :100.00 Sqm.</v>
          </cell>
        </row>
        <row r="2430">
          <cell r="A2430">
            <v>9.0299999999999994</v>
          </cell>
          <cell r="B2430" t="str">
            <v>I1(12-1D)</v>
          </cell>
          <cell r="C2430" t="str">
            <v>12.5 mm. thick cement sand plaster work 1:6 on wall.</v>
          </cell>
          <cell r="F2430" t="str">
            <v>Sqm.</v>
          </cell>
        </row>
        <row r="2431">
          <cell r="B2431" t="str">
            <v>Resources</v>
          </cell>
          <cell r="C2431" t="str">
            <v>Level/Type</v>
          </cell>
          <cell r="F2431" t="str">
            <v>Rate</v>
          </cell>
        </row>
        <row r="2432">
          <cell r="B2432" t="str">
            <v>Labour</v>
          </cell>
          <cell r="C2432" t="str">
            <v>Skilled</v>
          </cell>
          <cell r="F2432">
            <v>600</v>
          </cell>
        </row>
        <row r="2433">
          <cell r="C2433" t="str">
            <v>Unskilled</v>
          </cell>
          <cell r="F2433">
            <v>350</v>
          </cell>
        </row>
        <row r="2434">
          <cell r="B2434" t="str">
            <v>Materials</v>
          </cell>
          <cell r="C2434" t="str">
            <v>Cement</v>
          </cell>
          <cell r="F2434">
            <v>12566</v>
          </cell>
        </row>
        <row r="2435">
          <cell r="C2435" t="str">
            <v>Sand</v>
          </cell>
          <cell r="F2435">
            <v>1200</v>
          </cell>
        </row>
        <row r="2436">
          <cell r="B2436" t="str">
            <v>Rate analysis for :100.00 Sqm.</v>
          </cell>
        </row>
        <row r="2441">
          <cell r="A2441">
            <v>9.0399999999999991</v>
          </cell>
          <cell r="B2441" t="str">
            <v>I4(12-4A)</v>
          </cell>
          <cell r="C2441" t="str">
            <v>20 mm. thick cement sand plaster work 1:3 on wall etc.</v>
          </cell>
          <cell r="F2441" t="str">
            <v>Sqm.</v>
          </cell>
        </row>
        <row r="2442">
          <cell r="B2442" t="str">
            <v>Resources</v>
          </cell>
          <cell r="C2442" t="str">
            <v>Level/Type</v>
          </cell>
          <cell r="F2442" t="str">
            <v>Rate</v>
          </cell>
        </row>
        <row r="2443">
          <cell r="B2443" t="str">
            <v>Labour</v>
          </cell>
          <cell r="C2443" t="str">
            <v>Skilled</v>
          </cell>
          <cell r="F2443">
            <v>600</v>
          </cell>
        </row>
        <row r="2444">
          <cell r="C2444" t="str">
            <v>Unskilled</v>
          </cell>
          <cell r="F2444">
            <v>350</v>
          </cell>
        </row>
        <row r="2445">
          <cell r="B2445" t="str">
            <v>Materials</v>
          </cell>
          <cell r="C2445" t="str">
            <v>Cement</v>
          </cell>
          <cell r="F2445">
            <v>12566</v>
          </cell>
        </row>
        <row r="2446">
          <cell r="C2446" t="str">
            <v>Sand</v>
          </cell>
          <cell r="F2446">
            <v>1200</v>
          </cell>
        </row>
        <row r="2447">
          <cell r="B2447" t="str">
            <v>Rate analysis for :100.00 Sqm.</v>
          </cell>
        </row>
        <row r="2452">
          <cell r="A2452">
            <v>9.0500000000000007</v>
          </cell>
          <cell r="B2452" t="str">
            <v>I4(12-4B)</v>
          </cell>
          <cell r="C2452" t="str">
            <v>20 mm. thick cement sand plaster work 1:4 on wall etc.</v>
          </cell>
          <cell r="F2452" t="str">
            <v>Sqm.</v>
          </cell>
        </row>
        <row r="2453">
          <cell r="B2453" t="str">
            <v>Resources</v>
          </cell>
          <cell r="C2453" t="str">
            <v>Level/Type</v>
          </cell>
          <cell r="F2453" t="str">
            <v>Rate</v>
          </cell>
        </row>
        <row r="2454">
          <cell r="B2454" t="str">
            <v>Labour</v>
          </cell>
          <cell r="C2454" t="str">
            <v>Skilled</v>
          </cell>
          <cell r="F2454">
            <v>600</v>
          </cell>
        </row>
        <row r="2455">
          <cell r="C2455" t="str">
            <v>Unskilled</v>
          </cell>
          <cell r="F2455">
            <v>350</v>
          </cell>
        </row>
        <row r="2456">
          <cell r="B2456" t="str">
            <v>Materials</v>
          </cell>
          <cell r="C2456" t="str">
            <v>Cement</v>
          </cell>
          <cell r="F2456">
            <v>12566</v>
          </cell>
        </row>
        <row r="2457">
          <cell r="C2457" t="str">
            <v>Sand</v>
          </cell>
          <cell r="F2457">
            <v>1200</v>
          </cell>
        </row>
        <row r="2458">
          <cell r="B2458" t="str">
            <v>Rate analysis for :100.00 Sqm.</v>
          </cell>
        </row>
        <row r="2469">
          <cell r="A2469">
            <v>9.06</v>
          </cell>
          <cell r="B2469" t="str">
            <v>I4(12-4C)</v>
          </cell>
          <cell r="C2469" t="str">
            <v>20 mm. thick cement sand plaster work1:6 on wall etc.</v>
          </cell>
          <cell r="F2469" t="str">
            <v>Sqm.</v>
          </cell>
        </row>
        <row r="2470">
          <cell r="B2470" t="str">
            <v>Resources</v>
          </cell>
          <cell r="C2470" t="str">
            <v>Level/Type</v>
          </cell>
          <cell r="F2470" t="str">
            <v>Rate</v>
          </cell>
        </row>
        <row r="2471">
          <cell r="B2471" t="str">
            <v>Labour</v>
          </cell>
          <cell r="C2471" t="str">
            <v>Skilled</v>
          </cell>
          <cell r="F2471">
            <v>600</v>
          </cell>
        </row>
        <row r="2472">
          <cell r="C2472" t="str">
            <v>Unskilled</v>
          </cell>
          <cell r="F2472">
            <v>350</v>
          </cell>
        </row>
        <row r="2473">
          <cell r="B2473" t="str">
            <v>Materials</v>
          </cell>
          <cell r="C2473" t="str">
            <v>Cement</v>
          </cell>
          <cell r="F2473">
            <v>12566</v>
          </cell>
        </row>
        <row r="2474">
          <cell r="C2474" t="str">
            <v>Sand</v>
          </cell>
          <cell r="F2474">
            <v>1200</v>
          </cell>
        </row>
        <row r="2475">
          <cell r="B2475" t="str">
            <v>Rate analysis for :100.00 Sqm.</v>
          </cell>
        </row>
        <row r="2480">
          <cell r="A2480">
            <v>9.07</v>
          </cell>
          <cell r="B2480" t="str">
            <v>I5(12-5)</v>
          </cell>
          <cell r="C2480" t="str">
            <v>25 mm. thick mud plaster on wall etc.</v>
          </cell>
          <cell r="F2480" t="str">
            <v>Sqm.</v>
          </cell>
        </row>
        <row r="2481">
          <cell r="B2481" t="str">
            <v>Resources</v>
          </cell>
          <cell r="C2481" t="str">
            <v>Level/Type</v>
          </cell>
          <cell r="F2481" t="str">
            <v>Rate</v>
          </cell>
        </row>
        <row r="2482">
          <cell r="B2482" t="str">
            <v>Labour</v>
          </cell>
          <cell r="C2482" t="str">
            <v>Skilled</v>
          </cell>
          <cell r="F2482">
            <v>600</v>
          </cell>
        </row>
        <row r="2483">
          <cell r="C2483" t="str">
            <v>Unskilled</v>
          </cell>
          <cell r="F2483">
            <v>350</v>
          </cell>
        </row>
        <row r="2484">
          <cell r="B2484" t="str">
            <v>Materials</v>
          </cell>
          <cell r="C2484" t="str">
            <v xml:space="preserve">Mud </v>
          </cell>
          <cell r="F2484">
            <v>250</v>
          </cell>
        </row>
        <row r="2485">
          <cell r="C2485" t="str">
            <v>Bhush</v>
          </cell>
          <cell r="F2485">
            <v>3.09</v>
          </cell>
        </row>
        <row r="2486">
          <cell r="C2486" t="str">
            <v xml:space="preserve">Gobar </v>
          </cell>
          <cell r="F2486">
            <v>1.28</v>
          </cell>
        </row>
        <row r="2487">
          <cell r="B2487" t="str">
            <v>Rate analysis for :100.00 Sqm.</v>
          </cell>
        </row>
        <row r="2492">
          <cell r="A2492">
            <v>9.08</v>
          </cell>
          <cell r="B2492" t="str">
            <v>I5(12-6)</v>
          </cell>
          <cell r="C2492" t="str">
            <v>12.5 mm. thick mud plaster on wall etc.</v>
          </cell>
          <cell r="F2492" t="str">
            <v>Sqm.</v>
          </cell>
        </row>
        <row r="2493">
          <cell r="B2493" t="str">
            <v>Resources</v>
          </cell>
          <cell r="C2493" t="str">
            <v>Level/Type</v>
          </cell>
          <cell r="F2493" t="str">
            <v>Rate</v>
          </cell>
        </row>
        <row r="2494">
          <cell r="B2494" t="str">
            <v>Labour</v>
          </cell>
          <cell r="C2494" t="str">
            <v>Skilled</v>
          </cell>
          <cell r="F2494">
            <v>600</v>
          </cell>
        </row>
        <row r="2495">
          <cell r="C2495" t="str">
            <v>Unskilled</v>
          </cell>
          <cell r="F2495">
            <v>350</v>
          </cell>
        </row>
        <row r="2496">
          <cell r="B2496" t="str">
            <v>Materials</v>
          </cell>
          <cell r="C2496" t="str">
            <v xml:space="preserve">Mud </v>
          </cell>
          <cell r="F2496">
            <v>250</v>
          </cell>
        </row>
        <row r="2497">
          <cell r="C2497" t="str">
            <v>Bhush</v>
          </cell>
          <cell r="F2497">
            <v>3.09</v>
          </cell>
        </row>
        <row r="2498">
          <cell r="C2498" t="str">
            <v xml:space="preserve">Gobar </v>
          </cell>
          <cell r="F2498">
            <v>1.28</v>
          </cell>
        </row>
        <row r="2499">
          <cell r="B2499" t="str">
            <v>Rate analysis for :100.00 Sqm.</v>
          </cell>
        </row>
        <row r="2504">
          <cell r="A2504">
            <v>9.09</v>
          </cell>
          <cell r="B2504" t="str">
            <v>I7(12-1B)</v>
          </cell>
          <cell r="C2504" t="str">
            <v>12.5 mm. thick cement sand plaster work (1:3 ) on ceilling</v>
          </cell>
          <cell r="F2504" t="str">
            <v>Sqm.</v>
          </cell>
        </row>
        <row r="2505">
          <cell r="B2505" t="str">
            <v>Resources</v>
          </cell>
          <cell r="C2505" t="str">
            <v>Level/Type</v>
          </cell>
          <cell r="F2505" t="str">
            <v>Rate</v>
          </cell>
        </row>
        <row r="2506">
          <cell r="B2506" t="str">
            <v>Labour</v>
          </cell>
          <cell r="C2506" t="str">
            <v>Skilled</v>
          </cell>
          <cell r="F2506">
            <v>600</v>
          </cell>
        </row>
        <row r="2507">
          <cell r="C2507" t="str">
            <v>Unskilled</v>
          </cell>
          <cell r="F2507">
            <v>350</v>
          </cell>
        </row>
        <row r="2508">
          <cell r="B2508" t="str">
            <v>Materials</v>
          </cell>
          <cell r="C2508" t="str">
            <v>Cement</v>
          </cell>
          <cell r="F2508">
            <v>12566</v>
          </cell>
        </row>
        <row r="2509">
          <cell r="C2509" t="str">
            <v>Sand</v>
          </cell>
          <cell r="F2509">
            <v>1200</v>
          </cell>
        </row>
        <row r="2510">
          <cell r="B2510" t="str">
            <v>Rate analysis for :100.00 Sqm.</v>
          </cell>
        </row>
        <row r="2515">
          <cell r="A2515">
            <v>9.1</v>
          </cell>
          <cell r="B2515" t="str">
            <v>I7(12-1C)</v>
          </cell>
          <cell r="C2515" t="str">
            <v>12.5 mm. thick cement sand plaster work 1:4 on ceilling</v>
          </cell>
          <cell r="F2515" t="str">
            <v>Sqm.</v>
          </cell>
        </row>
        <row r="2516">
          <cell r="B2516" t="str">
            <v>Resources</v>
          </cell>
          <cell r="C2516" t="str">
            <v>Level/Type</v>
          </cell>
          <cell r="F2516" t="str">
            <v>Rate</v>
          </cell>
        </row>
        <row r="2517">
          <cell r="B2517" t="str">
            <v>Labour</v>
          </cell>
          <cell r="C2517" t="str">
            <v>Skilled</v>
          </cell>
          <cell r="F2517">
            <v>600</v>
          </cell>
        </row>
        <row r="2518">
          <cell r="C2518" t="str">
            <v>Unskilled</v>
          </cell>
          <cell r="F2518">
            <v>350</v>
          </cell>
        </row>
        <row r="2519">
          <cell r="B2519" t="str">
            <v>Materials</v>
          </cell>
          <cell r="C2519" t="str">
            <v>Cement</v>
          </cell>
          <cell r="F2519">
            <v>12566</v>
          </cell>
        </row>
        <row r="2520">
          <cell r="C2520" t="str">
            <v>Sand</v>
          </cell>
          <cell r="F2520">
            <v>1200</v>
          </cell>
        </row>
        <row r="2521">
          <cell r="B2521" t="str">
            <v>Rate analysis for :100.00 Sqm.</v>
          </cell>
        </row>
        <row r="2529">
          <cell r="A2529">
            <v>9.11</v>
          </cell>
          <cell r="B2529" t="str">
            <v>I8(14-1A)</v>
          </cell>
          <cell r="C2529" t="str">
            <v xml:space="preserve">Flush  pointing works in 1:1 Cement   sand mortar on Brick masonry wall </v>
          </cell>
          <cell r="F2529" t="str">
            <v>Sqm.</v>
          </cell>
        </row>
        <row r="2530">
          <cell r="B2530" t="str">
            <v>Resources</v>
          </cell>
          <cell r="C2530" t="str">
            <v>Level/Type</v>
          </cell>
          <cell r="F2530" t="str">
            <v>Rate</v>
          </cell>
        </row>
        <row r="2531">
          <cell r="B2531" t="str">
            <v>Labour</v>
          </cell>
          <cell r="C2531" t="str">
            <v>Skilled</v>
          </cell>
          <cell r="F2531">
            <v>600</v>
          </cell>
        </row>
        <row r="2532">
          <cell r="C2532" t="str">
            <v>Unskilled</v>
          </cell>
          <cell r="F2532">
            <v>350</v>
          </cell>
        </row>
        <row r="2533">
          <cell r="B2533" t="str">
            <v>Materials</v>
          </cell>
          <cell r="C2533" t="str">
            <v>Cement</v>
          </cell>
          <cell r="F2533">
            <v>12566</v>
          </cell>
        </row>
        <row r="2534">
          <cell r="C2534" t="str">
            <v>Sand</v>
          </cell>
          <cell r="F2534">
            <v>1200</v>
          </cell>
        </row>
        <row r="2535">
          <cell r="B2535" t="str">
            <v>Rate analysis for :100.00 Sqm.</v>
          </cell>
        </row>
        <row r="2540">
          <cell r="A2540">
            <v>9.1199999999999992</v>
          </cell>
          <cell r="B2540" t="str">
            <v>I8(14-1B)</v>
          </cell>
          <cell r="C2540" t="str">
            <v xml:space="preserve">Flush  pointing works in 1:2 Cement   sand mortar on Brick masonry work </v>
          </cell>
          <cell r="F2540" t="str">
            <v>Sqm.</v>
          </cell>
        </row>
        <row r="2541">
          <cell r="B2541" t="str">
            <v>Resources</v>
          </cell>
          <cell r="C2541" t="str">
            <v>Level/Type</v>
          </cell>
          <cell r="F2541" t="str">
            <v>Rate</v>
          </cell>
        </row>
        <row r="2542">
          <cell r="B2542" t="str">
            <v>Labour</v>
          </cell>
          <cell r="C2542" t="str">
            <v>Skilled</v>
          </cell>
          <cell r="F2542">
            <v>600</v>
          </cell>
        </row>
        <row r="2543">
          <cell r="C2543" t="str">
            <v>Unskilled</v>
          </cell>
          <cell r="F2543">
            <v>350</v>
          </cell>
        </row>
        <row r="2544">
          <cell r="B2544" t="str">
            <v>Materials</v>
          </cell>
          <cell r="C2544" t="str">
            <v>Cement</v>
          </cell>
          <cell r="F2544">
            <v>12566</v>
          </cell>
        </row>
        <row r="2545">
          <cell r="C2545" t="str">
            <v>Sand</v>
          </cell>
          <cell r="F2545">
            <v>1200</v>
          </cell>
        </row>
        <row r="2546">
          <cell r="B2546" t="str">
            <v>Rate analysis for :100.00 Sqm.</v>
          </cell>
        </row>
        <row r="2551">
          <cell r="A2551">
            <v>9.1300000000000008</v>
          </cell>
          <cell r="B2551" t="str">
            <v>I8(14-1C)</v>
          </cell>
          <cell r="C2551" t="str">
            <v>Flush  pointing works in 1:3 Cement   sand mortar on Brick masonry wall</v>
          </cell>
          <cell r="F2551" t="str">
            <v>Sqm.</v>
          </cell>
        </row>
        <row r="2552">
          <cell r="B2552" t="str">
            <v>Resources</v>
          </cell>
          <cell r="C2552" t="str">
            <v>Level/Type</v>
          </cell>
          <cell r="F2552" t="str">
            <v>Rate</v>
          </cell>
        </row>
        <row r="2553">
          <cell r="B2553" t="str">
            <v>Labour</v>
          </cell>
          <cell r="C2553" t="str">
            <v>Skilled</v>
          </cell>
          <cell r="F2553">
            <v>600</v>
          </cell>
        </row>
        <row r="2554">
          <cell r="C2554" t="str">
            <v>Unskilled</v>
          </cell>
          <cell r="F2554">
            <v>350</v>
          </cell>
        </row>
        <row r="2555">
          <cell r="B2555" t="str">
            <v>Materials</v>
          </cell>
          <cell r="C2555" t="str">
            <v>Cement</v>
          </cell>
          <cell r="F2555">
            <v>12566</v>
          </cell>
        </row>
        <row r="2556">
          <cell r="C2556" t="str">
            <v>Sand</v>
          </cell>
          <cell r="F2556">
            <v>1200</v>
          </cell>
        </row>
        <row r="2557">
          <cell r="B2557" t="str">
            <v>Rate analysis for :100.00 Sqm.</v>
          </cell>
        </row>
        <row r="2562">
          <cell r="A2562">
            <v>9.14</v>
          </cell>
          <cell r="B2562" t="str">
            <v>I8(14-1A)</v>
          </cell>
          <cell r="C2562" t="str">
            <v>Rulled  pointing works in 1:1 Cement   sand mortar on Brick masonry wall</v>
          </cell>
          <cell r="F2562" t="str">
            <v>Sqm.</v>
          </cell>
        </row>
        <row r="2563">
          <cell r="B2563" t="str">
            <v>Resources</v>
          </cell>
          <cell r="C2563" t="str">
            <v>Level/Type</v>
          </cell>
          <cell r="F2563" t="str">
            <v>Rate</v>
          </cell>
        </row>
        <row r="2564">
          <cell r="B2564" t="str">
            <v>Labour</v>
          </cell>
          <cell r="C2564" t="str">
            <v>Skilled</v>
          </cell>
          <cell r="F2564">
            <v>600</v>
          </cell>
        </row>
        <row r="2565">
          <cell r="C2565" t="str">
            <v>Unskilled</v>
          </cell>
          <cell r="F2565">
            <v>350</v>
          </cell>
        </row>
        <row r="2566">
          <cell r="B2566" t="str">
            <v>Materials</v>
          </cell>
          <cell r="C2566" t="str">
            <v>Cement</v>
          </cell>
          <cell r="F2566">
            <v>12566</v>
          </cell>
        </row>
        <row r="2567">
          <cell r="C2567" t="str">
            <v>Sand</v>
          </cell>
          <cell r="F2567">
            <v>1200</v>
          </cell>
        </row>
        <row r="2568">
          <cell r="B2568" t="str">
            <v>Rate analysis for :100.00 Sqm.</v>
          </cell>
        </row>
        <row r="2575">
          <cell r="A2575">
            <v>9.15</v>
          </cell>
          <cell r="B2575" t="str">
            <v>I8(14-1B)</v>
          </cell>
          <cell r="C2575" t="str">
            <v xml:space="preserve">Ruled pointing works in 1:2 Cement   sand mortar on Brick masonry work </v>
          </cell>
          <cell r="F2575" t="str">
            <v>Sqm.</v>
          </cell>
        </row>
        <row r="2576">
          <cell r="B2576" t="str">
            <v>Resources</v>
          </cell>
          <cell r="C2576" t="str">
            <v>Level/Type</v>
          </cell>
          <cell r="F2576" t="str">
            <v>Rate</v>
          </cell>
        </row>
        <row r="2577">
          <cell r="B2577" t="str">
            <v>Labour</v>
          </cell>
          <cell r="C2577" t="str">
            <v>Skilled</v>
          </cell>
          <cell r="F2577">
            <v>600</v>
          </cell>
        </row>
        <row r="2578">
          <cell r="C2578" t="str">
            <v>Unskilled</v>
          </cell>
          <cell r="F2578">
            <v>350</v>
          </cell>
        </row>
        <row r="2579">
          <cell r="B2579" t="str">
            <v>Materials</v>
          </cell>
          <cell r="C2579" t="str">
            <v>Cement</v>
          </cell>
          <cell r="F2579">
            <v>12566</v>
          </cell>
        </row>
        <row r="2580">
          <cell r="C2580" t="str">
            <v>Sand</v>
          </cell>
          <cell r="F2580">
            <v>1200</v>
          </cell>
        </row>
        <row r="2581">
          <cell r="B2581" t="str">
            <v>Rate analysis for :100.00 Sqm.</v>
          </cell>
        </row>
        <row r="2587">
          <cell r="A2587">
            <v>9.16</v>
          </cell>
          <cell r="B2587" t="str">
            <v>I8(14-1C)</v>
          </cell>
          <cell r="C2587" t="str">
            <v>Ruled  pointing works in 1:3 Cement   sand mortar on Brick masonry wall</v>
          </cell>
          <cell r="F2587" t="str">
            <v>Sqm.</v>
          </cell>
        </row>
        <row r="2588">
          <cell r="B2588" t="str">
            <v>Resources</v>
          </cell>
          <cell r="C2588" t="str">
            <v>Level/Type</v>
          </cell>
          <cell r="F2588" t="str">
            <v>Rate</v>
          </cell>
        </row>
        <row r="2589">
          <cell r="B2589" t="str">
            <v>Labour</v>
          </cell>
          <cell r="C2589" t="str">
            <v>Skilled</v>
          </cell>
          <cell r="F2589">
            <v>600</v>
          </cell>
        </row>
        <row r="2590">
          <cell r="C2590" t="str">
            <v>Unskilled</v>
          </cell>
          <cell r="F2590">
            <v>350</v>
          </cell>
        </row>
        <row r="2591">
          <cell r="B2591" t="str">
            <v>Materials</v>
          </cell>
          <cell r="C2591" t="str">
            <v>Cement</v>
          </cell>
          <cell r="F2591">
            <v>12566</v>
          </cell>
        </row>
        <row r="2592">
          <cell r="C2592" t="str">
            <v>Sand</v>
          </cell>
          <cell r="F2592">
            <v>1200</v>
          </cell>
        </row>
        <row r="2593">
          <cell r="B2593" t="str">
            <v>Rate analysis for :100.00 Sqm.</v>
          </cell>
        </row>
        <row r="2598">
          <cell r="A2598">
            <v>9.17</v>
          </cell>
          <cell r="B2598" t="str">
            <v>I9(14-2A)</v>
          </cell>
          <cell r="C2598" t="str">
            <v>Flush/Rulled  pointing works in 1:1 Cement   sand mortar on Stone masonry wall</v>
          </cell>
          <cell r="F2598" t="str">
            <v>Sqm.</v>
          </cell>
        </row>
        <row r="2599">
          <cell r="B2599" t="str">
            <v>Resources</v>
          </cell>
          <cell r="C2599" t="str">
            <v>Level/Type</v>
          </cell>
          <cell r="F2599" t="str">
            <v>Rate</v>
          </cell>
        </row>
        <row r="2600">
          <cell r="B2600" t="str">
            <v>Labour</v>
          </cell>
          <cell r="C2600" t="str">
            <v>Skilled</v>
          </cell>
          <cell r="F2600">
            <v>600</v>
          </cell>
        </row>
        <row r="2601">
          <cell r="C2601" t="str">
            <v>Unskilled</v>
          </cell>
          <cell r="F2601">
            <v>350</v>
          </cell>
        </row>
        <row r="2602">
          <cell r="B2602" t="str">
            <v>Materials</v>
          </cell>
          <cell r="C2602" t="str">
            <v>Cement</v>
          </cell>
          <cell r="F2602">
            <v>12566</v>
          </cell>
        </row>
        <row r="2603">
          <cell r="C2603" t="str">
            <v>Sand</v>
          </cell>
          <cell r="F2603">
            <v>1200</v>
          </cell>
        </row>
        <row r="2604">
          <cell r="B2604" t="str">
            <v>Rate analysis for :100.00 Sqm.</v>
          </cell>
        </row>
        <row r="2609">
          <cell r="A2609">
            <v>9.18</v>
          </cell>
          <cell r="B2609" t="str">
            <v>I9(14-2B)</v>
          </cell>
          <cell r="C2609" t="str">
            <v xml:space="preserve">Flush/Rulled  pointing works in 1:2 Cement   sand mortar on Stone masonry work </v>
          </cell>
          <cell r="F2609" t="str">
            <v>Sqm.</v>
          </cell>
        </row>
        <row r="2610">
          <cell r="B2610" t="str">
            <v>Resources</v>
          </cell>
          <cell r="C2610" t="str">
            <v>Level/Type</v>
          </cell>
          <cell r="F2610" t="str">
            <v>Rate</v>
          </cell>
        </row>
        <row r="2611">
          <cell r="B2611" t="str">
            <v>Labour</v>
          </cell>
          <cell r="C2611" t="str">
            <v>Skilled</v>
          </cell>
          <cell r="F2611">
            <v>600</v>
          </cell>
        </row>
        <row r="2612">
          <cell r="C2612" t="str">
            <v>Unskilled</v>
          </cell>
          <cell r="F2612">
            <v>350</v>
          </cell>
        </row>
        <row r="2613">
          <cell r="B2613" t="str">
            <v>Materials</v>
          </cell>
          <cell r="C2613" t="str">
            <v>Cement</v>
          </cell>
          <cell r="F2613">
            <v>12566</v>
          </cell>
        </row>
        <row r="2614">
          <cell r="C2614" t="str">
            <v>Sand</v>
          </cell>
          <cell r="F2614">
            <v>1200</v>
          </cell>
        </row>
        <row r="2615">
          <cell r="B2615" t="str">
            <v>Rate analysis for :100.00 Sqm.</v>
          </cell>
        </row>
        <row r="2620">
          <cell r="A2620">
            <v>9.19</v>
          </cell>
          <cell r="B2620" t="str">
            <v>(14-2C)</v>
          </cell>
          <cell r="C2620" t="str">
            <v xml:space="preserve">Flush/Rulled  pointing works in 1:3 Cement   sand mortar on Stone masonry work </v>
          </cell>
          <cell r="F2620" t="str">
            <v>Sqm.</v>
          </cell>
        </row>
        <row r="2621">
          <cell r="B2621" t="str">
            <v>Resources</v>
          </cell>
          <cell r="C2621" t="str">
            <v>Level/Type</v>
          </cell>
          <cell r="F2621" t="str">
            <v>Rate</v>
          </cell>
        </row>
        <row r="2622">
          <cell r="B2622" t="str">
            <v>Labour</v>
          </cell>
          <cell r="C2622" t="str">
            <v>Skilled</v>
          </cell>
          <cell r="F2622">
            <v>600</v>
          </cell>
        </row>
        <row r="2623">
          <cell r="C2623" t="str">
            <v>Unskilled</v>
          </cell>
          <cell r="F2623">
            <v>350</v>
          </cell>
        </row>
        <row r="2624">
          <cell r="B2624" t="str">
            <v>Materials</v>
          </cell>
          <cell r="C2624" t="str">
            <v>Cement</v>
          </cell>
          <cell r="F2624">
            <v>12566</v>
          </cell>
        </row>
        <row r="2625">
          <cell r="C2625" t="str">
            <v>Sand</v>
          </cell>
          <cell r="F2625">
            <v>1200</v>
          </cell>
        </row>
        <row r="2626">
          <cell r="B2626" t="str">
            <v>Rate analysis for :100.00 Sqm.</v>
          </cell>
        </row>
        <row r="2631">
          <cell r="A2631">
            <v>9.1999999999999993</v>
          </cell>
          <cell r="B2631" t="str">
            <v>I10(14-3)</v>
          </cell>
          <cell r="C2631" t="str">
            <v xml:space="preserve">Flush/Rulled  pointing works in 1:3 Cement   sand mortar on Aslar Stone masonry work </v>
          </cell>
          <cell r="F2631" t="str">
            <v>Sqm.</v>
          </cell>
        </row>
        <row r="2632">
          <cell r="B2632" t="str">
            <v>Resources</v>
          </cell>
          <cell r="C2632" t="str">
            <v>Level/Type</v>
          </cell>
          <cell r="F2632" t="str">
            <v>Rate</v>
          </cell>
        </row>
        <row r="2633">
          <cell r="B2633" t="str">
            <v>Labour</v>
          </cell>
          <cell r="C2633" t="str">
            <v>Skilled</v>
          </cell>
          <cell r="F2633">
            <v>600</v>
          </cell>
        </row>
        <row r="2634">
          <cell r="C2634" t="str">
            <v>Unskilled</v>
          </cell>
          <cell r="F2634">
            <v>350</v>
          </cell>
        </row>
        <row r="2635">
          <cell r="B2635" t="str">
            <v>Materials</v>
          </cell>
          <cell r="C2635" t="str">
            <v>Cement</v>
          </cell>
          <cell r="F2635">
            <v>12566</v>
          </cell>
        </row>
        <row r="2636">
          <cell r="C2636" t="str">
            <v>Sand</v>
          </cell>
          <cell r="F2636">
            <v>1200</v>
          </cell>
        </row>
        <row r="2637">
          <cell r="B2637" t="str">
            <v>Rate analysis for :100.00 Sqm.</v>
          </cell>
        </row>
        <row r="2645">
          <cell r="A2645">
            <v>9.2100000000000009</v>
          </cell>
          <cell r="B2645" t="str">
            <v>I11(14-4)</v>
          </cell>
          <cell r="C2645" t="str">
            <v>1:3 Cement   sand pointing on 450 mm x 450 mm flat stone paving joints.</v>
          </cell>
          <cell r="F2645" t="str">
            <v>Sqm.</v>
          </cell>
        </row>
        <row r="2646">
          <cell r="B2646" t="str">
            <v>Resources</v>
          </cell>
          <cell r="C2646" t="str">
            <v>Level/Type</v>
          </cell>
          <cell r="F2646" t="str">
            <v>Rate</v>
          </cell>
        </row>
        <row r="2647">
          <cell r="B2647" t="str">
            <v>Labour</v>
          </cell>
          <cell r="C2647" t="str">
            <v>Skilled</v>
          </cell>
          <cell r="F2647">
            <v>600</v>
          </cell>
        </row>
        <row r="2648">
          <cell r="C2648" t="str">
            <v>Unskilled</v>
          </cell>
          <cell r="F2648">
            <v>350</v>
          </cell>
        </row>
        <row r="2649">
          <cell r="B2649" t="str">
            <v>Materials</v>
          </cell>
          <cell r="C2649" t="str">
            <v>Cement</v>
          </cell>
          <cell r="F2649">
            <v>12566</v>
          </cell>
        </row>
        <row r="2650">
          <cell r="C2650" t="str">
            <v>Sand</v>
          </cell>
          <cell r="F2650">
            <v>1200</v>
          </cell>
        </row>
        <row r="2651">
          <cell r="B2651" t="str">
            <v>Rate analysis for :100.00 Sqm.</v>
          </cell>
        </row>
        <row r="2656">
          <cell r="A2656">
            <v>9.2200000000000006</v>
          </cell>
          <cell r="B2656" t="str">
            <v>I12(14-5)</v>
          </cell>
          <cell r="C2656" t="str">
            <v>1:1 Cement   sand pointing on Teliya brick paving joints.</v>
          </cell>
          <cell r="F2656" t="str">
            <v>Sqm.</v>
          </cell>
        </row>
        <row r="2657">
          <cell r="B2657" t="str">
            <v>Resources</v>
          </cell>
          <cell r="C2657" t="str">
            <v>Level/Type</v>
          </cell>
          <cell r="F2657" t="str">
            <v>Rate</v>
          </cell>
        </row>
        <row r="2658">
          <cell r="B2658" t="str">
            <v>Labour</v>
          </cell>
          <cell r="C2658" t="str">
            <v>Skilled</v>
          </cell>
          <cell r="F2658">
            <v>600</v>
          </cell>
        </row>
        <row r="2659">
          <cell r="C2659" t="str">
            <v>Unskilled</v>
          </cell>
          <cell r="F2659">
            <v>350</v>
          </cell>
        </row>
        <row r="2660">
          <cell r="B2660" t="str">
            <v>Materials</v>
          </cell>
          <cell r="C2660" t="str">
            <v>Cement</v>
          </cell>
          <cell r="F2660">
            <v>12566</v>
          </cell>
        </row>
        <row r="2661">
          <cell r="C2661" t="str">
            <v>Sand</v>
          </cell>
          <cell r="F2661">
            <v>1200</v>
          </cell>
        </row>
        <row r="2662">
          <cell r="B2662" t="str">
            <v>Rate analysis for :100.00 Sqm.</v>
          </cell>
        </row>
        <row r="2667">
          <cell r="A2667">
            <v>9.23</v>
          </cell>
          <cell r="B2667" t="str">
            <v xml:space="preserve"> (14-6)</v>
          </cell>
          <cell r="C2667" t="str">
            <v>3 mm thick Cement  sand 1:1 flushing plaster</v>
          </cell>
          <cell r="F2667" t="str">
            <v>Sqm.</v>
          </cell>
        </row>
        <row r="2668">
          <cell r="B2668" t="str">
            <v>Resources</v>
          </cell>
          <cell r="C2668" t="str">
            <v>Level/Type</v>
          </cell>
          <cell r="F2668" t="str">
            <v>Rate</v>
          </cell>
        </row>
        <row r="2669">
          <cell r="B2669" t="str">
            <v>Labour</v>
          </cell>
          <cell r="C2669" t="str">
            <v>Skilled</v>
          </cell>
          <cell r="F2669">
            <v>600</v>
          </cell>
        </row>
        <row r="2670">
          <cell r="C2670" t="str">
            <v>Unskilled</v>
          </cell>
          <cell r="F2670">
            <v>350</v>
          </cell>
        </row>
        <row r="2671">
          <cell r="B2671" t="str">
            <v>Materials</v>
          </cell>
          <cell r="C2671" t="str">
            <v>Cement</v>
          </cell>
          <cell r="F2671">
            <v>12566</v>
          </cell>
        </row>
        <row r="2672">
          <cell r="C2672" t="str">
            <v>Sand</v>
          </cell>
          <cell r="F2672">
            <v>1200</v>
          </cell>
        </row>
        <row r="2673">
          <cell r="B2673" t="str">
            <v>Rate analysis for :100.00 Sqm.</v>
          </cell>
        </row>
        <row r="2678">
          <cell r="A2678">
            <v>9.24</v>
          </cell>
          <cell r="B2678" t="str">
            <v>I13(14-7)</v>
          </cell>
          <cell r="C2678" t="str">
            <v>3 mm thick lime flushing plaster</v>
          </cell>
          <cell r="F2678" t="str">
            <v>Sqm.</v>
          </cell>
        </row>
        <row r="2679">
          <cell r="B2679" t="str">
            <v>Resources</v>
          </cell>
          <cell r="C2679" t="str">
            <v>Level/Type</v>
          </cell>
          <cell r="F2679" t="str">
            <v>Rate</v>
          </cell>
        </row>
        <row r="2680">
          <cell r="B2680" t="str">
            <v>Labour</v>
          </cell>
          <cell r="C2680" t="str">
            <v>Skilled</v>
          </cell>
          <cell r="F2680">
            <v>600</v>
          </cell>
        </row>
        <row r="2681">
          <cell r="C2681" t="str">
            <v>Unskilled</v>
          </cell>
          <cell r="F2681">
            <v>350</v>
          </cell>
        </row>
        <row r="2682">
          <cell r="B2682" t="str">
            <v>Materials</v>
          </cell>
          <cell r="C2682" t="str">
            <v>White lime</v>
          </cell>
          <cell r="F2682">
            <v>21.63</v>
          </cell>
        </row>
        <row r="2683">
          <cell r="B2683" t="str">
            <v>Rate analysis for :100.00 Sqm.</v>
          </cell>
        </row>
        <row r="2688">
          <cell r="A2688">
            <v>9.25</v>
          </cell>
          <cell r="B2688" t="str">
            <v>I14(14-8)</v>
          </cell>
          <cell r="C2688" t="str">
            <v>3 mm thick Cement   flushing plaster</v>
          </cell>
          <cell r="F2688" t="str">
            <v>Sqm.</v>
          </cell>
        </row>
        <row r="2689">
          <cell r="B2689" t="str">
            <v>Resources</v>
          </cell>
          <cell r="C2689" t="str">
            <v>Level/Type</v>
          </cell>
          <cell r="F2689" t="str">
            <v>Rate</v>
          </cell>
        </row>
        <row r="2690">
          <cell r="B2690" t="str">
            <v>Labour</v>
          </cell>
          <cell r="C2690" t="str">
            <v>Skilled</v>
          </cell>
          <cell r="F2690">
            <v>600</v>
          </cell>
        </row>
        <row r="2691">
          <cell r="C2691" t="str">
            <v>Unskilled</v>
          </cell>
          <cell r="F2691">
            <v>350</v>
          </cell>
        </row>
        <row r="2692">
          <cell r="B2692" t="str">
            <v>Materials</v>
          </cell>
          <cell r="C2692" t="str">
            <v>Cement</v>
          </cell>
          <cell r="F2692">
            <v>12566</v>
          </cell>
        </row>
        <row r="2693">
          <cell r="B2693" t="str">
            <v>Rate analysis for :100.00 Sqm.</v>
          </cell>
        </row>
        <row r="2704">
          <cell r="A2704">
            <v>9.26</v>
          </cell>
          <cell r="B2704" t="str">
            <v>I15</v>
          </cell>
          <cell r="C2704" t="str">
            <v>20 mm thick Jhalar/pani patti making over cement plaster</v>
          </cell>
          <cell r="F2704" t="str">
            <v>Sqm.</v>
          </cell>
        </row>
        <row r="2705">
          <cell r="B2705" t="str">
            <v>Resources</v>
          </cell>
          <cell r="C2705" t="str">
            <v>Level/Type</v>
          </cell>
          <cell r="F2705" t="str">
            <v>Rate</v>
          </cell>
        </row>
        <row r="2706">
          <cell r="B2706" t="str">
            <v>Labour</v>
          </cell>
          <cell r="C2706" t="str">
            <v>Skilled</v>
          </cell>
          <cell r="F2706">
            <v>600</v>
          </cell>
        </row>
        <row r="2707">
          <cell r="C2707" t="str">
            <v>Unskilled</v>
          </cell>
          <cell r="F2707">
            <v>350</v>
          </cell>
        </row>
        <row r="2708">
          <cell r="B2708" t="str">
            <v>Materials</v>
          </cell>
          <cell r="C2708" t="str">
            <v>Cement</v>
          </cell>
          <cell r="F2708">
            <v>12566</v>
          </cell>
        </row>
        <row r="2709">
          <cell r="C2709" t="str">
            <v>Sand</v>
          </cell>
          <cell r="F2709">
            <v>1200</v>
          </cell>
        </row>
        <row r="2710">
          <cell r="C2710" t="str">
            <v>Water proofing compound</v>
          </cell>
          <cell r="F2710">
            <v>59.74</v>
          </cell>
        </row>
        <row r="2711">
          <cell r="B2711" t="str">
            <v>Rate analysis for :1.00 Rmtr.</v>
          </cell>
        </row>
        <row r="2716">
          <cell r="A2716">
            <v>9.27</v>
          </cell>
          <cell r="B2716" t="str">
            <v>I16</v>
          </cell>
          <cell r="C2716" t="str">
            <v>25 mm thick Roofing tile butta cement sand (1:4) plaster</v>
          </cell>
          <cell r="F2716" t="str">
            <v>Sqm.</v>
          </cell>
        </row>
        <row r="2717">
          <cell r="B2717" t="str">
            <v>Resources</v>
          </cell>
          <cell r="C2717" t="str">
            <v>Level/Type</v>
          </cell>
          <cell r="F2717" t="str">
            <v>Rate</v>
          </cell>
        </row>
        <row r="2718">
          <cell r="B2718" t="str">
            <v>Labour</v>
          </cell>
          <cell r="C2718" t="str">
            <v>Skilled</v>
          </cell>
          <cell r="F2718">
            <v>600</v>
          </cell>
        </row>
        <row r="2719">
          <cell r="C2719" t="str">
            <v>Unskilled</v>
          </cell>
          <cell r="F2719">
            <v>350</v>
          </cell>
        </row>
        <row r="2720">
          <cell r="B2720" t="str">
            <v>Materials</v>
          </cell>
          <cell r="C2720" t="str">
            <v>Roofing tile butta plaster 25 mm thick</v>
          </cell>
          <cell r="F2720">
            <v>300</v>
          </cell>
        </row>
        <row r="2721">
          <cell r="B2721" t="str">
            <v>Rate analysis for :1.00 Rmtr.</v>
          </cell>
        </row>
        <row r="2726">
          <cell r="A2726">
            <v>9.2799999999999994</v>
          </cell>
          <cell r="B2726" t="str">
            <v>I17</v>
          </cell>
          <cell r="C2726" t="str">
            <v>2 mm thick Plain white putty plater work</v>
          </cell>
          <cell r="F2726" t="str">
            <v>Sqm.</v>
          </cell>
        </row>
        <row r="2727">
          <cell r="B2727" t="str">
            <v>Resources</v>
          </cell>
          <cell r="C2727" t="str">
            <v>Level/Type</v>
          </cell>
          <cell r="F2727" t="str">
            <v>Rate</v>
          </cell>
        </row>
        <row r="2728">
          <cell r="B2728" t="str">
            <v>Labour</v>
          </cell>
          <cell r="C2728" t="str">
            <v>Skilled</v>
          </cell>
          <cell r="F2728">
            <v>600</v>
          </cell>
        </row>
        <row r="2729">
          <cell r="C2729" t="str">
            <v>Unskilled</v>
          </cell>
          <cell r="F2729">
            <v>350</v>
          </cell>
        </row>
        <row r="2730">
          <cell r="B2730" t="str">
            <v>Materials</v>
          </cell>
          <cell r="C2730" t="str">
            <v>White putty</v>
          </cell>
          <cell r="F2730">
            <v>59.74</v>
          </cell>
        </row>
        <row r="2731">
          <cell r="B2731" t="str">
            <v>Rate analysis for :10.00 Sqm.</v>
          </cell>
        </row>
        <row r="2765">
          <cell r="A2765" t="str">
            <v>J - PAINTING WORK</v>
          </cell>
        </row>
        <row r="2767">
          <cell r="A2767">
            <v>10.01</v>
          </cell>
          <cell r="B2767" t="str">
            <v>J1(13-1B)</v>
          </cell>
          <cell r="C2767" t="str">
            <v>Two coat white washing work on wall.</v>
          </cell>
          <cell r="F2767" t="str">
            <v>Sqm.</v>
          </cell>
        </row>
        <row r="2768">
          <cell r="B2768" t="str">
            <v>Resources</v>
          </cell>
          <cell r="C2768" t="str">
            <v>Level/Type</v>
          </cell>
          <cell r="F2768" t="str">
            <v>Rate</v>
          </cell>
        </row>
        <row r="2769">
          <cell r="B2769" t="str">
            <v>Labour</v>
          </cell>
          <cell r="C2769" t="str">
            <v>Skilled</v>
          </cell>
          <cell r="F2769">
            <v>600</v>
          </cell>
        </row>
        <row r="2770">
          <cell r="C2770" t="str">
            <v>Unskilled</v>
          </cell>
          <cell r="F2770">
            <v>350</v>
          </cell>
        </row>
        <row r="2771">
          <cell r="B2771" t="str">
            <v>Materials</v>
          </cell>
          <cell r="C2771" t="str">
            <v>White lime</v>
          </cell>
          <cell r="F2771">
            <v>21.63</v>
          </cell>
        </row>
        <row r="2772">
          <cell r="C2772" t="str">
            <v>gum</v>
          </cell>
          <cell r="F2772">
            <v>118.45</v>
          </cell>
        </row>
        <row r="2773">
          <cell r="B2773" t="str">
            <v>Rate analysis for :100.00 Sqm.</v>
          </cell>
        </row>
        <row r="2778">
          <cell r="A2778">
            <v>10.02</v>
          </cell>
          <cell r="B2778" t="str">
            <v>J1(13-1B)</v>
          </cell>
          <cell r="C2778" t="str">
            <v>Two coat white washing work on ceilling.</v>
          </cell>
          <cell r="F2778" t="str">
            <v>Sqm.</v>
          </cell>
        </row>
        <row r="2779">
          <cell r="B2779" t="str">
            <v>Resources</v>
          </cell>
          <cell r="C2779" t="str">
            <v>Level/Type</v>
          </cell>
          <cell r="F2779" t="str">
            <v>Rate</v>
          </cell>
        </row>
        <row r="2780">
          <cell r="B2780" t="str">
            <v>Labour</v>
          </cell>
          <cell r="C2780" t="str">
            <v>Skilled</v>
          </cell>
          <cell r="F2780">
            <v>600</v>
          </cell>
        </row>
        <row r="2781">
          <cell r="C2781" t="str">
            <v>Unskilled</v>
          </cell>
          <cell r="F2781">
            <v>350</v>
          </cell>
        </row>
        <row r="2782">
          <cell r="B2782" t="str">
            <v>Materials</v>
          </cell>
          <cell r="C2782" t="str">
            <v>White lime</v>
          </cell>
          <cell r="F2782">
            <v>21.63</v>
          </cell>
        </row>
        <row r="2783">
          <cell r="C2783" t="str">
            <v>gum</v>
          </cell>
          <cell r="F2783">
            <v>118.45</v>
          </cell>
        </row>
        <row r="2784">
          <cell r="B2784" t="str">
            <v>Rate analysis for :100.00 Sqm.</v>
          </cell>
        </row>
        <row r="2789">
          <cell r="A2789">
            <v>10.029999999999999</v>
          </cell>
          <cell r="B2789" t="str">
            <v>J1(13-1C)</v>
          </cell>
          <cell r="C2789" t="str">
            <v>Three coat white washing work on wall.</v>
          </cell>
          <cell r="F2789" t="str">
            <v>Sqm.</v>
          </cell>
        </row>
        <row r="2790">
          <cell r="B2790" t="str">
            <v>Resources</v>
          </cell>
          <cell r="C2790" t="str">
            <v>Level/Type</v>
          </cell>
          <cell r="F2790" t="str">
            <v>Rate</v>
          </cell>
        </row>
        <row r="2791">
          <cell r="B2791" t="str">
            <v>Labour</v>
          </cell>
          <cell r="C2791" t="str">
            <v>Skilled</v>
          </cell>
          <cell r="F2791">
            <v>600</v>
          </cell>
        </row>
        <row r="2792">
          <cell r="C2792" t="str">
            <v>Unskilled</v>
          </cell>
          <cell r="F2792">
            <v>350</v>
          </cell>
        </row>
        <row r="2793">
          <cell r="B2793" t="str">
            <v>Materials</v>
          </cell>
          <cell r="C2793" t="str">
            <v>White lime</v>
          </cell>
          <cell r="F2793">
            <v>21.63</v>
          </cell>
        </row>
        <row r="2794">
          <cell r="C2794" t="str">
            <v>gum</v>
          </cell>
          <cell r="F2794">
            <v>118.45</v>
          </cell>
        </row>
        <row r="2795">
          <cell r="B2795" t="str">
            <v>Rate analysis for :100.00 Sqm.</v>
          </cell>
        </row>
        <row r="2800">
          <cell r="A2800">
            <v>10.039999999999999</v>
          </cell>
          <cell r="B2800" t="str">
            <v>J1(13-1C)</v>
          </cell>
          <cell r="C2800" t="str">
            <v>Three coat white washing work on ceilling.</v>
          </cell>
          <cell r="F2800" t="str">
            <v>Sqm.</v>
          </cell>
        </row>
        <row r="2801">
          <cell r="B2801" t="str">
            <v>Resources</v>
          </cell>
          <cell r="C2801" t="str">
            <v>Level/Type</v>
          </cell>
          <cell r="F2801" t="str">
            <v>Rate</v>
          </cell>
        </row>
        <row r="2802">
          <cell r="B2802" t="str">
            <v>Labour</v>
          </cell>
          <cell r="C2802" t="str">
            <v>Skilled</v>
          </cell>
          <cell r="F2802">
            <v>600</v>
          </cell>
        </row>
        <row r="2803">
          <cell r="C2803" t="str">
            <v>Unskilled</v>
          </cell>
          <cell r="F2803">
            <v>350</v>
          </cell>
        </row>
        <row r="2804">
          <cell r="B2804" t="str">
            <v>Materials</v>
          </cell>
          <cell r="C2804" t="str">
            <v>White lime</v>
          </cell>
          <cell r="F2804">
            <v>21.63</v>
          </cell>
        </row>
        <row r="2805">
          <cell r="C2805" t="str">
            <v>gum</v>
          </cell>
          <cell r="F2805">
            <v>118.45</v>
          </cell>
        </row>
        <row r="2806">
          <cell r="B2806" t="str">
            <v>Rate analysis for :100.00 Sqm.</v>
          </cell>
        </row>
        <row r="2811">
          <cell r="A2811">
            <v>10.050000000000001</v>
          </cell>
          <cell r="B2811" t="str">
            <v>J2(13-2)</v>
          </cell>
          <cell r="C2811" t="str">
            <v>white washing work in old surface.</v>
          </cell>
          <cell r="F2811" t="str">
            <v>Sqm.</v>
          </cell>
        </row>
        <row r="2812">
          <cell r="B2812" t="str">
            <v>Resources</v>
          </cell>
          <cell r="C2812" t="str">
            <v>Level/Type</v>
          </cell>
          <cell r="F2812" t="str">
            <v>Rate</v>
          </cell>
        </row>
        <row r="2813">
          <cell r="B2813" t="str">
            <v>Labour</v>
          </cell>
          <cell r="C2813" t="str">
            <v>Skilled</v>
          </cell>
          <cell r="F2813">
            <v>600</v>
          </cell>
        </row>
        <row r="2814">
          <cell r="C2814" t="str">
            <v>Unskilled</v>
          </cell>
          <cell r="F2814">
            <v>350</v>
          </cell>
        </row>
        <row r="2815">
          <cell r="B2815" t="str">
            <v>Materials</v>
          </cell>
          <cell r="C2815" t="str">
            <v>White lime</v>
          </cell>
          <cell r="F2815">
            <v>21.63</v>
          </cell>
        </row>
        <row r="2816">
          <cell r="C2816" t="str">
            <v>gum</v>
          </cell>
          <cell r="F2816">
            <v>118.45</v>
          </cell>
        </row>
        <row r="2817">
          <cell r="B2817" t="str">
            <v>Rate analysis for :100.00 Sqm.</v>
          </cell>
        </row>
        <row r="2823">
          <cell r="A2823">
            <v>10.06</v>
          </cell>
          <cell r="B2823" t="str">
            <v>J3(13-3AB)</v>
          </cell>
          <cell r="C2823" t="str">
            <v>One coat distemper painting work over primer coat.</v>
          </cell>
          <cell r="F2823" t="str">
            <v>Sqm.</v>
          </cell>
        </row>
        <row r="2824">
          <cell r="B2824" t="str">
            <v>Resources</v>
          </cell>
          <cell r="C2824" t="str">
            <v>Level/Type</v>
          </cell>
          <cell r="F2824" t="str">
            <v>Rate</v>
          </cell>
        </row>
        <row r="2825">
          <cell r="B2825" t="str">
            <v>Labour</v>
          </cell>
          <cell r="C2825" t="str">
            <v>Skilled</v>
          </cell>
          <cell r="F2825">
            <v>600</v>
          </cell>
        </row>
        <row r="2826">
          <cell r="C2826" t="str">
            <v>Unskilled</v>
          </cell>
          <cell r="F2826">
            <v>350</v>
          </cell>
        </row>
        <row r="2827">
          <cell r="B2827" t="str">
            <v>Materials</v>
          </cell>
          <cell r="C2827" t="str">
            <v>Distemper Primer</v>
          </cell>
          <cell r="F2827">
            <v>267.8</v>
          </cell>
        </row>
        <row r="2828">
          <cell r="C2828" t="str">
            <v>Distemper Washable</v>
          </cell>
          <cell r="F2828">
            <v>226.6</v>
          </cell>
        </row>
        <row r="2829">
          <cell r="B2829" t="str">
            <v>Rate analysis for :100.00 Sqm.</v>
          </cell>
        </row>
        <row r="2834">
          <cell r="A2834">
            <v>10.07</v>
          </cell>
          <cell r="B2834" t="str">
            <v>J3(13-3ABC)</v>
          </cell>
          <cell r="C2834" t="str">
            <v>Two coat distemper painting work over primer coat.</v>
          </cell>
          <cell r="F2834" t="str">
            <v>Sqm.</v>
          </cell>
        </row>
        <row r="2835">
          <cell r="B2835" t="str">
            <v>Resources</v>
          </cell>
          <cell r="C2835" t="str">
            <v>Level/Type</v>
          </cell>
          <cell r="F2835" t="str">
            <v>Rate</v>
          </cell>
        </row>
        <row r="2836">
          <cell r="B2836" t="str">
            <v>Labour</v>
          </cell>
          <cell r="C2836" t="str">
            <v>Skilled</v>
          </cell>
          <cell r="F2836">
            <v>600</v>
          </cell>
        </row>
        <row r="2837">
          <cell r="C2837" t="str">
            <v>Unskilled</v>
          </cell>
          <cell r="F2837">
            <v>350</v>
          </cell>
        </row>
        <row r="2838">
          <cell r="B2838" t="str">
            <v>Materials</v>
          </cell>
          <cell r="C2838" t="str">
            <v>Distemper Primer</v>
          </cell>
          <cell r="F2838">
            <v>267.8</v>
          </cell>
        </row>
        <row r="2839">
          <cell r="C2839" t="str">
            <v>Distemper Washable</v>
          </cell>
          <cell r="F2839">
            <v>226.6</v>
          </cell>
        </row>
        <row r="2840">
          <cell r="B2840" t="str">
            <v>Rate analysis for :100.00 Sqm.</v>
          </cell>
        </row>
        <row r="2845">
          <cell r="A2845">
            <v>10.08</v>
          </cell>
          <cell r="B2845" t="str">
            <v>J3(13-3B)</v>
          </cell>
          <cell r="C2845" t="str">
            <v>One coat distemper painting work without primer coat.</v>
          </cell>
          <cell r="F2845" t="str">
            <v>Sqm.</v>
          </cell>
        </row>
        <row r="2846">
          <cell r="B2846" t="str">
            <v>Resources</v>
          </cell>
          <cell r="C2846" t="str">
            <v>Level/Type</v>
          </cell>
          <cell r="F2846" t="str">
            <v>Rate</v>
          </cell>
        </row>
        <row r="2847">
          <cell r="B2847" t="str">
            <v>Labour</v>
          </cell>
          <cell r="C2847" t="str">
            <v>Skilled</v>
          </cell>
          <cell r="F2847">
            <v>600</v>
          </cell>
        </row>
        <row r="2848">
          <cell r="C2848" t="str">
            <v>Unskilled</v>
          </cell>
          <cell r="F2848">
            <v>350</v>
          </cell>
        </row>
        <row r="2849">
          <cell r="B2849" t="str">
            <v>Materials</v>
          </cell>
          <cell r="C2849" t="str">
            <v>Distemper Washable</v>
          </cell>
          <cell r="F2849">
            <v>226.6</v>
          </cell>
        </row>
        <row r="2850">
          <cell r="B2850" t="str">
            <v>Rate analysis for :100.00 Sqm.</v>
          </cell>
        </row>
        <row r="2855">
          <cell r="A2855">
            <v>10.09</v>
          </cell>
          <cell r="B2855" t="str">
            <v>J3(13-3BC)</v>
          </cell>
          <cell r="C2855" t="str">
            <v>Two coat distemper painting work without primer coat.</v>
          </cell>
          <cell r="F2855" t="str">
            <v>Sqm.</v>
          </cell>
        </row>
        <row r="2856">
          <cell r="B2856" t="str">
            <v>Resources</v>
          </cell>
          <cell r="C2856" t="str">
            <v>Level/Type</v>
          </cell>
          <cell r="F2856" t="str">
            <v>Rate</v>
          </cell>
        </row>
        <row r="2857">
          <cell r="B2857" t="str">
            <v>Labour</v>
          </cell>
          <cell r="C2857" t="str">
            <v>Skilled</v>
          </cell>
          <cell r="F2857">
            <v>600</v>
          </cell>
        </row>
        <row r="2858">
          <cell r="C2858" t="str">
            <v>Unskilled</v>
          </cell>
          <cell r="F2858">
            <v>350</v>
          </cell>
        </row>
        <row r="2859">
          <cell r="B2859" t="str">
            <v>Materials</v>
          </cell>
          <cell r="C2859" t="str">
            <v>Distemper Washable</v>
          </cell>
          <cell r="F2859">
            <v>226.6</v>
          </cell>
        </row>
        <row r="2860">
          <cell r="B2860" t="str">
            <v>Rate analysis for :100.00 Sqm.</v>
          </cell>
        </row>
        <row r="2865">
          <cell r="A2865">
            <v>10.1</v>
          </cell>
          <cell r="B2865" t="str">
            <v>J3(13-3AB)</v>
          </cell>
          <cell r="C2865" t="str">
            <v>One coat weather proof painting work over primer coat.</v>
          </cell>
          <cell r="F2865" t="str">
            <v>Sqm.</v>
          </cell>
        </row>
        <row r="2866">
          <cell r="B2866" t="str">
            <v>Resources</v>
          </cell>
          <cell r="C2866" t="str">
            <v>Level/Type</v>
          </cell>
          <cell r="F2866" t="str">
            <v>Rate</v>
          </cell>
        </row>
        <row r="2867">
          <cell r="B2867" t="str">
            <v>Labour</v>
          </cell>
          <cell r="C2867" t="str">
            <v>Skilled</v>
          </cell>
          <cell r="F2867">
            <v>600</v>
          </cell>
        </row>
        <row r="2868">
          <cell r="C2868" t="str">
            <v>Unskilled</v>
          </cell>
          <cell r="F2868">
            <v>350</v>
          </cell>
        </row>
        <row r="2869">
          <cell r="B2869" t="str">
            <v>Materials</v>
          </cell>
          <cell r="C2869" t="str">
            <v>Weather proof primer</v>
          </cell>
          <cell r="F2869">
            <v>298.7</v>
          </cell>
        </row>
        <row r="2870">
          <cell r="C2870" t="str">
            <v>Weather proof paint</v>
          </cell>
          <cell r="F2870">
            <v>463.5</v>
          </cell>
        </row>
        <row r="2871">
          <cell r="B2871" t="str">
            <v>Rate analysis for :100.00 Sqm.</v>
          </cell>
        </row>
        <row r="2882">
          <cell r="A2882">
            <v>10.11</v>
          </cell>
          <cell r="B2882" t="str">
            <v>J3(13-3ABC)</v>
          </cell>
          <cell r="C2882" t="str">
            <v>Two coat weather proof  painting work over primer coat.</v>
          </cell>
          <cell r="F2882" t="str">
            <v>Sqm.</v>
          </cell>
        </row>
        <row r="2883">
          <cell r="B2883" t="str">
            <v>Resources</v>
          </cell>
          <cell r="C2883" t="str">
            <v>Level/Type</v>
          </cell>
          <cell r="F2883" t="str">
            <v>Rate</v>
          </cell>
        </row>
        <row r="2884">
          <cell r="B2884" t="str">
            <v>Labour</v>
          </cell>
          <cell r="C2884" t="str">
            <v>Skilled</v>
          </cell>
          <cell r="F2884">
            <v>600</v>
          </cell>
        </row>
        <row r="2885">
          <cell r="C2885" t="str">
            <v>Unskilled</v>
          </cell>
          <cell r="F2885">
            <v>350</v>
          </cell>
        </row>
        <row r="2886">
          <cell r="B2886" t="str">
            <v>Materials</v>
          </cell>
          <cell r="C2886" t="str">
            <v>Weather proof primer</v>
          </cell>
          <cell r="F2886">
            <v>298.7</v>
          </cell>
        </row>
        <row r="2887">
          <cell r="C2887" t="str">
            <v>Weather proof paint</v>
          </cell>
          <cell r="F2887">
            <v>463.5</v>
          </cell>
        </row>
        <row r="2888">
          <cell r="B2888" t="str">
            <v>Rate analysis for :100.00 Sqm.</v>
          </cell>
        </row>
        <row r="2893">
          <cell r="A2893">
            <v>10.119999999999999</v>
          </cell>
          <cell r="B2893" t="str">
            <v>J3(13-3B)</v>
          </cell>
          <cell r="C2893" t="str">
            <v>One coat weather proof painting work without primer coat.</v>
          </cell>
          <cell r="F2893" t="str">
            <v>Sqm.</v>
          </cell>
        </row>
        <row r="2894">
          <cell r="B2894" t="str">
            <v>Resources</v>
          </cell>
          <cell r="C2894" t="str">
            <v>Level/Type</v>
          </cell>
          <cell r="F2894" t="str">
            <v>Rate</v>
          </cell>
        </row>
        <row r="2895">
          <cell r="B2895" t="str">
            <v>Labour</v>
          </cell>
          <cell r="C2895" t="str">
            <v>Skilled</v>
          </cell>
          <cell r="F2895">
            <v>600</v>
          </cell>
        </row>
        <row r="2896">
          <cell r="C2896" t="str">
            <v>Unskilled</v>
          </cell>
          <cell r="F2896">
            <v>350</v>
          </cell>
        </row>
        <row r="2897">
          <cell r="B2897" t="str">
            <v>Materials</v>
          </cell>
          <cell r="C2897" t="str">
            <v>Weather proof paint</v>
          </cell>
          <cell r="F2897">
            <v>463.5</v>
          </cell>
        </row>
        <row r="2898">
          <cell r="B2898" t="str">
            <v>Rate analysis for :100.00 Sqm.</v>
          </cell>
        </row>
        <row r="2903">
          <cell r="A2903">
            <v>10.130000000000001</v>
          </cell>
          <cell r="B2903" t="str">
            <v>J3(13-3BC)</v>
          </cell>
          <cell r="C2903" t="str">
            <v>Two coat weather proof  painting work without primer coat.</v>
          </cell>
          <cell r="F2903" t="str">
            <v>Sqm.</v>
          </cell>
        </row>
        <row r="2904">
          <cell r="B2904" t="str">
            <v>Resources</v>
          </cell>
          <cell r="C2904" t="str">
            <v>Level/Type</v>
          </cell>
          <cell r="F2904" t="str">
            <v>Rate</v>
          </cell>
        </row>
        <row r="2905">
          <cell r="B2905" t="str">
            <v>Labour</v>
          </cell>
          <cell r="C2905" t="str">
            <v>Skilled</v>
          </cell>
          <cell r="F2905">
            <v>600</v>
          </cell>
        </row>
        <row r="2906">
          <cell r="C2906" t="str">
            <v>Unskilled</v>
          </cell>
          <cell r="F2906">
            <v>350</v>
          </cell>
        </row>
        <row r="2907">
          <cell r="B2907" t="str">
            <v>Materials</v>
          </cell>
          <cell r="C2907" t="str">
            <v>Weather proof paint</v>
          </cell>
          <cell r="F2907">
            <v>463.5</v>
          </cell>
        </row>
        <row r="2908">
          <cell r="B2908" t="str">
            <v>Rate analysis for :100.00 Sqm.</v>
          </cell>
        </row>
        <row r="2913">
          <cell r="A2913">
            <v>10.14</v>
          </cell>
          <cell r="B2913" t="str">
            <v>J4(13-4A)</v>
          </cell>
          <cell r="C2913" t="str">
            <v>One coat water proof cement paint painting work in old surface</v>
          </cell>
          <cell r="F2913" t="str">
            <v>Sqm.</v>
          </cell>
        </row>
        <row r="2914">
          <cell r="B2914" t="str">
            <v>Resources</v>
          </cell>
          <cell r="C2914" t="str">
            <v>Level/Type</v>
          </cell>
          <cell r="F2914" t="str">
            <v>Rate</v>
          </cell>
        </row>
        <row r="2915">
          <cell r="B2915" t="str">
            <v>Labour</v>
          </cell>
          <cell r="C2915" t="str">
            <v>Skilled</v>
          </cell>
          <cell r="F2915">
            <v>600</v>
          </cell>
        </row>
        <row r="2916">
          <cell r="C2916" t="str">
            <v>Unskilled</v>
          </cell>
          <cell r="F2916">
            <v>350</v>
          </cell>
        </row>
        <row r="2917">
          <cell r="B2917" t="str">
            <v>Materials</v>
          </cell>
          <cell r="C2917" t="str">
            <v>Water proof cement paint</v>
          </cell>
          <cell r="F2917">
            <v>59.74</v>
          </cell>
        </row>
        <row r="2918">
          <cell r="B2918" t="str">
            <v>Rate analysis for :100.00 Sqm.</v>
          </cell>
        </row>
        <row r="2923">
          <cell r="A2923">
            <v>10.15</v>
          </cell>
          <cell r="B2923" t="str">
            <v>J4(13-4B)</v>
          </cell>
          <cell r="C2923" t="str">
            <v>Two coat water proof cement paint painting work in old surface</v>
          </cell>
          <cell r="F2923" t="str">
            <v>Sqm.</v>
          </cell>
        </row>
        <row r="2924">
          <cell r="B2924" t="str">
            <v>Resources</v>
          </cell>
          <cell r="C2924" t="str">
            <v>Level/Type</v>
          </cell>
          <cell r="F2924" t="str">
            <v>Rate</v>
          </cell>
        </row>
        <row r="2925">
          <cell r="B2925" t="str">
            <v>Labour</v>
          </cell>
          <cell r="C2925" t="str">
            <v>Skilled</v>
          </cell>
          <cell r="F2925">
            <v>600</v>
          </cell>
        </row>
        <row r="2926">
          <cell r="C2926" t="str">
            <v>Unskilled</v>
          </cell>
          <cell r="F2926">
            <v>350</v>
          </cell>
        </row>
        <row r="2927">
          <cell r="B2927" t="str">
            <v>Materials</v>
          </cell>
          <cell r="C2927" t="str">
            <v>Water proof cement paint</v>
          </cell>
          <cell r="F2927">
            <v>59.74</v>
          </cell>
        </row>
        <row r="2928">
          <cell r="B2928" t="str">
            <v>Rate analysis for :100.00 Sqm.</v>
          </cell>
        </row>
        <row r="2932">
          <cell r="A2932">
            <v>10.16</v>
          </cell>
          <cell r="B2932" t="str">
            <v>J4(13-4A)</v>
          </cell>
          <cell r="C2932" t="str">
            <v>One coat white cement paint  painting work .</v>
          </cell>
          <cell r="F2932" t="str">
            <v>Sqm.</v>
          </cell>
        </row>
        <row r="2933">
          <cell r="B2933" t="str">
            <v>Resources</v>
          </cell>
          <cell r="C2933" t="str">
            <v>Level/Type</v>
          </cell>
          <cell r="F2933" t="str">
            <v>Rate</v>
          </cell>
        </row>
        <row r="2934">
          <cell r="B2934" t="str">
            <v>Labour</v>
          </cell>
          <cell r="C2934" t="str">
            <v>Skilled</v>
          </cell>
          <cell r="F2934">
            <v>600</v>
          </cell>
        </row>
        <row r="2935">
          <cell r="C2935" t="str">
            <v>Unskilled</v>
          </cell>
          <cell r="F2935">
            <v>350</v>
          </cell>
        </row>
        <row r="2936">
          <cell r="B2936" t="str">
            <v>Materials</v>
          </cell>
          <cell r="C2936" t="str">
            <v>White cement</v>
          </cell>
          <cell r="F2936">
            <v>33.475000000000001</v>
          </cell>
        </row>
        <row r="2937">
          <cell r="B2937" t="str">
            <v>Rate analysis for :100.00 Sqm.</v>
          </cell>
        </row>
        <row r="2942">
          <cell r="A2942">
            <v>10.17</v>
          </cell>
          <cell r="B2942" t="str">
            <v>J4(13-4B)</v>
          </cell>
          <cell r="C2942" t="str">
            <v>Two coat white cement paint  painting work .</v>
          </cell>
          <cell r="F2942" t="str">
            <v>Sqm.</v>
          </cell>
        </row>
        <row r="2943">
          <cell r="B2943" t="str">
            <v>Resources</v>
          </cell>
          <cell r="C2943" t="str">
            <v>Level/Type</v>
          </cell>
          <cell r="F2943" t="str">
            <v>Rate</v>
          </cell>
        </row>
        <row r="2944">
          <cell r="B2944" t="str">
            <v>Labour</v>
          </cell>
          <cell r="C2944" t="str">
            <v>Skilled</v>
          </cell>
          <cell r="F2944">
            <v>600</v>
          </cell>
        </row>
        <row r="2945">
          <cell r="C2945" t="str">
            <v>Unskilled</v>
          </cell>
          <cell r="F2945">
            <v>350</v>
          </cell>
        </row>
        <row r="2946">
          <cell r="B2946" t="str">
            <v>Materials</v>
          </cell>
          <cell r="C2946" t="str">
            <v>White cement</v>
          </cell>
          <cell r="F2946">
            <v>33.475000000000001</v>
          </cell>
        </row>
        <row r="2947">
          <cell r="B2947" t="str">
            <v>Rate analysis for :100.00 Sqm.</v>
          </cell>
        </row>
        <row r="2952">
          <cell r="A2952">
            <v>10.18</v>
          </cell>
          <cell r="B2952" t="str">
            <v>J5(13-5AB)</v>
          </cell>
          <cell r="C2952" t="str">
            <v>One coat enamel painting work over primer coat in wooden surface.</v>
          </cell>
          <cell r="F2952" t="str">
            <v>Sqm.</v>
          </cell>
        </row>
        <row r="2953">
          <cell r="B2953" t="str">
            <v>Resources</v>
          </cell>
          <cell r="C2953" t="str">
            <v>Level/Type</v>
          </cell>
          <cell r="F2953" t="str">
            <v>Rate</v>
          </cell>
        </row>
        <row r="2954">
          <cell r="B2954" t="str">
            <v>Labour</v>
          </cell>
          <cell r="C2954" t="str">
            <v>Skilled</v>
          </cell>
          <cell r="F2954">
            <v>600</v>
          </cell>
        </row>
        <row r="2955">
          <cell r="C2955" t="str">
            <v>Unskilled</v>
          </cell>
          <cell r="F2955">
            <v>350</v>
          </cell>
        </row>
        <row r="2956">
          <cell r="B2956" t="str">
            <v>Materials</v>
          </cell>
          <cell r="C2956" t="str">
            <v>Enamel Primer</v>
          </cell>
          <cell r="F2956">
            <v>298.7</v>
          </cell>
        </row>
        <row r="2957">
          <cell r="C2957" t="str">
            <v>Enamel paint</v>
          </cell>
          <cell r="F2957">
            <v>412</v>
          </cell>
        </row>
        <row r="2958">
          <cell r="B2958" t="str">
            <v>Rate analysis for :100.00 Sqm.</v>
          </cell>
        </row>
        <row r="2963">
          <cell r="A2963">
            <v>10.19</v>
          </cell>
          <cell r="B2963" t="str">
            <v>J5(13-5ABC)</v>
          </cell>
          <cell r="C2963" t="str">
            <v>Two coat enamel painting work over primer coat in wooden surface.</v>
          </cell>
          <cell r="F2963" t="str">
            <v>Sqm.</v>
          </cell>
        </row>
        <row r="2964">
          <cell r="B2964" t="str">
            <v>Resources</v>
          </cell>
          <cell r="C2964" t="str">
            <v>Level/Type</v>
          </cell>
          <cell r="F2964" t="str">
            <v>Rate</v>
          </cell>
        </row>
        <row r="2965">
          <cell r="B2965" t="str">
            <v>Labour</v>
          </cell>
          <cell r="C2965" t="str">
            <v>Skilled</v>
          </cell>
          <cell r="F2965">
            <v>600</v>
          </cell>
        </row>
        <row r="2966">
          <cell r="C2966" t="str">
            <v>Unskilled</v>
          </cell>
          <cell r="F2966">
            <v>350</v>
          </cell>
        </row>
        <row r="2967">
          <cell r="B2967" t="str">
            <v>Materials</v>
          </cell>
          <cell r="C2967" t="str">
            <v>Enamel Primer</v>
          </cell>
          <cell r="F2967">
            <v>298.7</v>
          </cell>
        </row>
        <row r="2968">
          <cell r="C2968" t="str">
            <v>Enamel paint</v>
          </cell>
          <cell r="F2968">
            <v>412</v>
          </cell>
        </row>
        <row r="2969">
          <cell r="B2969" t="str">
            <v>Rate analysis for :100.00 Sqm.</v>
          </cell>
        </row>
        <row r="2974">
          <cell r="A2974">
            <v>10.199999999999999</v>
          </cell>
          <cell r="B2974" t="str">
            <v>J5(13-5AB)</v>
          </cell>
          <cell r="C2974" t="str">
            <v>One coat plastic emulsion painting work over primer coat.</v>
          </cell>
          <cell r="F2974" t="str">
            <v>Sqm.</v>
          </cell>
        </row>
        <row r="2975">
          <cell r="B2975" t="str">
            <v>Resources</v>
          </cell>
          <cell r="C2975" t="str">
            <v>Level/Type</v>
          </cell>
          <cell r="F2975" t="str">
            <v>Rate</v>
          </cell>
        </row>
        <row r="2976">
          <cell r="B2976" t="str">
            <v>Labour</v>
          </cell>
          <cell r="C2976" t="str">
            <v>Skilled</v>
          </cell>
          <cell r="F2976">
            <v>600</v>
          </cell>
        </row>
        <row r="2977">
          <cell r="C2977" t="str">
            <v>Unskilled</v>
          </cell>
          <cell r="F2977">
            <v>350</v>
          </cell>
        </row>
        <row r="2978">
          <cell r="B2978" t="str">
            <v>Materials</v>
          </cell>
          <cell r="C2978" t="str">
            <v>Enamel Primer</v>
          </cell>
          <cell r="F2978">
            <v>298.7</v>
          </cell>
        </row>
        <row r="2979">
          <cell r="C2979" t="str">
            <v>Plastic emulsion paint</v>
          </cell>
          <cell r="F2979">
            <v>693.19</v>
          </cell>
        </row>
        <row r="2980">
          <cell r="B2980" t="str">
            <v>Rate analysis for :100.00 Sqm.</v>
          </cell>
        </row>
        <row r="2985">
          <cell r="A2985">
            <v>10.210000000000001</v>
          </cell>
          <cell r="B2985" t="str">
            <v>J5(13-5AB)</v>
          </cell>
          <cell r="C2985" t="str">
            <v>Two coat plastic emulsion painting work over primer coat.</v>
          </cell>
          <cell r="F2985" t="str">
            <v>Sqm.</v>
          </cell>
        </row>
        <row r="2986">
          <cell r="B2986" t="str">
            <v>Resources</v>
          </cell>
          <cell r="C2986" t="str">
            <v>Level/Type</v>
          </cell>
          <cell r="F2986" t="str">
            <v>Rate</v>
          </cell>
        </row>
        <row r="2987">
          <cell r="B2987" t="str">
            <v>Labour</v>
          </cell>
          <cell r="C2987" t="str">
            <v>Skilled</v>
          </cell>
          <cell r="F2987">
            <v>600</v>
          </cell>
        </row>
        <row r="2988">
          <cell r="C2988" t="str">
            <v>Unskilled</v>
          </cell>
          <cell r="F2988">
            <v>350</v>
          </cell>
        </row>
        <row r="2989">
          <cell r="B2989" t="str">
            <v>Materials</v>
          </cell>
          <cell r="C2989" t="str">
            <v>Enamel Primer</v>
          </cell>
          <cell r="F2989">
            <v>298.7</v>
          </cell>
        </row>
        <row r="2990">
          <cell r="C2990" t="str">
            <v>Plastic emulsion paint</v>
          </cell>
          <cell r="F2990">
            <v>693.19</v>
          </cell>
        </row>
        <row r="2991">
          <cell r="B2991" t="str">
            <v>Rate analysis for :100.00 Sqm.</v>
          </cell>
        </row>
        <row r="2998">
          <cell r="A2998">
            <v>10.220000000000001</v>
          </cell>
          <cell r="B2998" t="str">
            <v>J6(13-6)</v>
          </cell>
          <cell r="C2998" t="str">
            <v>Two coat aluminium painting work over primer coat in metal surface.</v>
          </cell>
          <cell r="F2998" t="str">
            <v>Sqm.</v>
          </cell>
        </row>
        <row r="2999">
          <cell r="B2999" t="str">
            <v>Resources</v>
          </cell>
          <cell r="C2999" t="str">
            <v>Level/Type</v>
          </cell>
          <cell r="F2999" t="str">
            <v>Rate</v>
          </cell>
        </row>
        <row r="3000">
          <cell r="B3000" t="str">
            <v>Labour</v>
          </cell>
          <cell r="C3000" t="str">
            <v>Skilled</v>
          </cell>
          <cell r="F3000">
            <v>600</v>
          </cell>
        </row>
        <row r="3001">
          <cell r="C3001" t="str">
            <v>Unskilled</v>
          </cell>
          <cell r="F3001">
            <v>350</v>
          </cell>
        </row>
        <row r="3002">
          <cell r="B3002" t="str">
            <v>Materials</v>
          </cell>
          <cell r="C3002" t="str">
            <v>Red oxide Primer</v>
          </cell>
          <cell r="F3002">
            <v>165.83</v>
          </cell>
        </row>
        <row r="3003">
          <cell r="C3003" t="str">
            <v>Aluminium paint</v>
          </cell>
          <cell r="F3003">
            <v>516.03</v>
          </cell>
        </row>
        <row r="3004">
          <cell r="C3004" t="str">
            <v>Sand paper</v>
          </cell>
          <cell r="F3004">
            <v>7.21</v>
          </cell>
        </row>
        <row r="3005">
          <cell r="B3005" t="str">
            <v>Rate analysis for :100.00 Sqm.</v>
          </cell>
        </row>
        <row r="3010">
          <cell r="A3010">
            <v>10.23</v>
          </cell>
          <cell r="B3010" t="str">
            <v>J7(13-8A)</v>
          </cell>
          <cell r="C3010" t="str">
            <v>One coat double boiled linsheed oil  painting work .</v>
          </cell>
          <cell r="F3010" t="str">
            <v>Sqm.</v>
          </cell>
        </row>
        <row r="3011">
          <cell r="B3011" t="str">
            <v>Resources</v>
          </cell>
          <cell r="C3011" t="str">
            <v>Level/Type</v>
          </cell>
          <cell r="F3011" t="str">
            <v>Rate</v>
          </cell>
        </row>
        <row r="3012">
          <cell r="B3012" t="str">
            <v>Labour</v>
          </cell>
          <cell r="C3012" t="str">
            <v>Skilled</v>
          </cell>
          <cell r="F3012">
            <v>600</v>
          </cell>
        </row>
        <row r="3013">
          <cell r="C3013" t="str">
            <v>Unskilled</v>
          </cell>
          <cell r="F3013">
            <v>350</v>
          </cell>
        </row>
        <row r="3014">
          <cell r="B3014" t="str">
            <v>Materials</v>
          </cell>
          <cell r="C3014" t="str">
            <v>Linsheed oil paint</v>
          </cell>
          <cell r="F3014">
            <v>97.85</v>
          </cell>
        </row>
        <row r="3015">
          <cell r="B3015" t="str">
            <v>Rate analysis for :100.00 Sqm.</v>
          </cell>
        </row>
        <row r="3020">
          <cell r="A3020">
            <v>10.24</v>
          </cell>
          <cell r="B3020" t="str">
            <v>J7(13-8AB)</v>
          </cell>
          <cell r="C3020" t="str">
            <v>Two coat double boiled linsheed oil  painting work .</v>
          </cell>
          <cell r="F3020" t="str">
            <v>Sqm.</v>
          </cell>
        </row>
        <row r="3021">
          <cell r="B3021" t="str">
            <v>Resources</v>
          </cell>
          <cell r="C3021" t="str">
            <v>Level/Type</v>
          </cell>
          <cell r="F3021" t="str">
            <v>Rate</v>
          </cell>
        </row>
        <row r="3022">
          <cell r="B3022" t="str">
            <v>Labour</v>
          </cell>
          <cell r="C3022" t="str">
            <v>Skilled</v>
          </cell>
          <cell r="F3022">
            <v>600</v>
          </cell>
        </row>
        <row r="3023">
          <cell r="C3023" t="str">
            <v>Unskilled</v>
          </cell>
          <cell r="F3023">
            <v>350</v>
          </cell>
        </row>
        <row r="3024">
          <cell r="B3024" t="str">
            <v>Materials</v>
          </cell>
          <cell r="C3024" t="str">
            <v>Linsheed oil paint</v>
          </cell>
          <cell r="F3024">
            <v>97.85</v>
          </cell>
        </row>
        <row r="3025">
          <cell r="B3025" t="str">
            <v>Rate analysis for :100.00 Sqm.</v>
          </cell>
        </row>
        <row r="3030">
          <cell r="A3030">
            <v>10.25</v>
          </cell>
          <cell r="B3030" t="str">
            <v>J8(13-9A)</v>
          </cell>
          <cell r="C3030" t="str">
            <v>One coat varnish painting work .</v>
          </cell>
          <cell r="F3030" t="str">
            <v>Sqm.</v>
          </cell>
        </row>
        <row r="3031">
          <cell r="B3031" t="str">
            <v>Resources</v>
          </cell>
          <cell r="C3031" t="str">
            <v>Level/Type</v>
          </cell>
          <cell r="F3031" t="str">
            <v>Rate</v>
          </cell>
        </row>
        <row r="3032">
          <cell r="B3032" t="str">
            <v>Labour</v>
          </cell>
          <cell r="C3032" t="str">
            <v>Skilled</v>
          </cell>
          <cell r="F3032">
            <v>600</v>
          </cell>
        </row>
        <row r="3033">
          <cell r="C3033" t="str">
            <v>Unskilled</v>
          </cell>
          <cell r="F3033">
            <v>350</v>
          </cell>
        </row>
        <row r="3034">
          <cell r="B3034" t="str">
            <v>Materials</v>
          </cell>
          <cell r="C3034" t="str">
            <v>Varnish paint</v>
          </cell>
          <cell r="F3034">
            <v>206</v>
          </cell>
        </row>
        <row r="3035">
          <cell r="B3035" t="str">
            <v>Rate analysis for :100.00 Sqm.</v>
          </cell>
        </row>
        <row r="3040">
          <cell r="A3040">
            <v>10.26</v>
          </cell>
          <cell r="B3040" t="str">
            <v>J8(13-9AB)</v>
          </cell>
          <cell r="C3040" t="str">
            <v>Two coat varnish painting work .</v>
          </cell>
          <cell r="F3040" t="str">
            <v>Sqm.</v>
          </cell>
        </row>
        <row r="3041">
          <cell r="B3041" t="str">
            <v>Resources</v>
          </cell>
          <cell r="C3041" t="str">
            <v>Level/Type</v>
          </cell>
          <cell r="F3041" t="str">
            <v>Rate</v>
          </cell>
        </row>
        <row r="3042">
          <cell r="B3042" t="str">
            <v>Labour</v>
          </cell>
          <cell r="C3042" t="str">
            <v>Skilled</v>
          </cell>
          <cell r="F3042">
            <v>600</v>
          </cell>
        </row>
        <row r="3043">
          <cell r="C3043" t="str">
            <v>Unskilled</v>
          </cell>
          <cell r="F3043">
            <v>350</v>
          </cell>
        </row>
        <row r="3044">
          <cell r="B3044" t="str">
            <v>Materials</v>
          </cell>
          <cell r="C3044" t="str">
            <v>Varnish paint</v>
          </cell>
          <cell r="F3044">
            <v>206</v>
          </cell>
        </row>
        <row r="3045">
          <cell r="B3045" t="str">
            <v>Rate analysis for :100.00 Sqm.</v>
          </cell>
        </row>
        <row r="3050">
          <cell r="A3050">
            <v>10.27</v>
          </cell>
          <cell r="B3050" t="str">
            <v>J9(13-10A)</v>
          </cell>
          <cell r="C3050" t="str">
            <v>One coat bitumin  painting work .</v>
          </cell>
          <cell r="F3050" t="str">
            <v>Sqm.</v>
          </cell>
        </row>
        <row r="3051">
          <cell r="B3051" t="str">
            <v>Resources</v>
          </cell>
          <cell r="C3051" t="str">
            <v>Level/Type</v>
          </cell>
          <cell r="F3051" t="str">
            <v>Rate</v>
          </cell>
        </row>
        <row r="3052">
          <cell r="B3052" t="str">
            <v>Labour</v>
          </cell>
          <cell r="C3052" t="str">
            <v>Skilled</v>
          </cell>
          <cell r="F3052">
            <v>600</v>
          </cell>
        </row>
        <row r="3053">
          <cell r="C3053" t="str">
            <v>Unskilled</v>
          </cell>
          <cell r="F3053">
            <v>350</v>
          </cell>
        </row>
        <row r="3054">
          <cell r="B3054" t="str">
            <v>Materials</v>
          </cell>
          <cell r="C3054" t="str">
            <v>Bitumin paint</v>
          </cell>
          <cell r="F3054">
            <v>0</v>
          </cell>
        </row>
        <row r="3055">
          <cell r="B3055" t="str">
            <v>Rate analysis for :100.00 Sqm.</v>
          </cell>
        </row>
        <row r="3060">
          <cell r="A3060">
            <v>10.28</v>
          </cell>
          <cell r="B3060" t="str">
            <v>J9(13-10B)</v>
          </cell>
          <cell r="C3060" t="str">
            <v>Two coat bitumin  painting work .</v>
          </cell>
          <cell r="F3060" t="str">
            <v>Sqm.</v>
          </cell>
        </row>
        <row r="3061">
          <cell r="B3061" t="str">
            <v>Resources</v>
          </cell>
          <cell r="C3061" t="str">
            <v>Level/Type</v>
          </cell>
          <cell r="F3061" t="str">
            <v>Rate</v>
          </cell>
        </row>
        <row r="3062">
          <cell r="B3062" t="str">
            <v>Labour</v>
          </cell>
          <cell r="C3062" t="str">
            <v>Skilled</v>
          </cell>
          <cell r="F3062">
            <v>600</v>
          </cell>
        </row>
        <row r="3063">
          <cell r="C3063" t="str">
            <v>Unskilled</v>
          </cell>
          <cell r="F3063">
            <v>350</v>
          </cell>
        </row>
        <row r="3064">
          <cell r="B3064" t="str">
            <v>Materials</v>
          </cell>
          <cell r="C3064" t="str">
            <v>Bitumin paint</v>
          </cell>
          <cell r="F3064">
            <v>0</v>
          </cell>
        </row>
        <row r="3065">
          <cell r="B3065" t="str">
            <v>Rate analysis for :100.00 Sqm.</v>
          </cell>
        </row>
        <row r="3070">
          <cell r="A3070">
            <v>10.29</v>
          </cell>
          <cell r="B3070" t="str">
            <v>J10(13-11)</v>
          </cell>
          <cell r="C3070" t="str">
            <v>Three coat chapra painting   work .</v>
          </cell>
          <cell r="F3070" t="str">
            <v>Sqm.</v>
          </cell>
        </row>
        <row r="3071">
          <cell r="B3071" t="str">
            <v>Resources</v>
          </cell>
          <cell r="C3071" t="str">
            <v>Level/Type</v>
          </cell>
          <cell r="F3071" t="str">
            <v>Rate</v>
          </cell>
        </row>
        <row r="3072">
          <cell r="B3072" t="str">
            <v>Labour</v>
          </cell>
          <cell r="C3072" t="str">
            <v>Skilled</v>
          </cell>
          <cell r="F3072">
            <v>600</v>
          </cell>
        </row>
        <row r="3073">
          <cell r="C3073" t="str">
            <v>Unskilled</v>
          </cell>
          <cell r="F3073">
            <v>350</v>
          </cell>
        </row>
        <row r="3074">
          <cell r="B3074" t="str">
            <v>Materials</v>
          </cell>
          <cell r="C3074" t="str">
            <v>Chapra paint</v>
          </cell>
          <cell r="F3074">
            <v>1545</v>
          </cell>
        </row>
        <row r="3075">
          <cell r="C3075" t="str">
            <v>Sprit</v>
          </cell>
          <cell r="F3075">
            <v>113.3</v>
          </cell>
        </row>
        <row r="3076">
          <cell r="B3076" t="str">
            <v>Rate analysis for :100.00 Sqm.</v>
          </cell>
        </row>
        <row r="3081">
          <cell r="A3081">
            <v>10.3</v>
          </cell>
          <cell r="B3081" t="str">
            <v>J11(13-4C)</v>
          </cell>
          <cell r="C3081" t="str">
            <v>One coat RED OXIDE  painting work .</v>
          </cell>
          <cell r="F3081" t="str">
            <v>Sqm.</v>
          </cell>
        </row>
        <row r="3082">
          <cell r="B3082" t="str">
            <v>Resources</v>
          </cell>
          <cell r="C3082" t="str">
            <v>Level/Type</v>
          </cell>
          <cell r="F3082" t="str">
            <v>Rate</v>
          </cell>
        </row>
        <row r="3083">
          <cell r="B3083" t="str">
            <v>Labour</v>
          </cell>
          <cell r="C3083" t="str">
            <v>Skilled</v>
          </cell>
          <cell r="F3083">
            <v>600</v>
          </cell>
        </row>
        <row r="3084">
          <cell r="C3084" t="str">
            <v>Unskilled</v>
          </cell>
          <cell r="F3084">
            <v>350</v>
          </cell>
        </row>
        <row r="3085">
          <cell r="B3085" t="str">
            <v>Materials</v>
          </cell>
          <cell r="C3085" t="str">
            <v>Red oxide paint</v>
          </cell>
          <cell r="F3085">
            <v>267.8</v>
          </cell>
        </row>
        <row r="3086">
          <cell r="B3086" t="str">
            <v>Rate analysis for :100.00 Sqm.</v>
          </cell>
        </row>
        <row r="3091">
          <cell r="A3091">
            <v>10.31</v>
          </cell>
          <cell r="B3091" t="str">
            <v>J11(13-4C)</v>
          </cell>
          <cell r="C3091" t="str">
            <v>Two coat RED OXIDE  painting work .</v>
          </cell>
          <cell r="F3091" t="str">
            <v>Sqm.</v>
          </cell>
        </row>
        <row r="3092">
          <cell r="B3092" t="str">
            <v>Resources</v>
          </cell>
          <cell r="C3092" t="str">
            <v>Level/Type</v>
          </cell>
          <cell r="F3092" t="str">
            <v>Rate</v>
          </cell>
        </row>
        <row r="3093">
          <cell r="B3093" t="str">
            <v>Labour</v>
          </cell>
          <cell r="C3093" t="str">
            <v>Skilled</v>
          </cell>
          <cell r="F3093">
            <v>600</v>
          </cell>
        </row>
        <row r="3094">
          <cell r="C3094" t="str">
            <v>Unskilled</v>
          </cell>
          <cell r="F3094">
            <v>350</v>
          </cell>
        </row>
        <row r="3095">
          <cell r="B3095" t="str">
            <v>Materials</v>
          </cell>
          <cell r="C3095" t="str">
            <v>Red oxide paint</v>
          </cell>
          <cell r="F3095">
            <v>267.8</v>
          </cell>
        </row>
        <row r="3096">
          <cell r="B3096" t="str">
            <v>Rate analysis for :100.00 Sqm.</v>
          </cell>
        </row>
        <row r="3101">
          <cell r="A3101">
            <v>10.32</v>
          </cell>
          <cell r="B3101" t="str">
            <v>J12(13-12A)</v>
          </cell>
          <cell r="C3101" t="str">
            <v>One coat water proof cement paint painting work in plastered surface</v>
          </cell>
          <cell r="F3101" t="str">
            <v>Sqm.</v>
          </cell>
        </row>
        <row r="3102">
          <cell r="B3102" t="str">
            <v>Resources</v>
          </cell>
          <cell r="C3102" t="str">
            <v>Level/Type</v>
          </cell>
          <cell r="F3102" t="str">
            <v>Rate</v>
          </cell>
        </row>
        <row r="3103">
          <cell r="B3103" t="str">
            <v>Labour</v>
          </cell>
          <cell r="C3103" t="str">
            <v>Skilled</v>
          </cell>
          <cell r="F3103">
            <v>600</v>
          </cell>
        </row>
        <row r="3104">
          <cell r="C3104" t="str">
            <v>Unskilled</v>
          </cell>
          <cell r="F3104">
            <v>350</v>
          </cell>
        </row>
        <row r="3105">
          <cell r="B3105" t="str">
            <v>Materials</v>
          </cell>
          <cell r="C3105" t="str">
            <v>Water proof cement paint</v>
          </cell>
          <cell r="F3105">
            <v>59.74</v>
          </cell>
        </row>
        <row r="3106">
          <cell r="B3106" t="str">
            <v>Rate analysis for :100.00 Sqm.</v>
          </cell>
        </row>
        <row r="3111">
          <cell r="A3111">
            <v>10.33</v>
          </cell>
          <cell r="B3111" t="str">
            <v>J12(13-12AB)</v>
          </cell>
          <cell r="C3111" t="str">
            <v>Two coat water proof cement  paint painting work in plastered surface</v>
          </cell>
          <cell r="F3111" t="str">
            <v>Sqm.</v>
          </cell>
        </row>
        <row r="3112">
          <cell r="B3112" t="str">
            <v>Resources</v>
          </cell>
          <cell r="C3112" t="str">
            <v>Level/Type</v>
          </cell>
          <cell r="F3112" t="str">
            <v>Rate</v>
          </cell>
        </row>
        <row r="3113">
          <cell r="B3113" t="str">
            <v>Labour</v>
          </cell>
          <cell r="C3113" t="str">
            <v>Skilled</v>
          </cell>
          <cell r="F3113">
            <v>600</v>
          </cell>
        </row>
        <row r="3114">
          <cell r="C3114" t="str">
            <v>Unskilled</v>
          </cell>
          <cell r="F3114">
            <v>350</v>
          </cell>
        </row>
        <row r="3115">
          <cell r="B3115" t="str">
            <v>Materials</v>
          </cell>
          <cell r="C3115" t="str">
            <v>Water proof cement paint</v>
          </cell>
          <cell r="F3115">
            <v>59.74</v>
          </cell>
        </row>
        <row r="3116">
          <cell r="B3116" t="str">
            <v>Rate analysis for :100.00 Sqm.</v>
          </cell>
        </row>
        <row r="3121">
          <cell r="A3121">
            <v>10.34</v>
          </cell>
          <cell r="B3121" t="str">
            <v>J15(5-5)</v>
          </cell>
          <cell r="C3121" t="str">
            <v xml:space="preserve"> ENAMEL paint painting work over linceed oil in face brick wall </v>
          </cell>
          <cell r="F3121" t="str">
            <v>Sqm.</v>
          </cell>
        </row>
        <row r="3122">
          <cell r="B3122" t="str">
            <v>Resources</v>
          </cell>
          <cell r="C3122" t="str">
            <v>Level/Type</v>
          </cell>
          <cell r="F3122" t="str">
            <v>Rate</v>
          </cell>
        </row>
        <row r="3123">
          <cell r="B3123" t="str">
            <v>Labour</v>
          </cell>
          <cell r="C3123" t="str">
            <v>Skilled</v>
          </cell>
          <cell r="F3123">
            <v>600</v>
          </cell>
        </row>
        <row r="3124">
          <cell r="C3124" t="str">
            <v>Unskilled</v>
          </cell>
          <cell r="F3124">
            <v>350</v>
          </cell>
        </row>
        <row r="3125">
          <cell r="B3125" t="str">
            <v>Materials</v>
          </cell>
          <cell r="C3125" t="str">
            <v>Linsheed oil paint</v>
          </cell>
          <cell r="F3125">
            <v>97.85</v>
          </cell>
        </row>
        <row r="3126">
          <cell r="C3126" t="str">
            <v>Enamel paint</v>
          </cell>
          <cell r="F3126">
            <v>412</v>
          </cell>
        </row>
        <row r="3127">
          <cell r="B3127" t="str">
            <v>Rate analysis for :10.00 Sqm.</v>
          </cell>
        </row>
        <row r="3132">
          <cell r="A3132">
            <v>10.35</v>
          </cell>
          <cell r="B3132" t="str">
            <v>J16(13-5B)</v>
          </cell>
          <cell r="C3132" t="str">
            <v>One coat enamel painting work without primer coat in wooden surface.</v>
          </cell>
          <cell r="F3132" t="str">
            <v>Sqm.</v>
          </cell>
        </row>
        <row r="3133">
          <cell r="B3133" t="str">
            <v>Resources</v>
          </cell>
          <cell r="C3133" t="str">
            <v>Level/Type</v>
          </cell>
          <cell r="F3133" t="str">
            <v>Rate</v>
          </cell>
        </row>
        <row r="3134">
          <cell r="B3134" t="str">
            <v>Labour</v>
          </cell>
          <cell r="C3134" t="str">
            <v>Skilled</v>
          </cell>
          <cell r="F3134">
            <v>600</v>
          </cell>
        </row>
        <row r="3135">
          <cell r="C3135" t="str">
            <v>Unskilled</v>
          </cell>
          <cell r="F3135">
            <v>350</v>
          </cell>
        </row>
        <row r="3136">
          <cell r="B3136" t="str">
            <v>Materials</v>
          </cell>
          <cell r="C3136" t="str">
            <v>Enamel paint</v>
          </cell>
          <cell r="F3136">
            <v>412</v>
          </cell>
        </row>
        <row r="3137">
          <cell r="B3137" t="str">
            <v>Rate analysis for :100.00 Sqm.</v>
          </cell>
        </row>
        <row r="3142">
          <cell r="A3142">
            <v>10.36</v>
          </cell>
          <cell r="B3142" t="str">
            <v>J17(13-5BC)</v>
          </cell>
          <cell r="C3142" t="str">
            <v>Two coat enamel painting work without primer coat in wooden surface.</v>
          </cell>
          <cell r="F3142" t="str">
            <v>Sqm.</v>
          </cell>
        </row>
        <row r="3143">
          <cell r="B3143" t="str">
            <v>Resources</v>
          </cell>
          <cell r="C3143" t="str">
            <v>Level/Type</v>
          </cell>
          <cell r="F3143" t="str">
            <v>Rate</v>
          </cell>
        </row>
        <row r="3144">
          <cell r="B3144" t="str">
            <v>Labour</v>
          </cell>
          <cell r="C3144" t="str">
            <v>Skilled</v>
          </cell>
          <cell r="F3144">
            <v>600</v>
          </cell>
        </row>
        <row r="3145">
          <cell r="C3145" t="str">
            <v>Unskilled</v>
          </cell>
          <cell r="F3145">
            <v>350</v>
          </cell>
        </row>
        <row r="3146">
          <cell r="B3146" t="str">
            <v>Materials</v>
          </cell>
          <cell r="C3146" t="str">
            <v>Enamel paint</v>
          </cell>
          <cell r="F3146">
            <v>412</v>
          </cell>
        </row>
        <row r="3147">
          <cell r="B3147" t="str">
            <v>Rate analysis for :100.00 Sqm.</v>
          </cell>
        </row>
        <row r="3152">
          <cell r="A3152">
            <v>10.37</v>
          </cell>
          <cell r="B3152" t="str">
            <v>J18(13-5B)</v>
          </cell>
          <cell r="C3152" t="str">
            <v>One coat plastic emulsion painting work without primer coat.</v>
          </cell>
          <cell r="F3152" t="str">
            <v>Sqm.</v>
          </cell>
        </row>
        <row r="3153">
          <cell r="B3153" t="str">
            <v>Resources</v>
          </cell>
          <cell r="C3153" t="str">
            <v>Level/Type</v>
          </cell>
          <cell r="F3153" t="str">
            <v>Rate</v>
          </cell>
        </row>
        <row r="3154">
          <cell r="B3154" t="str">
            <v>Labour</v>
          </cell>
          <cell r="C3154" t="str">
            <v>Skilled</v>
          </cell>
          <cell r="F3154">
            <v>600</v>
          </cell>
        </row>
        <row r="3155">
          <cell r="C3155" t="str">
            <v>Unskilled</v>
          </cell>
          <cell r="F3155">
            <v>350</v>
          </cell>
        </row>
        <row r="3156">
          <cell r="B3156" t="str">
            <v>Materials</v>
          </cell>
          <cell r="C3156" t="str">
            <v>Plastic emulsion paint</v>
          </cell>
          <cell r="F3156">
            <v>693.19</v>
          </cell>
        </row>
        <row r="3157">
          <cell r="B3157" t="str">
            <v>Rate analysis for :100.00 Sqm.</v>
          </cell>
        </row>
        <row r="3162">
          <cell r="A3162">
            <v>10.38</v>
          </cell>
          <cell r="B3162" t="str">
            <v>J19(13-5BC)</v>
          </cell>
          <cell r="C3162" t="str">
            <v>Two coat plastic emulsion painting work without primer coat.</v>
          </cell>
          <cell r="F3162" t="str">
            <v>Sqm.</v>
          </cell>
        </row>
        <row r="3163">
          <cell r="B3163" t="str">
            <v>Resources</v>
          </cell>
          <cell r="C3163" t="str">
            <v>Level/Type</v>
          </cell>
          <cell r="F3163" t="str">
            <v>Rate</v>
          </cell>
        </row>
        <row r="3164">
          <cell r="B3164" t="str">
            <v>Labour</v>
          </cell>
          <cell r="C3164" t="str">
            <v>Skilled</v>
          </cell>
          <cell r="F3164">
            <v>600</v>
          </cell>
        </row>
        <row r="3165">
          <cell r="C3165" t="str">
            <v>Unskilled</v>
          </cell>
          <cell r="F3165">
            <v>350</v>
          </cell>
        </row>
        <row r="3166">
          <cell r="B3166" t="str">
            <v>Materials</v>
          </cell>
          <cell r="C3166" t="str">
            <v>Plastic emulsion paint</v>
          </cell>
          <cell r="F3166">
            <v>693.19</v>
          </cell>
        </row>
        <row r="3167">
          <cell r="B3167" t="str">
            <v>Rate analysis for :100.00 Sqm.</v>
          </cell>
        </row>
        <row r="3177">
          <cell r="A3177">
            <v>10.39</v>
          </cell>
          <cell r="B3177" t="str">
            <v>J20(13-6)</v>
          </cell>
          <cell r="C3177" t="str">
            <v>One coat aluminium painting work without primer coat in metal surface.</v>
          </cell>
          <cell r="F3177" t="str">
            <v>Sqm.</v>
          </cell>
        </row>
        <row r="3178">
          <cell r="B3178" t="str">
            <v>Resources</v>
          </cell>
          <cell r="C3178" t="str">
            <v>Level/Type</v>
          </cell>
          <cell r="F3178" t="str">
            <v>Rate</v>
          </cell>
        </row>
        <row r="3179">
          <cell r="B3179" t="str">
            <v>Labour</v>
          </cell>
          <cell r="C3179" t="str">
            <v>Skilled</v>
          </cell>
          <cell r="F3179">
            <v>600</v>
          </cell>
        </row>
        <row r="3180">
          <cell r="C3180" t="str">
            <v>Unskilled</v>
          </cell>
          <cell r="F3180">
            <v>350</v>
          </cell>
        </row>
        <row r="3181">
          <cell r="B3181" t="str">
            <v>Materials</v>
          </cell>
          <cell r="C3181" t="str">
            <v>Aluminium paint</v>
          </cell>
          <cell r="F3181">
            <v>516.03</v>
          </cell>
        </row>
        <row r="3182">
          <cell r="C3182" t="str">
            <v>Sand paper</v>
          </cell>
          <cell r="F3182">
            <v>7.21</v>
          </cell>
        </row>
        <row r="3183">
          <cell r="B3183" t="str">
            <v>Rate analysis for :100.00 Sqm.</v>
          </cell>
        </row>
        <row r="3188">
          <cell r="A3188">
            <v>10.4</v>
          </cell>
          <cell r="B3188" t="str">
            <v>J21(13-6)</v>
          </cell>
          <cell r="C3188" t="str">
            <v>Two coat aluminium painting work without primer coat in metal surface.</v>
          </cell>
          <cell r="F3188" t="str">
            <v>Sqm.</v>
          </cell>
        </row>
        <row r="3189">
          <cell r="B3189" t="str">
            <v>Resources</v>
          </cell>
          <cell r="C3189" t="str">
            <v>Level/Type</v>
          </cell>
          <cell r="F3189" t="str">
            <v>Rate</v>
          </cell>
        </row>
        <row r="3190">
          <cell r="B3190" t="str">
            <v>Labour</v>
          </cell>
          <cell r="C3190" t="str">
            <v>Skilled</v>
          </cell>
          <cell r="F3190">
            <v>600</v>
          </cell>
        </row>
        <row r="3191">
          <cell r="C3191" t="str">
            <v>Unskilled</v>
          </cell>
          <cell r="F3191">
            <v>350</v>
          </cell>
        </row>
        <row r="3192">
          <cell r="B3192" t="str">
            <v>Materials</v>
          </cell>
          <cell r="C3192" t="str">
            <v>Aluminium paint</v>
          </cell>
          <cell r="F3192">
            <v>516.03</v>
          </cell>
        </row>
        <row r="3193">
          <cell r="C3193" t="str">
            <v>Sand paper</v>
          </cell>
          <cell r="F3193">
            <v>7.21</v>
          </cell>
        </row>
        <row r="3194">
          <cell r="B3194" t="str">
            <v>Rate analysis for :100.00 Sqm.</v>
          </cell>
        </row>
        <row r="3198">
          <cell r="A3198">
            <v>10.41</v>
          </cell>
          <cell r="B3198" t="str">
            <v>J22(13-7)</v>
          </cell>
          <cell r="C3198" t="str">
            <v>One coat RED OXIDE  painting work without primer coat</v>
          </cell>
          <cell r="F3198" t="str">
            <v>Sqm.</v>
          </cell>
        </row>
        <row r="3199">
          <cell r="B3199" t="str">
            <v>Resources</v>
          </cell>
          <cell r="C3199" t="str">
            <v>Level/Type</v>
          </cell>
          <cell r="F3199" t="str">
            <v>Rate</v>
          </cell>
        </row>
        <row r="3200">
          <cell r="B3200" t="str">
            <v>Labour</v>
          </cell>
          <cell r="C3200" t="str">
            <v>Skilled</v>
          </cell>
          <cell r="F3200">
            <v>600</v>
          </cell>
        </row>
        <row r="3201">
          <cell r="C3201" t="str">
            <v>Unskilled</v>
          </cell>
          <cell r="F3201">
            <v>350</v>
          </cell>
        </row>
        <row r="3202">
          <cell r="B3202" t="str">
            <v>Materials</v>
          </cell>
          <cell r="C3202" t="str">
            <v>Red oxide paint</v>
          </cell>
          <cell r="F3202">
            <v>267.8</v>
          </cell>
        </row>
        <row r="3203">
          <cell r="B3203" t="str">
            <v>Rate analysis for :100.00 Sqm.</v>
          </cell>
        </row>
        <row r="3208">
          <cell r="A3208">
            <v>10.42</v>
          </cell>
          <cell r="B3208" t="str">
            <v>J23(13-7)</v>
          </cell>
          <cell r="C3208" t="str">
            <v>Two coat RED OXIDE  painting work without primer coat</v>
          </cell>
          <cell r="F3208" t="str">
            <v>Sqm.</v>
          </cell>
        </row>
        <row r="3209">
          <cell r="B3209" t="str">
            <v>Resources</v>
          </cell>
          <cell r="C3209" t="str">
            <v>Level/Type</v>
          </cell>
          <cell r="F3209" t="str">
            <v>Rate</v>
          </cell>
        </row>
        <row r="3210">
          <cell r="B3210" t="str">
            <v>Labour</v>
          </cell>
          <cell r="C3210" t="str">
            <v>Skilled</v>
          </cell>
          <cell r="F3210">
            <v>600</v>
          </cell>
        </row>
        <row r="3211">
          <cell r="C3211" t="str">
            <v>Unskilled</v>
          </cell>
          <cell r="F3211">
            <v>350</v>
          </cell>
        </row>
        <row r="3212">
          <cell r="B3212" t="str">
            <v>Materials</v>
          </cell>
          <cell r="C3212" t="str">
            <v>Red oxide paint</v>
          </cell>
          <cell r="F3212">
            <v>267.8</v>
          </cell>
        </row>
        <row r="3213">
          <cell r="B3213" t="str">
            <v>Rate analysis for :100.00 Sqm.</v>
          </cell>
        </row>
        <row r="3218">
          <cell r="A3218">
            <v>10.43</v>
          </cell>
          <cell r="B3218" t="str">
            <v>J24(18-12A)</v>
          </cell>
          <cell r="C3218" t="str">
            <v>One layer plastic felt laying  work.</v>
          </cell>
          <cell r="F3218" t="str">
            <v>Sqm.</v>
          </cell>
        </row>
        <row r="3219">
          <cell r="B3219" t="str">
            <v>Resources</v>
          </cell>
          <cell r="C3219" t="str">
            <v>Level/Type</v>
          </cell>
          <cell r="F3219" t="str">
            <v>Rate</v>
          </cell>
        </row>
        <row r="3220">
          <cell r="B3220" t="str">
            <v>Labour</v>
          </cell>
          <cell r="C3220" t="str">
            <v>Skilled</v>
          </cell>
          <cell r="F3220">
            <v>600</v>
          </cell>
        </row>
        <row r="3221">
          <cell r="C3221" t="str">
            <v>Unskilled</v>
          </cell>
          <cell r="F3221">
            <v>350</v>
          </cell>
        </row>
        <row r="3222">
          <cell r="B3222" t="str">
            <v>Materials</v>
          </cell>
          <cell r="C3222" t="str">
            <v>Plasticfelt</v>
          </cell>
          <cell r="F3222">
            <v>0</v>
          </cell>
        </row>
        <row r="3223">
          <cell r="C3223" t="str">
            <v>Bitumin</v>
          </cell>
          <cell r="F3223">
            <v>123.6</v>
          </cell>
        </row>
        <row r="3224">
          <cell r="C3224" t="str">
            <v>Fire wood</v>
          </cell>
          <cell r="F3224">
            <v>6.38</v>
          </cell>
        </row>
        <row r="3225">
          <cell r="C3225" t="str">
            <v>Sand</v>
          </cell>
          <cell r="F3225">
            <v>1200</v>
          </cell>
        </row>
        <row r="3226">
          <cell r="B3226" t="str">
            <v>Rate analysis for :10.00 Sqm.</v>
          </cell>
        </row>
        <row r="3237">
          <cell r="A3237">
            <v>10.44</v>
          </cell>
          <cell r="B3237" t="str">
            <v>J25(18-12B)</v>
          </cell>
          <cell r="C3237" t="str">
            <v>Two layer plastic felt aying  work.</v>
          </cell>
          <cell r="F3237" t="str">
            <v>Sqm.</v>
          </cell>
        </row>
        <row r="3238">
          <cell r="B3238" t="str">
            <v>Resources</v>
          </cell>
          <cell r="C3238" t="str">
            <v>Level/Type</v>
          </cell>
          <cell r="F3238" t="str">
            <v>Rate</v>
          </cell>
        </row>
        <row r="3239">
          <cell r="B3239" t="str">
            <v>Labour</v>
          </cell>
          <cell r="C3239" t="str">
            <v>Skilled</v>
          </cell>
          <cell r="F3239">
            <v>600</v>
          </cell>
        </row>
        <row r="3240">
          <cell r="C3240" t="str">
            <v>Unskilled</v>
          </cell>
          <cell r="F3240">
            <v>350</v>
          </cell>
        </row>
        <row r="3241">
          <cell r="B3241" t="str">
            <v>Materials</v>
          </cell>
          <cell r="C3241" t="str">
            <v>Plasticfelt</v>
          </cell>
          <cell r="F3241">
            <v>0</v>
          </cell>
        </row>
        <row r="3242">
          <cell r="C3242" t="str">
            <v>Bitumin</v>
          </cell>
          <cell r="F3242">
            <v>123.6</v>
          </cell>
        </row>
        <row r="3243">
          <cell r="C3243" t="str">
            <v>Fire wood</v>
          </cell>
          <cell r="F3243">
            <v>6.38</v>
          </cell>
        </row>
        <row r="3244">
          <cell r="C3244" t="str">
            <v>Sand</v>
          </cell>
          <cell r="F3244">
            <v>1200</v>
          </cell>
        </row>
        <row r="3245">
          <cell r="B3245" t="str">
            <v>Rate analysis for :10.00 Sqm.</v>
          </cell>
        </row>
        <row r="3250">
          <cell r="A3250">
            <v>10.45</v>
          </cell>
          <cell r="B3250" t="str">
            <v>J26</v>
          </cell>
          <cell r="C3250" t="str">
            <v>Two coat washable distemper painting work over primer coat.</v>
          </cell>
          <cell r="F3250" t="str">
            <v>Sqm.</v>
          </cell>
        </row>
        <row r="3251">
          <cell r="B3251" t="str">
            <v>Resources</v>
          </cell>
          <cell r="C3251" t="str">
            <v>Level/Type</v>
          </cell>
          <cell r="F3251" t="str">
            <v>Rate</v>
          </cell>
        </row>
        <row r="3252">
          <cell r="B3252" t="str">
            <v>Labour</v>
          </cell>
          <cell r="C3252" t="str">
            <v>Skilled</v>
          </cell>
          <cell r="F3252">
            <v>600</v>
          </cell>
        </row>
        <row r="3253">
          <cell r="C3253" t="str">
            <v>Unskilled</v>
          </cell>
          <cell r="F3253">
            <v>350</v>
          </cell>
        </row>
        <row r="3254">
          <cell r="B3254" t="str">
            <v>Materials</v>
          </cell>
          <cell r="C3254" t="str">
            <v>Distemper primer</v>
          </cell>
          <cell r="F3254">
            <v>267.8</v>
          </cell>
        </row>
        <row r="3255">
          <cell r="C3255" t="str">
            <v>Distemper washable</v>
          </cell>
          <cell r="F3255">
            <v>226.6</v>
          </cell>
        </row>
        <row r="3256">
          <cell r="B3256" t="str">
            <v>Rate analysis for :100.00 Sqm.</v>
          </cell>
        </row>
        <row r="3301">
          <cell r="A3301" t="str">
            <v>K - Damp proofing work</v>
          </cell>
        </row>
        <row r="3303">
          <cell r="A3303">
            <v>11.01</v>
          </cell>
          <cell r="B3303" t="str">
            <v>K1(18-7)</v>
          </cell>
          <cell r="C3303" t="str">
            <v xml:space="preserve">20 mm thick D.P.C. work in cement sand mortar in 1:2 with W.P.Compound.  </v>
          </cell>
          <cell r="F3303" t="str">
            <v>Sqm.</v>
          </cell>
        </row>
        <row r="3304">
          <cell r="B3304" t="str">
            <v>Resources</v>
          </cell>
          <cell r="C3304" t="str">
            <v>Level/Type</v>
          </cell>
          <cell r="F3304" t="str">
            <v>Rate</v>
          </cell>
        </row>
        <row r="3305">
          <cell r="B3305" t="str">
            <v>Labour</v>
          </cell>
          <cell r="C3305" t="str">
            <v>Skilled</v>
          </cell>
          <cell r="F3305">
            <v>600</v>
          </cell>
        </row>
        <row r="3306">
          <cell r="C3306" t="str">
            <v>Unskilled</v>
          </cell>
          <cell r="F3306">
            <v>350</v>
          </cell>
        </row>
        <row r="3307">
          <cell r="B3307" t="str">
            <v>Materials</v>
          </cell>
          <cell r="C3307" t="str">
            <v>Cement</v>
          </cell>
          <cell r="F3307">
            <v>12566</v>
          </cell>
        </row>
        <row r="3308">
          <cell r="C3308" t="str">
            <v>Sand</v>
          </cell>
          <cell r="F3308">
            <v>1200</v>
          </cell>
        </row>
        <row r="3309">
          <cell r="C3309" t="str">
            <v>W.P.Compound</v>
          </cell>
          <cell r="F3309">
            <v>82.4</v>
          </cell>
        </row>
        <row r="3310">
          <cell r="B3310" t="str">
            <v>Rate analysis for :10.00 Sqm.</v>
          </cell>
        </row>
        <row r="3315">
          <cell r="A3315">
            <v>11.02</v>
          </cell>
          <cell r="B3315" t="str">
            <v>K2(18-8)</v>
          </cell>
          <cell r="C3315" t="str">
            <v xml:space="preserve">25 mm thick D.P.C. work in cement concrete in 1:1½:3 withwith W.P.Compound.  </v>
          </cell>
          <cell r="F3315" t="str">
            <v>Sqm.</v>
          </cell>
        </row>
        <row r="3316">
          <cell r="B3316" t="str">
            <v>Resources</v>
          </cell>
          <cell r="C3316" t="str">
            <v>Level/Type</v>
          </cell>
          <cell r="F3316" t="str">
            <v>Rate</v>
          </cell>
        </row>
        <row r="3317">
          <cell r="B3317" t="str">
            <v>Labour</v>
          </cell>
          <cell r="C3317" t="str">
            <v>Skilled</v>
          </cell>
          <cell r="F3317">
            <v>600</v>
          </cell>
        </row>
        <row r="3318">
          <cell r="C3318" t="str">
            <v>Unskilled</v>
          </cell>
          <cell r="F3318">
            <v>350</v>
          </cell>
        </row>
        <row r="3319">
          <cell r="B3319" t="str">
            <v>Materials</v>
          </cell>
          <cell r="C3319" t="str">
            <v>Cement</v>
          </cell>
          <cell r="F3319">
            <v>12566</v>
          </cell>
        </row>
        <row r="3320">
          <cell r="C3320" t="str">
            <v>Sand</v>
          </cell>
          <cell r="F3320">
            <v>1200</v>
          </cell>
        </row>
        <row r="3321">
          <cell r="C3321" t="str">
            <v>Aggrigate 12 mm</v>
          </cell>
          <cell r="F3321">
            <v>1500</v>
          </cell>
        </row>
        <row r="3322">
          <cell r="C3322" t="str">
            <v>W.P.Compound</v>
          </cell>
          <cell r="F3322">
            <v>82.4</v>
          </cell>
        </row>
        <row r="3323">
          <cell r="B3323" t="str">
            <v>Rate analysis for :10.00 Sqm.</v>
          </cell>
        </row>
        <row r="3328">
          <cell r="A3328">
            <v>11.03</v>
          </cell>
          <cell r="B3328" t="str">
            <v xml:space="preserve"> 18-9</v>
          </cell>
          <cell r="C3328" t="str">
            <v xml:space="preserve">38 mm thick D.P.C. work in cement concrete in 1:2:4 with with W.P.Compound.  </v>
          </cell>
          <cell r="F3328" t="str">
            <v>Sqm.</v>
          </cell>
        </row>
        <row r="3329">
          <cell r="B3329" t="str">
            <v>Resources</v>
          </cell>
          <cell r="C3329" t="str">
            <v>Level/Type</v>
          </cell>
          <cell r="F3329" t="str">
            <v>Rate</v>
          </cell>
        </row>
        <row r="3330">
          <cell r="B3330" t="str">
            <v>Labour</v>
          </cell>
          <cell r="C3330" t="str">
            <v>Skilled</v>
          </cell>
          <cell r="F3330">
            <v>600</v>
          </cell>
        </row>
        <row r="3331">
          <cell r="C3331" t="str">
            <v>Unskilled</v>
          </cell>
          <cell r="F3331">
            <v>350</v>
          </cell>
        </row>
        <row r="3332">
          <cell r="B3332" t="str">
            <v>Materials</v>
          </cell>
          <cell r="C3332" t="str">
            <v>Cement</v>
          </cell>
          <cell r="F3332">
            <v>12566</v>
          </cell>
        </row>
        <row r="3333">
          <cell r="C3333" t="str">
            <v>Sand</v>
          </cell>
          <cell r="F3333">
            <v>1200</v>
          </cell>
        </row>
        <row r="3334">
          <cell r="C3334" t="str">
            <v xml:space="preserve">Aggrigate 12 mm </v>
          </cell>
          <cell r="F3334">
            <v>1500</v>
          </cell>
        </row>
        <row r="3335">
          <cell r="C3335" t="str">
            <v>W.P.Compound(liquid sefkit)</v>
          </cell>
          <cell r="F3335">
            <v>82.4</v>
          </cell>
        </row>
        <row r="3336">
          <cell r="B3336" t="str">
            <v>Rate analysis for :10.00 Sqm.</v>
          </cell>
        </row>
        <row r="3341">
          <cell r="A3341">
            <v>11.04</v>
          </cell>
          <cell r="B3341" t="str">
            <v>K3(18-10)</v>
          </cell>
          <cell r="C3341" t="str">
            <v>One coat bitumin painting in damp proof course  with sand sprinkling.</v>
          </cell>
          <cell r="F3341" t="str">
            <v>Sqm.</v>
          </cell>
        </row>
        <row r="3342">
          <cell r="B3342" t="str">
            <v>Resources</v>
          </cell>
          <cell r="C3342" t="str">
            <v>Level/Type</v>
          </cell>
          <cell r="F3342" t="str">
            <v>Rate</v>
          </cell>
        </row>
        <row r="3343">
          <cell r="B3343" t="str">
            <v>Labour</v>
          </cell>
          <cell r="C3343" t="str">
            <v>Unskilled</v>
          </cell>
          <cell r="F3343">
            <v>350</v>
          </cell>
        </row>
        <row r="3344">
          <cell r="B3344" t="str">
            <v>Materials</v>
          </cell>
          <cell r="C3344" t="str">
            <v>Bitumin</v>
          </cell>
          <cell r="F3344">
            <v>123.6</v>
          </cell>
        </row>
        <row r="3345">
          <cell r="C3345" t="str">
            <v>Fire wood</v>
          </cell>
          <cell r="F3345">
            <v>6.38</v>
          </cell>
        </row>
        <row r="3346">
          <cell r="C3346" t="str">
            <v>Sand</v>
          </cell>
          <cell r="F3346">
            <v>1200</v>
          </cell>
        </row>
        <row r="3347">
          <cell r="B3347" t="str">
            <v>Rate analysis for :10.00 Sqm.</v>
          </cell>
        </row>
        <row r="3352">
          <cell r="A3352">
            <v>11.05</v>
          </cell>
          <cell r="B3352" t="str">
            <v>K4(18-11)</v>
          </cell>
          <cell r="C3352" t="str">
            <v>500 gauge polythine sheet laying work</v>
          </cell>
          <cell r="F3352" t="str">
            <v>Sqm.</v>
          </cell>
        </row>
        <row r="3353">
          <cell r="B3353" t="str">
            <v>Resources</v>
          </cell>
          <cell r="C3353" t="str">
            <v>Level/Type</v>
          </cell>
          <cell r="F3353" t="str">
            <v>Rate</v>
          </cell>
        </row>
        <row r="3354">
          <cell r="B3354" t="str">
            <v>Labour</v>
          </cell>
          <cell r="C3354" t="str">
            <v>Skilled</v>
          </cell>
          <cell r="F3354">
            <v>600</v>
          </cell>
        </row>
        <row r="3355">
          <cell r="C3355" t="str">
            <v>Unskilled</v>
          </cell>
          <cell r="F3355">
            <v>350</v>
          </cell>
        </row>
        <row r="3356">
          <cell r="B3356" t="str">
            <v>Materials</v>
          </cell>
          <cell r="C3356" t="str">
            <v>Polythine sheet 500 gauge</v>
          </cell>
          <cell r="F3356">
            <v>30.9</v>
          </cell>
        </row>
        <row r="3357">
          <cell r="B3357" t="str">
            <v>Rate analysis for :10.00 Sqm.</v>
          </cell>
        </row>
        <row r="3361">
          <cell r="A3361">
            <v>11.06</v>
          </cell>
          <cell r="B3361" t="str">
            <v>K5(18-12A)</v>
          </cell>
          <cell r="C3361" t="str">
            <v>One layer tarfelt laying  work.</v>
          </cell>
          <cell r="F3361" t="str">
            <v>Sqm.</v>
          </cell>
        </row>
        <row r="3362">
          <cell r="B3362" t="str">
            <v>Resources</v>
          </cell>
          <cell r="C3362" t="str">
            <v>Level/Type</v>
          </cell>
          <cell r="F3362" t="str">
            <v>Rate</v>
          </cell>
        </row>
        <row r="3363">
          <cell r="B3363" t="str">
            <v>Labour</v>
          </cell>
          <cell r="C3363" t="str">
            <v>Skilled</v>
          </cell>
          <cell r="F3363">
            <v>600</v>
          </cell>
        </row>
        <row r="3364">
          <cell r="C3364" t="str">
            <v>Unskilled</v>
          </cell>
          <cell r="F3364">
            <v>350</v>
          </cell>
        </row>
        <row r="3365">
          <cell r="B3365" t="str">
            <v>Materials</v>
          </cell>
          <cell r="C3365" t="str">
            <v>Tarfelt</v>
          </cell>
          <cell r="F3365">
            <v>125.88</v>
          </cell>
        </row>
        <row r="3366">
          <cell r="C3366" t="str">
            <v>Bitumin</v>
          </cell>
          <cell r="F3366">
            <v>123.6</v>
          </cell>
        </row>
        <row r="3367">
          <cell r="C3367" t="str">
            <v>Fire wood</v>
          </cell>
          <cell r="F3367">
            <v>6.38</v>
          </cell>
        </row>
        <row r="3368">
          <cell r="C3368" t="str">
            <v>Sand</v>
          </cell>
          <cell r="F3368">
            <v>1200</v>
          </cell>
        </row>
        <row r="3369">
          <cell r="B3369" t="str">
            <v>Rate analysis for :10.00 Sqm.</v>
          </cell>
        </row>
        <row r="3374">
          <cell r="A3374">
            <v>11.07</v>
          </cell>
          <cell r="B3374" t="str">
            <v>K5(18-12B)</v>
          </cell>
          <cell r="C3374" t="str">
            <v>Two layer tarfelt laying  work.</v>
          </cell>
          <cell r="F3374" t="str">
            <v>Sqm.</v>
          </cell>
        </row>
        <row r="3375">
          <cell r="B3375" t="str">
            <v>Resources</v>
          </cell>
          <cell r="C3375" t="str">
            <v>Level/Type</v>
          </cell>
          <cell r="F3375" t="str">
            <v>Rate</v>
          </cell>
        </row>
        <row r="3376">
          <cell r="B3376" t="str">
            <v>Labour</v>
          </cell>
          <cell r="C3376" t="str">
            <v>Skilled</v>
          </cell>
          <cell r="F3376">
            <v>600</v>
          </cell>
        </row>
        <row r="3377">
          <cell r="C3377" t="str">
            <v>Unskilled</v>
          </cell>
          <cell r="F3377">
            <v>350</v>
          </cell>
        </row>
        <row r="3378">
          <cell r="B3378" t="str">
            <v>Materials</v>
          </cell>
          <cell r="C3378" t="str">
            <v>Tarfelt</v>
          </cell>
          <cell r="F3378">
            <v>125.88</v>
          </cell>
        </row>
        <row r="3379">
          <cell r="C3379" t="str">
            <v>Bitumin</v>
          </cell>
          <cell r="F3379">
            <v>123.6</v>
          </cell>
        </row>
        <row r="3380">
          <cell r="C3380" t="str">
            <v>Fire wood</v>
          </cell>
          <cell r="F3380">
            <v>6.38</v>
          </cell>
        </row>
        <row r="3381">
          <cell r="C3381" t="str">
            <v>Sand</v>
          </cell>
          <cell r="F3381">
            <v>1200</v>
          </cell>
        </row>
        <row r="3382">
          <cell r="B3382" t="str">
            <v>Rate analysis for :10.00 Sqm.</v>
          </cell>
        </row>
        <row r="3387">
          <cell r="A3387">
            <v>11.08</v>
          </cell>
          <cell r="B3387" t="str">
            <v>K6(18-13A)</v>
          </cell>
          <cell r="C3387" t="str">
            <v>One layer damp proof grade tarfelt laying  work.</v>
          </cell>
          <cell r="F3387" t="str">
            <v>Sqm.</v>
          </cell>
        </row>
        <row r="3388">
          <cell r="B3388" t="str">
            <v>Resources</v>
          </cell>
          <cell r="C3388" t="str">
            <v>Level/Type</v>
          </cell>
          <cell r="F3388" t="str">
            <v>Rate</v>
          </cell>
        </row>
        <row r="3389">
          <cell r="B3389" t="str">
            <v>Labour</v>
          </cell>
          <cell r="C3389" t="str">
            <v>Skilled</v>
          </cell>
          <cell r="F3389">
            <v>600</v>
          </cell>
        </row>
        <row r="3390">
          <cell r="C3390" t="str">
            <v>Unskilled</v>
          </cell>
          <cell r="F3390">
            <v>350</v>
          </cell>
        </row>
        <row r="3391">
          <cell r="B3391" t="str">
            <v>Materials</v>
          </cell>
          <cell r="C3391" t="str">
            <v xml:space="preserve">Damp proof grade tarfelt </v>
          </cell>
          <cell r="F3391">
            <v>0</v>
          </cell>
        </row>
        <row r="3392">
          <cell r="C3392" t="str">
            <v>Bitumin</v>
          </cell>
          <cell r="F3392">
            <v>123.6</v>
          </cell>
        </row>
        <row r="3393">
          <cell r="C3393" t="str">
            <v>Fire wood</v>
          </cell>
          <cell r="F3393">
            <v>6.38</v>
          </cell>
        </row>
        <row r="3394">
          <cell r="C3394" t="str">
            <v>Sand</v>
          </cell>
          <cell r="F3394">
            <v>1200</v>
          </cell>
        </row>
        <row r="3395">
          <cell r="B3395" t="str">
            <v>Rate analysis for :10.00 Sqm.</v>
          </cell>
        </row>
        <row r="3400">
          <cell r="A3400">
            <v>11.09</v>
          </cell>
          <cell r="B3400" t="str">
            <v>K6(18-13B)</v>
          </cell>
          <cell r="C3400" t="str">
            <v>Two layer damp proof grade tarfelt laying  work.</v>
          </cell>
          <cell r="F3400" t="str">
            <v>Sqm.</v>
          </cell>
        </row>
        <row r="3401">
          <cell r="B3401" t="str">
            <v>Resources</v>
          </cell>
          <cell r="C3401" t="str">
            <v>Level/Type</v>
          </cell>
          <cell r="F3401" t="str">
            <v>Rate</v>
          </cell>
        </row>
        <row r="3402">
          <cell r="B3402" t="str">
            <v>Labour</v>
          </cell>
          <cell r="C3402" t="str">
            <v>Skilled</v>
          </cell>
          <cell r="F3402">
            <v>600</v>
          </cell>
        </row>
        <row r="3403">
          <cell r="C3403" t="str">
            <v>Unskilled</v>
          </cell>
          <cell r="F3403">
            <v>350</v>
          </cell>
        </row>
        <row r="3404">
          <cell r="B3404" t="str">
            <v>Materials</v>
          </cell>
          <cell r="C3404" t="str">
            <v xml:space="preserve">Damp proof grade tarfelt </v>
          </cell>
          <cell r="F3404">
            <v>0</v>
          </cell>
        </row>
        <row r="3405">
          <cell r="C3405" t="str">
            <v>Bitumin</v>
          </cell>
          <cell r="F3405">
            <v>123.6</v>
          </cell>
        </row>
        <row r="3406">
          <cell r="C3406" t="str">
            <v>Fire wood</v>
          </cell>
          <cell r="F3406">
            <v>6.38</v>
          </cell>
        </row>
        <row r="3407">
          <cell r="C3407" t="str">
            <v>Sand</v>
          </cell>
          <cell r="F3407">
            <v>1200</v>
          </cell>
        </row>
        <row r="3408">
          <cell r="B3408" t="str">
            <v>Rate analysis for :10.00 Sqm.</v>
          </cell>
        </row>
        <row r="3413">
          <cell r="A3413">
            <v>11.1</v>
          </cell>
          <cell r="B3413" t="str">
            <v>K7</v>
          </cell>
          <cell r="C3413" t="str">
            <v xml:space="preserve">Two coat Elastocrete cemenitnious elastomeric water proofing  </v>
          </cell>
          <cell r="F3413" t="str">
            <v>Sqm.</v>
          </cell>
        </row>
        <row r="3414">
          <cell r="B3414" t="str">
            <v>Resources</v>
          </cell>
          <cell r="C3414" t="str">
            <v>Level/Type</v>
          </cell>
          <cell r="F3414" t="str">
            <v>Rate</v>
          </cell>
        </row>
        <row r="3415">
          <cell r="B3415" t="str">
            <v>Labour</v>
          </cell>
          <cell r="C3415" t="str">
            <v>Skilled</v>
          </cell>
          <cell r="F3415">
            <v>600</v>
          </cell>
        </row>
        <row r="3416">
          <cell r="C3416" t="str">
            <v>Unskilled</v>
          </cell>
          <cell r="F3416">
            <v>350</v>
          </cell>
        </row>
        <row r="3417">
          <cell r="B3417" t="str">
            <v>Materials</v>
          </cell>
          <cell r="C3417" t="str">
            <v xml:space="preserve">Elastocrete cemenitnious elastomeric water proofing  </v>
          </cell>
          <cell r="F3417">
            <v>566.5</v>
          </cell>
        </row>
        <row r="3418">
          <cell r="B3418" t="str">
            <v>Rate analysis for :1.00 Sqm.</v>
          </cell>
        </row>
        <row r="3424">
          <cell r="A3424">
            <v>11.11</v>
          </cell>
          <cell r="B3424" t="str">
            <v>K8(18-14)</v>
          </cell>
          <cell r="C3424" t="str">
            <v>One coat rain seal paint or equivalent paint work.</v>
          </cell>
          <cell r="F3424" t="str">
            <v>Sqm.</v>
          </cell>
        </row>
        <row r="3425">
          <cell r="B3425" t="str">
            <v>Resources</v>
          </cell>
          <cell r="C3425" t="str">
            <v>Level/Type</v>
          </cell>
          <cell r="F3425" t="str">
            <v>Rate</v>
          </cell>
        </row>
        <row r="3426">
          <cell r="B3426" t="str">
            <v>Labour</v>
          </cell>
          <cell r="C3426" t="str">
            <v>Skilled</v>
          </cell>
          <cell r="F3426">
            <v>600</v>
          </cell>
        </row>
        <row r="3427">
          <cell r="C3427" t="str">
            <v>Unskilled</v>
          </cell>
          <cell r="F3427">
            <v>350</v>
          </cell>
        </row>
        <row r="3428">
          <cell r="B3428" t="str">
            <v>Materials</v>
          </cell>
          <cell r="C3428" t="str">
            <v>Rain seal paint</v>
          </cell>
          <cell r="F3428">
            <v>0</v>
          </cell>
        </row>
        <row r="3429">
          <cell r="B3429" t="str">
            <v>Rate analysis for :1.00 Sqm.</v>
          </cell>
        </row>
        <row r="3485">
          <cell r="A3485" t="str">
            <v>L - MAINTAINANCE &amp; DISMANTLING  WORK</v>
          </cell>
        </row>
        <row r="3487">
          <cell r="A3487">
            <v>12.01</v>
          </cell>
          <cell r="B3487" t="str">
            <v>L1(19-1)</v>
          </cell>
          <cell r="C3487" t="str">
            <v>Dismantling work of mud masonry wall &amp; removing of material upto 10 mtr lead.</v>
          </cell>
          <cell r="F3487" t="str">
            <v>Cum.</v>
          </cell>
        </row>
        <row r="3488">
          <cell r="B3488" t="str">
            <v>Resources</v>
          </cell>
          <cell r="C3488" t="str">
            <v>Level/Type</v>
          </cell>
          <cell r="F3488" t="str">
            <v>Rate</v>
          </cell>
        </row>
        <row r="3489">
          <cell r="B3489" t="str">
            <v>Labour</v>
          </cell>
          <cell r="C3489" t="str">
            <v>Unskilled</v>
          </cell>
          <cell r="F3489">
            <v>350</v>
          </cell>
        </row>
        <row r="3490">
          <cell r="B3490" t="str">
            <v>Rate analysis for :1.00 Cum.</v>
          </cell>
        </row>
        <row r="3495">
          <cell r="A3495">
            <v>12.02</v>
          </cell>
          <cell r="B3495" t="str">
            <v>L2(19-2)</v>
          </cell>
          <cell r="C3495" t="str">
            <v>Dismantling work of cement masonry wall &amp; removing of material upto 10 mtr lead.</v>
          </cell>
          <cell r="F3495" t="str">
            <v>Cum.</v>
          </cell>
        </row>
        <row r="3496">
          <cell r="B3496" t="str">
            <v>Resources</v>
          </cell>
          <cell r="C3496" t="str">
            <v>Level/Type</v>
          </cell>
          <cell r="F3496" t="str">
            <v>Rate</v>
          </cell>
        </row>
        <row r="3497">
          <cell r="B3497" t="str">
            <v>Labour</v>
          </cell>
          <cell r="C3497" t="str">
            <v>Unskilled</v>
          </cell>
          <cell r="F3497">
            <v>350</v>
          </cell>
        </row>
        <row r="3498">
          <cell r="B3498" t="str">
            <v>Rate analysis for :1.00 Cum.</v>
          </cell>
        </row>
        <row r="3503">
          <cell r="A3503">
            <v>12.03</v>
          </cell>
          <cell r="B3503" t="str">
            <v>L3(19-3)</v>
          </cell>
          <cell r="C3503" t="str">
            <v>Dismantling work of R.C.C. / R.B.C. &amp; removing of material upto 10 mtr lead.</v>
          </cell>
          <cell r="F3503" t="str">
            <v>Cum.</v>
          </cell>
        </row>
        <row r="3504">
          <cell r="B3504" t="str">
            <v>Resources</v>
          </cell>
          <cell r="C3504" t="str">
            <v>Level/Type</v>
          </cell>
          <cell r="F3504" t="str">
            <v>Rate</v>
          </cell>
        </row>
        <row r="3505">
          <cell r="B3505" t="str">
            <v>Labour</v>
          </cell>
          <cell r="C3505" t="str">
            <v>Unskilled</v>
          </cell>
          <cell r="F3505">
            <v>350</v>
          </cell>
        </row>
        <row r="3506">
          <cell r="B3506" t="str">
            <v>Rate analysis for :1.00 Cum.</v>
          </cell>
        </row>
        <row r="3511">
          <cell r="A3511">
            <v>12.04</v>
          </cell>
          <cell r="B3511" t="str">
            <v>L4(19-4)</v>
          </cell>
          <cell r="C3511" t="str">
            <v>Dismantling work of P.C.C. / L.C.C. &amp; removing of material upto 10 mtr lead.</v>
          </cell>
          <cell r="F3511" t="str">
            <v>Cum.</v>
          </cell>
        </row>
        <row r="3512">
          <cell r="B3512" t="str">
            <v>Resources</v>
          </cell>
          <cell r="C3512" t="str">
            <v>Level/Type</v>
          </cell>
          <cell r="F3512" t="str">
            <v>Rate</v>
          </cell>
        </row>
        <row r="3513">
          <cell r="B3513" t="str">
            <v>Labour</v>
          </cell>
          <cell r="C3513" t="str">
            <v>Unskilled</v>
          </cell>
          <cell r="F3513">
            <v>350</v>
          </cell>
        </row>
        <row r="3514">
          <cell r="B3514" t="str">
            <v>Rate analysis for :1.00 Cum.</v>
          </cell>
        </row>
        <row r="3519">
          <cell r="A3519">
            <v>12.05</v>
          </cell>
          <cell r="B3519" t="str">
            <v>L5(19-5)</v>
          </cell>
          <cell r="C3519" t="str">
            <v>Dismantling work of cement sand  / lime surkhee plaster &amp; removing of material upto 10 mtr lead.</v>
          </cell>
          <cell r="F3519" t="str">
            <v>Sqm.</v>
          </cell>
        </row>
        <row r="3520">
          <cell r="B3520" t="str">
            <v>Resources</v>
          </cell>
          <cell r="C3520" t="str">
            <v>Level/Type</v>
          </cell>
          <cell r="F3520" t="str">
            <v>Rate</v>
          </cell>
        </row>
        <row r="3521">
          <cell r="B3521" t="str">
            <v>Labour</v>
          </cell>
          <cell r="C3521" t="str">
            <v>Unskilled</v>
          </cell>
          <cell r="F3521">
            <v>350</v>
          </cell>
        </row>
        <row r="3522">
          <cell r="B3522" t="str">
            <v>Rate analysis for :1.00 Sqm.</v>
          </cell>
        </row>
        <row r="3527">
          <cell r="A3527">
            <v>12.06</v>
          </cell>
          <cell r="B3527" t="str">
            <v>L6(19-6)</v>
          </cell>
          <cell r="C3527" t="str">
            <v>Dismantling work of tile roof &amp; removing of all material wood, tile upto 10 mtr lead.</v>
          </cell>
          <cell r="F3527" t="str">
            <v>Sqm.</v>
          </cell>
        </row>
        <row r="3528">
          <cell r="B3528" t="str">
            <v>Resources</v>
          </cell>
          <cell r="C3528" t="str">
            <v>Level/Type</v>
          </cell>
          <cell r="F3528" t="str">
            <v>Rate</v>
          </cell>
        </row>
        <row r="3529">
          <cell r="B3529" t="str">
            <v>Labour</v>
          </cell>
          <cell r="C3529" t="str">
            <v>Skilled</v>
          </cell>
          <cell r="F3529">
            <v>600</v>
          </cell>
        </row>
        <row r="3530">
          <cell r="C3530" t="str">
            <v>Unskilled</v>
          </cell>
          <cell r="F3530">
            <v>350</v>
          </cell>
        </row>
        <row r="3531">
          <cell r="B3531" t="str">
            <v>Rate analysis for :1.00 Sqm.</v>
          </cell>
        </row>
        <row r="3540">
          <cell r="A3540">
            <v>12.07</v>
          </cell>
          <cell r="B3540" t="str">
            <v>L7</v>
          </cell>
          <cell r="C3540" t="str">
            <v>Wood preservative paint painting work</v>
          </cell>
          <cell r="F3540" t="str">
            <v>Sqm.</v>
          </cell>
        </row>
        <row r="3541">
          <cell r="B3541" t="str">
            <v>Resources</v>
          </cell>
          <cell r="C3541" t="str">
            <v>Level/Type</v>
          </cell>
          <cell r="F3541" t="str">
            <v>Rate</v>
          </cell>
        </row>
        <row r="3542">
          <cell r="B3542" t="str">
            <v>Labour</v>
          </cell>
          <cell r="C3542" t="str">
            <v>Skilled</v>
          </cell>
          <cell r="F3542">
            <v>600</v>
          </cell>
        </row>
        <row r="3543">
          <cell r="C3543" t="str">
            <v>Unskilled</v>
          </cell>
          <cell r="F3543">
            <v>350</v>
          </cell>
        </row>
        <row r="3544">
          <cell r="C3544" t="str">
            <v xml:space="preserve">Wood preservative paint </v>
          </cell>
          <cell r="F3544">
            <v>0</v>
          </cell>
        </row>
        <row r="3545">
          <cell r="B3545" t="str">
            <v>Rate analysis for :1.00 Sqm.</v>
          </cell>
        </row>
        <row r="3550">
          <cell r="A3550">
            <v>12.08</v>
          </cell>
          <cell r="B3550" t="str">
            <v>L11</v>
          </cell>
          <cell r="C3550" t="str">
            <v>Clearance work of old existing marble floor with akjalik acid &amp; carborendum stone</v>
          </cell>
          <cell r="F3550" t="str">
            <v>Sqm..</v>
          </cell>
        </row>
        <row r="3551">
          <cell r="B3551" t="str">
            <v>Resources</v>
          </cell>
          <cell r="C3551" t="str">
            <v>Level/Type</v>
          </cell>
          <cell r="F3551" t="str">
            <v>Rate</v>
          </cell>
        </row>
        <row r="3552">
          <cell r="B3552" t="str">
            <v>Labour</v>
          </cell>
          <cell r="C3552" t="str">
            <v>Skilled</v>
          </cell>
          <cell r="F3552">
            <v>600</v>
          </cell>
        </row>
        <row r="3553">
          <cell r="C3553" t="str">
            <v>Unskilled</v>
          </cell>
          <cell r="F3553">
            <v>350</v>
          </cell>
        </row>
        <row r="3554">
          <cell r="B3554" t="str">
            <v>Materials</v>
          </cell>
          <cell r="C3554" t="str">
            <v>Akjalik acid powder</v>
          </cell>
          <cell r="F3554">
            <v>77.25</v>
          </cell>
        </row>
        <row r="3555">
          <cell r="C3555" t="str">
            <v>Carborendam Stone</v>
          </cell>
          <cell r="F3555">
            <v>164.8</v>
          </cell>
        </row>
        <row r="3556">
          <cell r="B3556" t="str">
            <v>Rate analysis for : 10.00 Sqm.</v>
          </cell>
        </row>
        <row r="3561">
          <cell r="A3561">
            <v>12.09</v>
          </cell>
          <cell r="B3561" t="str">
            <v>L12</v>
          </cell>
          <cell r="C3561" t="str">
            <v xml:space="preserve">Clearance work of old existing parket &amp; polishing work </v>
          </cell>
          <cell r="F3561" t="str">
            <v>Sqm..</v>
          </cell>
        </row>
        <row r="3562">
          <cell r="B3562" t="str">
            <v>Resources</v>
          </cell>
          <cell r="C3562" t="str">
            <v>Level/Type</v>
          </cell>
          <cell r="F3562" t="str">
            <v>Rate</v>
          </cell>
        </row>
        <row r="3563">
          <cell r="B3563" t="str">
            <v>Labour</v>
          </cell>
          <cell r="C3563" t="str">
            <v>Skilled</v>
          </cell>
          <cell r="F3563">
            <v>600</v>
          </cell>
        </row>
        <row r="3564">
          <cell r="C3564" t="str">
            <v>Unskilled</v>
          </cell>
          <cell r="F3564">
            <v>350</v>
          </cell>
        </row>
        <row r="3565">
          <cell r="B3565" t="str">
            <v>Materials</v>
          </cell>
          <cell r="C3565" t="str">
            <v>Sand paper</v>
          </cell>
          <cell r="F3565">
            <v>7.21</v>
          </cell>
        </row>
        <row r="3566">
          <cell r="C3566" t="str">
            <v>Main polish</v>
          </cell>
          <cell r="F3566">
            <v>257.5</v>
          </cell>
        </row>
        <row r="3567">
          <cell r="B3567" t="str">
            <v>Rate analysis for : 10.00 Sqm.</v>
          </cell>
        </row>
        <row r="3572">
          <cell r="A3572">
            <v>12.1</v>
          </cell>
          <cell r="B3572" t="str">
            <v>L13</v>
          </cell>
          <cell r="C3572" t="str">
            <v>Clearance work of old existing mosaic floor with akjalik acid , main polish , terpantain oil &amp; carborendum stone</v>
          </cell>
          <cell r="F3572" t="str">
            <v>Sqm..</v>
          </cell>
        </row>
        <row r="3573">
          <cell r="B3573" t="str">
            <v>Resources</v>
          </cell>
          <cell r="C3573" t="str">
            <v>Level/Type</v>
          </cell>
          <cell r="F3573" t="str">
            <v>Rate</v>
          </cell>
        </row>
        <row r="3574">
          <cell r="B3574" t="str">
            <v>Labour</v>
          </cell>
          <cell r="C3574" t="str">
            <v>Skilled</v>
          </cell>
          <cell r="F3574">
            <v>600</v>
          </cell>
        </row>
        <row r="3575">
          <cell r="C3575" t="str">
            <v>Unskilled</v>
          </cell>
          <cell r="F3575">
            <v>350</v>
          </cell>
        </row>
        <row r="3576">
          <cell r="B3576" t="str">
            <v>Materials</v>
          </cell>
          <cell r="C3576" t="str">
            <v>Akjalik acid powder</v>
          </cell>
          <cell r="F3576">
            <v>77.25</v>
          </cell>
        </row>
        <row r="3577">
          <cell r="C3577" t="str">
            <v xml:space="preserve">Main Polish </v>
          </cell>
          <cell r="F3577">
            <v>185.4</v>
          </cell>
        </row>
        <row r="3578">
          <cell r="C3578" t="str">
            <v>Tarpaintain oil</v>
          </cell>
          <cell r="F3578">
            <v>118.45</v>
          </cell>
        </row>
        <row r="3579">
          <cell r="C3579" t="str">
            <v>Carborendam Stone</v>
          </cell>
          <cell r="F3579">
            <v>164.8</v>
          </cell>
        </row>
        <row r="3580">
          <cell r="B3580" t="str">
            <v>Rate analysis for : 10.00 Sqm.</v>
          </cell>
        </row>
        <row r="3585">
          <cell r="A3585">
            <v>12.11</v>
          </cell>
          <cell r="B3585" t="str">
            <v>L14(A)</v>
          </cell>
          <cell r="C3585" t="str">
            <v xml:space="preserve">Clearance work of  brick from mud masonry wall &amp; stacking of brick for re-used </v>
          </cell>
          <cell r="F3585" t="str">
            <v>Nos.</v>
          </cell>
        </row>
        <row r="3586">
          <cell r="B3586" t="str">
            <v>Resources</v>
          </cell>
          <cell r="C3586" t="str">
            <v>Level/Type</v>
          </cell>
          <cell r="F3586" t="str">
            <v>Rate</v>
          </cell>
        </row>
        <row r="3587">
          <cell r="B3587" t="str">
            <v>Labour</v>
          </cell>
          <cell r="C3587" t="str">
            <v>Skilled</v>
          </cell>
          <cell r="F3587">
            <v>600</v>
          </cell>
        </row>
        <row r="3588">
          <cell r="C3588" t="str">
            <v>Unskilled</v>
          </cell>
          <cell r="F3588">
            <v>350</v>
          </cell>
        </row>
        <row r="3589">
          <cell r="B3589" t="str">
            <v>Equipment</v>
          </cell>
          <cell r="C3589" t="str">
            <v>Pully, dori,gas cutter &amp; gas etc</v>
          </cell>
        </row>
        <row r="3590">
          <cell r="B3590" t="str">
            <v>Rate analysis for : 1000.00 Nos.</v>
          </cell>
        </row>
        <row r="3595">
          <cell r="A3595">
            <v>12.12</v>
          </cell>
          <cell r="B3595" t="str">
            <v>L14(C)</v>
          </cell>
          <cell r="C3595" t="str">
            <v xml:space="preserve">Clearance work of  brick from cement  masonry wall &amp; stacking of brick for re-used </v>
          </cell>
          <cell r="F3595" t="str">
            <v>Nos.</v>
          </cell>
        </row>
        <row r="3596">
          <cell r="B3596" t="str">
            <v>Resources</v>
          </cell>
          <cell r="C3596" t="str">
            <v>Level/Type</v>
          </cell>
          <cell r="F3596" t="str">
            <v>Rate</v>
          </cell>
        </row>
        <row r="3597">
          <cell r="B3597" t="str">
            <v>Labour</v>
          </cell>
          <cell r="C3597" t="str">
            <v>Skilled</v>
          </cell>
          <cell r="F3597">
            <v>600</v>
          </cell>
        </row>
        <row r="3598">
          <cell r="C3598" t="str">
            <v>Unskilled</v>
          </cell>
          <cell r="F3598">
            <v>350</v>
          </cell>
        </row>
        <row r="3599">
          <cell r="B3599" t="str">
            <v>Equipment</v>
          </cell>
          <cell r="C3599" t="str">
            <v>Pully, dori,gas cutter &amp; gas etc</v>
          </cell>
        </row>
        <row r="3600">
          <cell r="B3600" t="str">
            <v>Rate analysis for : 1000.00 Nos.</v>
          </cell>
        </row>
        <row r="3605">
          <cell r="A3605">
            <v>12.13</v>
          </cell>
          <cell r="B3605" t="str">
            <v>L15(B)</v>
          </cell>
          <cell r="C3605" t="str">
            <v xml:space="preserve">Clearance work of  stone from cement  masonry wall &amp; stacking of brick for re-used </v>
          </cell>
          <cell r="F3605" t="str">
            <v>Cum.</v>
          </cell>
        </row>
        <row r="3606">
          <cell r="B3606" t="str">
            <v>Resources</v>
          </cell>
          <cell r="C3606" t="str">
            <v>Level/Type</v>
          </cell>
          <cell r="F3606" t="str">
            <v>Rate</v>
          </cell>
        </row>
        <row r="3607">
          <cell r="B3607" t="str">
            <v>Labour</v>
          </cell>
          <cell r="C3607" t="str">
            <v>Skilled</v>
          </cell>
          <cell r="F3607">
            <v>600</v>
          </cell>
        </row>
        <row r="3608">
          <cell r="C3608" t="str">
            <v>Unskilled</v>
          </cell>
          <cell r="F3608">
            <v>350</v>
          </cell>
        </row>
        <row r="3609">
          <cell r="B3609" t="str">
            <v>Equipment</v>
          </cell>
          <cell r="C3609" t="str">
            <v>Pully, dori,gas cutter &amp; gas etc</v>
          </cell>
        </row>
        <row r="3610">
          <cell r="B3610" t="str">
            <v>Rate analysis for : 1.00 Cum.</v>
          </cell>
        </row>
        <row r="3615">
          <cell r="A3615">
            <v>12.14</v>
          </cell>
          <cell r="B3615" t="str">
            <v>L19(A)</v>
          </cell>
          <cell r="C3615" t="str">
            <v>Dismantling work of R. C. C. barbed wire fencing work with earthwork excavation filling &amp; leveling</v>
          </cell>
          <cell r="F3615" t="str">
            <v>Sqm.</v>
          </cell>
        </row>
        <row r="3616">
          <cell r="B3616" t="str">
            <v>Resources</v>
          </cell>
          <cell r="C3616" t="str">
            <v>Level/Type</v>
          </cell>
          <cell r="F3616" t="str">
            <v>Rate</v>
          </cell>
        </row>
        <row r="3617">
          <cell r="B3617" t="str">
            <v>Labour</v>
          </cell>
          <cell r="C3617" t="str">
            <v>Skilled</v>
          </cell>
          <cell r="F3617">
            <v>600</v>
          </cell>
        </row>
        <row r="3618">
          <cell r="C3618" t="str">
            <v>Unskilled</v>
          </cell>
          <cell r="F3618">
            <v>350</v>
          </cell>
        </row>
        <row r="3619">
          <cell r="B3619" t="str">
            <v>Rate analysis for : 1.00 Sqm.</v>
          </cell>
        </row>
        <row r="3624">
          <cell r="A3624">
            <v>12.15</v>
          </cell>
          <cell r="B3624" t="str">
            <v>L19(B)</v>
          </cell>
          <cell r="C3624" t="str">
            <v>Dismantling work of IRON. barbed wire fencing work with earthwork excavation filling &amp; leveling</v>
          </cell>
          <cell r="F3624" t="str">
            <v>Sqm.</v>
          </cell>
        </row>
        <row r="3625">
          <cell r="B3625" t="str">
            <v>Resources</v>
          </cell>
          <cell r="C3625" t="str">
            <v>Level/Type</v>
          </cell>
          <cell r="F3625" t="str">
            <v>Rate</v>
          </cell>
        </row>
        <row r="3626">
          <cell r="B3626" t="str">
            <v>Labour</v>
          </cell>
          <cell r="C3626" t="str">
            <v>Skilled</v>
          </cell>
          <cell r="F3626">
            <v>600</v>
          </cell>
        </row>
        <row r="3627">
          <cell r="C3627" t="str">
            <v>Unskilled</v>
          </cell>
          <cell r="F3627">
            <v>350</v>
          </cell>
        </row>
        <row r="3628">
          <cell r="B3628" t="str">
            <v>Rate analysis for : 1.00 Sqm.</v>
          </cell>
        </row>
        <row r="3633">
          <cell r="A3633">
            <v>12.16</v>
          </cell>
          <cell r="B3633" t="str">
            <v>L19(C)</v>
          </cell>
          <cell r="C3633" t="str">
            <v>Dismantling work of WOODEN. barbed wire fencing work with earthwork excavation filling &amp; leveling</v>
          </cell>
          <cell r="F3633" t="str">
            <v>Sqm.</v>
          </cell>
        </row>
        <row r="3634">
          <cell r="B3634" t="str">
            <v>Resources</v>
          </cell>
          <cell r="C3634" t="str">
            <v>Level/Type</v>
          </cell>
          <cell r="F3634" t="str">
            <v>Rate</v>
          </cell>
        </row>
        <row r="3635">
          <cell r="B3635" t="str">
            <v>Labour</v>
          </cell>
          <cell r="C3635" t="str">
            <v>Skilled</v>
          </cell>
          <cell r="F3635">
            <v>600</v>
          </cell>
        </row>
        <row r="3636">
          <cell r="C3636" t="str">
            <v>Unskilled</v>
          </cell>
          <cell r="F3636">
            <v>350</v>
          </cell>
        </row>
        <row r="3637">
          <cell r="B3637" t="str">
            <v>Rate analysis for : 1.00 Sqm.</v>
          </cell>
        </row>
        <row r="3642">
          <cell r="A3642">
            <v>12.17</v>
          </cell>
          <cell r="B3642" t="str">
            <v>L20</v>
          </cell>
          <cell r="C3642" t="str">
            <v>Dismantling work of M.S. bar from R.C.C./R.B.C.&amp; stacking upto 10 mtr.</v>
          </cell>
          <cell r="F3642" t="str">
            <v>Sqm.</v>
          </cell>
        </row>
        <row r="3643">
          <cell r="B3643" t="str">
            <v>Resources</v>
          </cell>
          <cell r="C3643" t="str">
            <v>Level/Type</v>
          </cell>
          <cell r="F3643" t="str">
            <v>Rate</v>
          </cell>
        </row>
        <row r="3644">
          <cell r="B3644" t="str">
            <v>Labour</v>
          </cell>
          <cell r="C3644" t="str">
            <v>Skilled</v>
          </cell>
          <cell r="F3644">
            <v>600</v>
          </cell>
        </row>
        <row r="3645">
          <cell r="C3645" t="str">
            <v>Unskilled</v>
          </cell>
          <cell r="F3645">
            <v>350</v>
          </cell>
        </row>
        <row r="3646">
          <cell r="B3646" t="str">
            <v>Rate analysis for : 1.00 Sqm.</v>
          </cell>
        </row>
        <row r="3651">
          <cell r="A3651">
            <v>12.18</v>
          </cell>
          <cell r="B3651" t="str">
            <v>L21</v>
          </cell>
          <cell r="C3651" t="str">
            <v>Dismantling work of Gavian work</v>
          </cell>
          <cell r="F3651" t="str">
            <v>Sqm.</v>
          </cell>
        </row>
        <row r="3652">
          <cell r="B3652" t="str">
            <v>Resources</v>
          </cell>
          <cell r="C3652" t="str">
            <v>Level/Type</v>
          </cell>
          <cell r="F3652" t="str">
            <v>Rate</v>
          </cell>
        </row>
        <row r="3653">
          <cell r="B3653" t="str">
            <v>Labour</v>
          </cell>
          <cell r="C3653" t="str">
            <v>Skilled</v>
          </cell>
          <cell r="F3653">
            <v>600</v>
          </cell>
        </row>
        <row r="3654">
          <cell r="C3654" t="str">
            <v>Unskilled</v>
          </cell>
          <cell r="F3654">
            <v>350</v>
          </cell>
        </row>
        <row r="3655">
          <cell r="B3655" t="str">
            <v>Rate analysis for :1.00 Sqm.</v>
          </cell>
        </row>
        <row r="3660">
          <cell r="A3660">
            <v>12.19</v>
          </cell>
          <cell r="B3660" t="str">
            <v>L22</v>
          </cell>
          <cell r="C3660" t="str">
            <v>Dismantling work of cgi sheet roof  &amp; removing of all material wood, cgi sheet upto 10 mtr lead.</v>
          </cell>
          <cell r="F3660" t="str">
            <v>Sqm.</v>
          </cell>
        </row>
        <row r="3661">
          <cell r="B3661" t="str">
            <v>Resources</v>
          </cell>
          <cell r="C3661" t="str">
            <v>Level/Type</v>
          </cell>
          <cell r="F3661" t="str">
            <v>Rate</v>
          </cell>
        </row>
        <row r="3662">
          <cell r="B3662" t="str">
            <v>Labour</v>
          </cell>
          <cell r="C3662" t="str">
            <v>Skilled</v>
          </cell>
          <cell r="F3662">
            <v>600</v>
          </cell>
        </row>
        <row r="3663">
          <cell r="C3663" t="str">
            <v>Unskilled</v>
          </cell>
          <cell r="F3663">
            <v>350</v>
          </cell>
        </row>
        <row r="3664">
          <cell r="B3664" t="str">
            <v>Rate analysis for :1.00 Sqm.</v>
          </cell>
        </row>
        <row r="3711">
          <cell r="A3711" t="str">
            <v>M - METAL, FENCING &amp; RAILING  WORK</v>
          </cell>
        </row>
        <row r="3713">
          <cell r="A3713">
            <v>13.01</v>
          </cell>
          <cell r="B3713" t="str">
            <v xml:space="preserve"> M1(24-1A)</v>
          </cell>
          <cell r="C3713" t="str">
            <v>3 x 20mm Metal Grill including manufacturing, fitting, with one coat metal primer painting work</v>
          </cell>
          <cell r="F3713" t="str">
            <v>Sqm.</v>
          </cell>
        </row>
        <row r="3714">
          <cell r="B3714" t="str">
            <v>Resources</v>
          </cell>
          <cell r="C3714" t="str">
            <v>Level/Type</v>
          </cell>
          <cell r="F3714" t="str">
            <v>Rate</v>
          </cell>
        </row>
        <row r="3715">
          <cell r="B3715" t="str">
            <v>Labour</v>
          </cell>
          <cell r="C3715" t="str">
            <v>Skilled</v>
          </cell>
          <cell r="F3715">
            <v>600</v>
          </cell>
        </row>
        <row r="3716">
          <cell r="B3716" t="str">
            <v>Material</v>
          </cell>
          <cell r="C3716" t="str">
            <v>MS grill 3*20 mm (16.14 kg/sqm)</v>
          </cell>
          <cell r="F3716">
            <v>2078.02</v>
          </cell>
        </row>
        <row r="3717">
          <cell r="B3717" t="str">
            <v>Rate analysis for :10.00 Sqm.</v>
          </cell>
        </row>
        <row r="3722">
          <cell r="A3722">
            <v>13.02</v>
          </cell>
          <cell r="B3722" t="str">
            <v xml:space="preserve"> M2(24-1B)</v>
          </cell>
          <cell r="C3722" t="str">
            <v>4 x 20mm Metal Grill including manufacturing, fitting, painting with one coat metal primer painting work</v>
          </cell>
          <cell r="F3722" t="str">
            <v>Sqm.</v>
          </cell>
        </row>
        <row r="3723">
          <cell r="B3723" t="str">
            <v>Resources</v>
          </cell>
          <cell r="C3723" t="str">
            <v>Level/Type</v>
          </cell>
          <cell r="F3723" t="str">
            <v>Rate</v>
          </cell>
        </row>
        <row r="3724">
          <cell r="B3724" t="str">
            <v>Labour</v>
          </cell>
          <cell r="C3724" t="str">
            <v>Skilled</v>
          </cell>
          <cell r="F3724">
            <v>600</v>
          </cell>
        </row>
        <row r="3725">
          <cell r="B3725" t="str">
            <v>Material</v>
          </cell>
          <cell r="C3725" t="str">
            <v>MS grill 4.5*20 mm (21.50 kg/sqm)</v>
          </cell>
          <cell r="F3725">
            <v>2768.12</v>
          </cell>
        </row>
        <row r="3726">
          <cell r="B3726" t="str">
            <v>Rate analysis for :10.00 Sqm.</v>
          </cell>
        </row>
        <row r="3731">
          <cell r="A3731">
            <v>13.03</v>
          </cell>
          <cell r="B3731" t="str">
            <v xml:space="preserve"> M3</v>
          </cell>
          <cell r="C3731" t="str">
            <v>12x12 mm solid core square rod M. S. grill with 4 x 20mm Metal frame</v>
          </cell>
          <cell r="F3731" t="str">
            <v>Sqm.</v>
          </cell>
        </row>
        <row r="3732">
          <cell r="B3732" t="str">
            <v>Resources</v>
          </cell>
          <cell r="C3732" t="str">
            <v>Level/Type</v>
          </cell>
          <cell r="F3732" t="str">
            <v>Rate</v>
          </cell>
        </row>
        <row r="3733">
          <cell r="B3733" t="str">
            <v>Labour</v>
          </cell>
          <cell r="C3733" t="str">
            <v>Skilled</v>
          </cell>
          <cell r="F3733">
            <v>600</v>
          </cell>
        </row>
        <row r="3734">
          <cell r="C3734" t="str">
            <v>Unskilled</v>
          </cell>
          <cell r="F3734">
            <v>350</v>
          </cell>
        </row>
        <row r="3735">
          <cell r="C3735" t="str">
            <v>MS plate 4.5*20 mm</v>
          </cell>
          <cell r="F3735">
            <v>87.55</v>
          </cell>
        </row>
        <row r="3736">
          <cell r="B3736" t="str">
            <v>Material</v>
          </cell>
          <cell r="C3736" t="str">
            <v>MS Square rod 12 mm solid core</v>
          </cell>
          <cell r="F3736">
            <v>83.43</v>
          </cell>
        </row>
        <row r="3737">
          <cell r="B3737" t="str">
            <v>Rate analysis for :10.00 Sqm.</v>
          </cell>
        </row>
        <row r="3742">
          <cell r="A3742">
            <v>13.04</v>
          </cell>
          <cell r="B3742" t="str">
            <v xml:space="preserve"> M4</v>
          </cell>
          <cell r="C3742" t="str">
            <v>Fabricating, supplying &amp; fixing of different size M.S. angle</v>
          </cell>
          <cell r="F3742" t="str">
            <v>Kg.</v>
          </cell>
        </row>
        <row r="3743">
          <cell r="B3743" t="str">
            <v>Resources</v>
          </cell>
          <cell r="C3743" t="str">
            <v>Level/Type</v>
          </cell>
          <cell r="F3743" t="str">
            <v>Rate</v>
          </cell>
        </row>
        <row r="3744">
          <cell r="B3744" t="str">
            <v>Labours</v>
          </cell>
          <cell r="C3744" t="str">
            <v>Skilled</v>
          </cell>
          <cell r="F3744">
            <v>600</v>
          </cell>
        </row>
        <row r="3745">
          <cell r="C3745" t="str">
            <v>Unskilled</v>
          </cell>
          <cell r="F3745">
            <v>350</v>
          </cell>
        </row>
        <row r="3746">
          <cell r="B3746" t="str">
            <v>Material</v>
          </cell>
          <cell r="C3746" t="str">
            <v xml:space="preserve">MS angle </v>
          </cell>
          <cell r="F3746">
            <v>87.55</v>
          </cell>
        </row>
        <row r="3747">
          <cell r="C3747" t="str">
            <v>Primer etc</v>
          </cell>
        </row>
        <row r="3748">
          <cell r="B3748" t="str">
            <v>Rate analysis for :18.94 Kg.</v>
          </cell>
        </row>
        <row r="3753">
          <cell r="A3753">
            <v>13.05</v>
          </cell>
          <cell r="B3753" t="str">
            <v xml:space="preserve"> M5</v>
          </cell>
          <cell r="C3753" t="str">
            <v>Spiral stair case 3.00 mtr height 90 cm. width</v>
          </cell>
          <cell r="F3753" t="str">
            <v>Rmtr.</v>
          </cell>
        </row>
        <row r="3754">
          <cell r="B3754" t="str">
            <v>Resources</v>
          </cell>
          <cell r="C3754" t="str">
            <v>Level/Type</v>
          </cell>
          <cell r="F3754" t="str">
            <v>Rate</v>
          </cell>
        </row>
        <row r="3755">
          <cell r="B3755" t="str">
            <v>Labour</v>
          </cell>
          <cell r="C3755" t="str">
            <v>Skilled</v>
          </cell>
          <cell r="F3755">
            <v>600</v>
          </cell>
        </row>
        <row r="3756">
          <cell r="C3756" t="str">
            <v>Unskilled</v>
          </cell>
          <cell r="F3756">
            <v>350</v>
          </cell>
        </row>
        <row r="3757">
          <cell r="C3757" t="str">
            <v>MS spiral staircase readymade</v>
          </cell>
          <cell r="F3757">
            <v>7931</v>
          </cell>
        </row>
        <row r="3758">
          <cell r="B3758" t="str">
            <v>Rate analysis for : 1.00 Rmtr.</v>
          </cell>
        </row>
        <row r="3767">
          <cell r="A3767">
            <v>13.06</v>
          </cell>
          <cell r="B3767" t="str">
            <v xml:space="preserve"> M6(24-2)</v>
          </cell>
          <cell r="C3767" t="str">
            <v>Providing &amp;  fixing MS folded sheet  rolling shutters with iron clamps, spring and axle of good quality finish with one coat red- oxide paint on shutter and oiling on spring and axle.</v>
          </cell>
          <cell r="F3767" t="str">
            <v>Sqm.</v>
          </cell>
        </row>
        <row r="3768">
          <cell r="B3768" t="str">
            <v>Resources</v>
          </cell>
          <cell r="C3768" t="str">
            <v>Level/Type</v>
          </cell>
          <cell r="F3768" t="str">
            <v>Rate</v>
          </cell>
        </row>
        <row r="3769">
          <cell r="B3769" t="str">
            <v>Labour</v>
          </cell>
          <cell r="C3769" t="str">
            <v>Skilled</v>
          </cell>
        </row>
        <row r="3770">
          <cell r="C3770" t="str">
            <v>Unskilled</v>
          </cell>
        </row>
        <row r="3771">
          <cell r="C3771" t="str">
            <v>MS Rolling shutter</v>
          </cell>
          <cell r="F3771">
            <v>1662.42</v>
          </cell>
        </row>
        <row r="3772">
          <cell r="B3772" t="str">
            <v>Rate analysis for : 9.30 Sqm.</v>
          </cell>
        </row>
        <row r="3777">
          <cell r="A3777">
            <v>13.07</v>
          </cell>
          <cell r="B3777" t="str">
            <v xml:space="preserve"> M7(24-4)</v>
          </cell>
          <cell r="C3777" t="str">
            <v xml:space="preserve">Collapsible  shutter including manufacturing, welding, supply of material, painting and fixing </v>
          </cell>
          <cell r="F3777" t="str">
            <v>Sqm.</v>
          </cell>
        </row>
        <row r="3778">
          <cell r="B3778" t="str">
            <v>Resources</v>
          </cell>
          <cell r="C3778" t="str">
            <v>Level/Type</v>
          </cell>
          <cell r="F3778" t="str">
            <v>Rate</v>
          </cell>
        </row>
        <row r="3779">
          <cell r="B3779" t="str">
            <v>Labour</v>
          </cell>
          <cell r="C3779" t="str">
            <v>Skilled</v>
          </cell>
          <cell r="F3779">
            <v>600</v>
          </cell>
        </row>
        <row r="3780">
          <cell r="B3780" t="str">
            <v>Material</v>
          </cell>
          <cell r="C3780" t="str">
            <v xml:space="preserve">Collapisible gate (45 kg/sqm.) </v>
          </cell>
          <cell r="F3780">
            <v>6025.5</v>
          </cell>
        </row>
        <row r="3781">
          <cell r="B3781" t="str">
            <v>Rate analysis for :10.00 Sqm.</v>
          </cell>
        </row>
        <row r="3786">
          <cell r="A3786">
            <v>13.08</v>
          </cell>
          <cell r="B3786" t="str">
            <v xml:space="preserve"> M8(24-3)</v>
          </cell>
          <cell r="C3786" t="str">
            <v>Providing and fixing MS gate as per drawing with 50 mm X 50 mm X 3 mm MS angle, 25 mm X 25 mm MS square pipe, 16 gauge MS flat sheet, 12 mm X 3 mm  MS flat , ready made pivot hing welded to 175 mm long angle hold fast embedded in concrete and iron locking</v>
          </cell>
          <cell r="F3786" t="str">
            <v>Sqm.</v>
          </cell>
        </row>
        <row r="3787">
          <cell r="B3787" t="str">
            <v>Resources</v>
          </cell>
          <cell r="C3787" t="str">
            <v>Level/Type</v>
          </cell>
          <cell r="F3787" t="str">
            <v>Rate</v>
          </cell>
        </row>
        <row r="3788">
          <cell r="B3788" t="str">
            <v>Labour</v>
          </cell>
          <cell r="C3788" t="str">
            <v>Fixing charge</v>
          </cell>
        </row>
        <row r="3789">
          <cell r="B3789" t="str">
            <v>Material</v>
          </cell>
          <cell r="C3789" t="str">
            <v>MS grill gate 5*25 mm(40 kg/sqm) M. sheet</v>
          </cell>
          <cell r="F3789">
            <v>5150</v>
          </cell>
        </row>
        <row r="3790">
          <cell r="B3790" t="str">
            <v>Rate analysis for :10.00 Sqm.</v>
          </cell>
        </row>
        <row r="3795">
          <cell r="A3795">
            <v>13.09</v>
          </cell>
          <cell r="B3795" t="str">
            <v xml:space="preserve"> M8(24-3)</v>
          </cell>
          <cell r="C3795" t="str">
            <v>Providing and fixing MS gate as per drawing with 50 mm X 50 mm X 3 mm MS angle, 25 mm X 25 mm MS square pipe,  ready made pivot hing welded to 175 mm long angle hold fast embedded in concrete and iron locking arrangement over one coat primer.</v>
          </cell>
          <cell r="F3795" t="str">
            <v>Sqm.</v>
          </cell>
        </row>
        <row r="3796">
          <cell r="B3796" t="str">
            <v>Resources</v>
          </cell>
          <cell r="C3796" t="str">
            <v>Level/Type</v>
          </cell>
          <cell r="F3796" t="str">
            <v>Rate</v>
          </cell>
        </row>
        <row r="3797">
          <cell r="B3797" t="str">
            <v>Labour</v>
          </cell>
          <cell r="C3797" t="str">
            <v>Fixing charge</v>
          </cell>
        </row>
        <row r="3798">
          <cell r="B3798" t="str">
            <v>Material</v>
          </cell>
          <cell r="C3798" t="str">
            <v>MS grill gate 5*20 mm(35 kg/sqm)</v>
          </cell>
          <cell r="F3798">
            <v>4506.25</v>
          </cell>
        </row>
        <row r="3799">
          <cell r="B3799" t="str">
            <v>Rate analysis for :10.00 Sqm.</v>
          </cell>
        </row>
        <row r="3804">
          <cell r="A3804">
            <v>13.1</v>
          </cell>
          <cell r="B3804" t="str">
            <v xml:space="preserve"> M9(24-6)</v>
          </cell>
          <cell r="C3804" t="str">
            <v>Supplying and fixing of Barbed wire 12 gauge including hooks, nails etc</v>
          </cell>
          <cell r="F3804" t="str">
            <v>Rmtr.</v>
          </cell>
        </row>
        <row r="3805">
          <cell r="B3805" t="str">
            <v>Resources</v>
          </cell>
          <cell r="C3805" t="str">
            <v>Level/Type</v>
          </cell>
          <cell r="F3805" t="str">
            <v>Rate</v>
          </cell>
        </row>
        <row r="3806">
          <cell r="B3806" t="str">
            <v>Labours</v>
          </cell>
          <cell r="C3806" t="str">
            <v>Skilled</v>
          </cell>
          <cell r="F3806">
            <v>600</v>
          </cell>
        </row>
        <row r="3807">
          <cell r="C3807" t="str">
            <v>Unskilled</v>
          </cell>
          <cell r="F3807">
            <v>350</v>
          </cell>
        </row>
        <row r="3808">
          <cell r="B3808" t="str">
            <v>Material</v>
          </cell>
          <cell r="C3808" t="str">
            <v>Barbed wire 12 gauge</v>
          </cell>
          <cell r="F3808">
            <v>15.45</v>
          </cell>
        </row>
        <row r="3809">
          <cell r="C3809" t="str">
            <v>U-nail, killa etc</v>
          </cell>
        </row>
        <row r="3810">
          <cell r="B3810" t="str">
            <v>Rate analysis for :100.00 Rmtr.</v>
          </cell>
        </row>
        <row r="3817">
          <cell r="A3817">
            <v>13.11</v>
          </cell>
          <cell r="B3817" t="str">
            <v xml:space="preserve"> M9(24-6)</v>
          </cell>
          <cell r="C3817" t="str">
            <v>Supplying and fixing of Barbed wire 14 gauge including hooks, nails etc</v>
          </cell>
          <cell r="F3817" t="str">
            <v>Rmtr.</v>
          </cell>
        </row>
        <row r="3818">
          <cell r="B3818" t="str">
            <v>Resources</v>
          </cell>
          <cell r="C3818" t="str">
            <v>Level/Type</v>
          </cell>
          <cell r="F3818" t="str">
            <v>Rate</v>
          </cell>
        </row>
        <row r="3819">
          <cell r="B3819" t="str">
            <v>Labours</v>
          </cell>
          <cell r="C3819" t="str">
            <v>Skilled</v>
          </cell>
          <cell r="F3819">
            <v>600</v>
          </cell>
        </row>
        <row r="3820">
          <cell r="C3820" t="str">
            <v>Unskilled</v>
          </cell>
          <cell r="F3820">
            <v>350</v>
          </cell>
        </row>
        <row r="3821">
          <cell r="B3821" t="str">
            <v>Material</v>
          </cell>
          <cell r="C3821" t="str">
            <v>Barbed wire 14 gauge</v>
          </cell>
          <cell r="F3821">
            <v>12.36</v>
          </cell>
        </row>
        <row r="3822">
          <cell r="C3822" t="str">
            <v>U-nail, killa etc</v>
          </cell>
        </row>
        <row r="3823">
          <cell r="B3823" t="str">
            <v>Rate analysis for :100.00 Rmtr.</v>
          </cell>
        </row>
        <row r="3828">
          <cell r="A3828">
            <v>13.12</v>
          </cell>
          <cell r="B3828" t="str">
            <v xml:space="preserve"> M10(24-7)</v>
          </cell>
          <cell r="C3828" t="str">
            <v>Supplying and fixing of Barbed wire 12 gauge including hooks, nails etc 5 H+2D with 75x100 mm sal wood 2100 mm long .</v>
          </cell>
          <cell r="F3828" t="str">
            <v>Rmtr.</v>
          </cell>
        </row>
        <row r="3829">
          <cell r="B3829" t="str">
            <v>Resources</v>
          </cell>
          <cell r="C3829" t="str">
            <v>Level/Type</v>
          </cell>
          <cell r="F3829" t="str">
            <v>Rate</v>
          </cell>
        </row>
        <row r="3830">
          <cell r="B3830" t="str">
            <v>Labours</v>
          </cell>
          <cell r="C3830" t="str">
            <v>Skilled</v>
          </cell>
          <cell r="F3830">
            <v>600</v>
          </cell>
        </row>
        <row r="3831">
          <cell r="C3831" t="str">
            <v>Unskilled</v>
          </cell>
          <cell r="F3831">
            <v>350</v>
          </cell>
        </row>
        <row r="3832">
          <cell r="B3832" t="str">
            <v>Material</v>
          </cell>
          <cell r="C3832" t="str">
            <v>Wood Sal</v>
          </cell>
          <cell r="F3832">
            <v>138222.91</v>
          </cell>
        </row>
        <row r="3833">
          <cell r="C3833" t="str">
            <v>Barbed wire 12 gauge</v>
          </cell>
          <cell r="F3833">
            <v>15.45</v>
          </cell>
        </row>
        <row r="3834">
          <cell r="C3834" t="str">
            <v>U-nail</v>
          </cell>
          <cell r="F3834">
            <v>2.06</v>
          </cell>
        </row>
        <row r="3835">
          <cell r="B3835" t="str">
            <v>Rate analysis for :30.00 Rmtr.</v>
          </cell>
        </row>
        <row r="3840">
          <cell r="A3840">
            <v>13.13</v>
          </cell>
          <cell r="B3840" t="str">
            <v>M11</v>
          </cell>
          <cell r="C3840" t="str">
            <v>Fabricating, supplying &amp; fixing of different size M.S. black pipe Truss with metal primer</v>
          </cell>
          <cell r="F3840" t="str">
            <v>Kg.</v>
          </cell>
        </row>
        <row r="3841">
          <cell r="B3841" t="str">
            <v>Resources</v>
          </cell>
          <cell r="C3841" t="str">
            <v>Level/Type</v>
          </cell>
          <cell r="F3841" t="str">
            <v>Rate</v>
          </cell>
        </row>
        <row r="3842">
          <cell r="B3842" t="str">
            <v>Labours</v>
          </cell>
          <cell r="C3842" t="str">
            <v>Skilled</v>
          </cell>
          <cell r="F3842">
            <v>600</v>
          </cell>
        </row>
        <row r="3843">
          <cell r="C3843" t="str">
            <v>Unskilled</v>
          </cell>
          <cell r="F3843">
            <v>350</v>
          </cell>
        </row>
        <row r="3844">
          <cell r="B3844" t="str">
            <v>Material</v>
          </cell>
          <cell r="C3844" t="str">
            <v>MS black pipe</v>
          </cell>
          <cell r="F3844">
            <v>87.55</v>
          </cell>
        </row>
        <row r="3845">
          <cell r="C3845" t="str">
            <v>Primer etc</v>
          </cell>
        </row>
        <row r="3846">
          <cell r="B3846" t="str">
            <v>Rate analysis for : 18.94 Kg.</v>
          </cell>
        </row>
        <row r="3851">
          <cell r="A3851">
            <v>13.14</v>
          </cell>
          <cell r="B3851" t="str">
            <v>M12</v>
          </cell>
          <cell r="C3851" t="str">
            <v>Supplying &amp; fixing work of 50 mm Ø MS black pipe @ 2.0 mtr with  10 S.W.G.G. I. Chain Link 2"x2" mesh size fixing in 4x20x20 mm &amp; 4x25x25 mm ms angle  frame &amp; top 3x20 mm MS  grill 15 cm height .</v>
          </cell>
          <cell r="F3851" t="str">
            <v>Sqm.</v>
          </cell>
        </row>
        <row r="3852">
          <cell r="B3852" t="str">
            <v>Resources</v>
          </cell>
          <cell r="C3852" t="str">
            <v>Level/Type</v>
          </cell>
          <cell r="F3852" t="str">
            <v>Rate</v>
          </cell>
        </row>
        <row r="3853">
          <cell r="B3853" t="str">
            <v>Labours</v>
          </cell>
          <cell r="C3853" t="str">
            <v>Skilled</v>
          </cell>
          <cell r="F3853">
            <v>600</v>
          </cell>
        </row>
        <row r="3854">
          <cell r="C3854" t="str">
            <v>Unskilled</v>
          </cell>
          <cell r="F3854">
            <v>350</v>
          </cell>
        </row>
        <row r="3855">
          <cell r="B3855" t="str">
            <v>Material</v>
          </cell>
          <cell r="C3855" t="str">
            <v xml:space="preserve">MS Black pipe </v>
          </cell>
          <cell r="F3855">
            <v>118.45</v>
          </cell>
        </row>
        <row r="3856">
          <cell r="C3856" t="str">
            <v xml:space="preserve">MS Angle </v>
          </cell>
          <cell r="F3856">
            <v>87.55</v>
          </cell>
        </row>
        <row r="3857">
          <cell r="C3857" t="str">
            <v xml:space="preserve">MS Angle </v>
          </cell>
          <cell r="F3857">
            <v>87.55</v>
          </cell>
        </row>
        <row r="3858">
          <cell r="C3858" t="str">
            <v xml:space="preserve">MS Grill </v>
          </cell>
          <cell r="F3858">
            <v>128.75</v>
          </cell>
        </row>
        <row r="3859">
          <cell r="C3859" t="str">
            <v xml:space="preserve">Chain Link 2"x2" mesh (10 SWG G. I.)  </v>
          </cell>
          <cell r="F3859">
            <v>232.78</v>
          </cell>
        </row>
        <row r="3860">
          <cell r="C3860" t="str">
            <v xml:space="preserve">Fabrication charge </v>
          </cell>
        </row>
        <row r="3861">
          <cell r="B3861" t="str">
            <v xml:space="preserve">Rate analysis for : 10.00 Sqm.                   </v>
          </cell>
        </row>
        <row r="3872">
          <cell r="A3872">
            <v>13.15</v>
          </cell>
          <cell r="B3872" t="str">
            <v>M13</v>
          </cell>
          <cell r="C3872" t="str">
            <v>Supplying &amp; fixing work of 50 mm Ø MS black pipe @ 2.0 mtr with  7 mm Ø TMT bar mesh 62x62 mm size 4x25x25 mm ms angle frame &amp; top 3x20 mm MS  grill 15 cm height with primer coat..</v>
          </cell>
          <cell r="F3872" t="str">
            <v>Sqm.</v>
          </cell>
        </row>
        <row r="3873">
          <cell r="B3873" t="str">
            <v>Resources</v>
          </cell>
          <cell r="C3873" t="str">
            <v>Level/Type</v>
          </cell>
          <cell r="F3873" t="str">
            <v>Rate</v>
          </cell>
        </row>
        <row r="3874">
          <cell r="B3874" t="str">
            <v>Labours</v>
          </cell>
          <cell r="C3874" t="str">
            <v>Skilled</v>
          </cell>
          <cell r="F3874">
            <v>600</v>
          </cell>
        </row>
        <row r="3875">
          <cell r="C3875" t="str">
            <v>Unskilled</v>
          </cell>
          <cell r="F3875">
            <v>350</v>
          </cell>
        </row>
        <row r="3876">
          <cell r="B3876" t="str">
            <v>Material</v>
          </cell>
          <cell r="C3876" t="str">
            <v xml:space="preserve">MS Black pipe </v>
          </cell>
          <cell r="F3876">
            <v>118.45</v>
          </cell>
        </row>
        <row r="3877">
          <cell r="C3877" t="str">
            <v xml:space="preserve">MS Angle </v>
          </cell>
          <cell r="F3877">
            <v>87.55</v>
          </cell>
        </row>
        <row r="3878">
          <cell r="C3878" t="str">
            <v xml:space="preserve">MS grill </v>
          </cell>
          <cell r="F3878">
            <v>128.75</v>
          </cell>
        </row>
        <row r="3879">
          <cell r="C3879" t="str">
            <v>TMT reinforcement bar 7 mm Ø</v>
          </cell>
          <cell r="F3879">
            <v>86.52</v>
          </cell>
        </row>
        <row r="3880">
          <cell r="C3880" t="str">
            <v xml:space="preserve">Fabrication charge </v>
          </cell>
        </row>
        <row r="3881">
          <cell r="B3881" t="str">
            <v xml:space="preserve">Rate analysis for : 10.00 Sqm.                   </v>
          </cell>
        </row>
        <row r="3886">
          <cell r="A3886">
            <v>13.16</v>
          </cell>
          <cell r="C3886" t="str">
            <v>Supplying &amp; fixing work of 50 mm Ø stainless steel pipe post @ 2.0 mtr , 50 mm Ø stainless steel pipe hand rail with three rows 25 mm Ø stainless steel pipe in between ground &amp; hand rail.</v>
          </cell>
          <cell r="F3886" t="str">
            <v>Rmtr.</v>
          </cell>
        </row>
        <row r="3887">
          <cell r="B3887" t="str">
            <v>Resources</v>
          </cell>
          <cell r="C3887" t="str">
            <v>Level/Type</v>
          </cell>
          <cell r="F3887" t="str">
            <v>Rate</v>
          </cell>
        </row>
        <row r="3888">
          <cell r="B3888" t="str">
            <v>Labours</v>
          </cell>
          <cell r="C3888" t="str">
            <v>Skilled</v>
          </cell>
          <cell r="F3888">
            <v>600</v>
          </cell>
        </row>
        <row r="3889">
          <cell r="C3889" t="str">
            <v>Unskilled</v>
          </cell>
          <cell r="F3889">
            <v>350</v>
          </cell>
        </row>
        <row r="3890">
          <cell r="B3890" t="str">
            <v>Material</v>
          </cell>
          <cell r="C3890" t="str">
            <v>Stainless steel pipe railing</v>
          </cell>
          <cell r="F3890">
            <v>3550</v>
          </cell>
        </row>
        <row r="3891">
          <cell r="B3891" t="str">
            <v xml:space="preserve">Rate analysis for : 1.00 Rmtr.               </v>
          </cell>
        </row>
        <row r="3896">
          <cell r="A3896">
            <v>13.17</v>
          </cell>
          <cell r="B3896" t="str">
            <v>M15</v>
          </cell>
          <cell r="C3896" t="str">
            <v>Supplying &amp; fixing work of 38 mm Ø stainless steel pipe post @ 2.0 mtr , 38 mm Ø stainless steel pipe hand rail with two rows 25 mm Ø stainless steel pipe in between ground &amp; hand rail.</v>
          </cell>
          <cell r="F3896" t="str">
            <v>Sqm.</v>
          </cell>
        </row>
        <row r="3897">
          <cell r="B3897" t="str">
            <v>Resources</v>
          </cell>
          <cell r="C3897" t="str">
            <v>Level/Type</v>
          </cell>
          <cell r="F3897" t="str">
            <v>Rate</v>
          </cell>
        </row>
        <row r="3898">
          <cell r="B3898" t="str">
            <v>Labours</v>
          </cell>
          <cell r="C3898" t="str">
            <v>Skilled</v>
          </cell>
          <cell r="F3898">
            <v>600</v>
          </cell>
        </row>
        <row r="3899">
          <cell r="C3899" t="str">
            <v>Unskilled</v>
          </cell>
          <cell r="F3899">
            <v>350</v>
          </cell>
        </row>
        <row r="3900">
          <cell r="B3900" t="str">
            <v>Material</v>
          </cell>
          <cell r="C3900" t="str">
            <v xml:space="preserve">Stainless steel pipe 38 mm Ø </v>
          </cell>
          <cell r="F3900">
            <v>341.96</v>
          </cell>
        </row>
        <row r="3901">
          <cell r="C3901" t="str">
            <v xml:space="preserve">Stainless steel pipe 25 mm Ø </v>
          </cell>
          <cell r="F3901">
            <v>221.45</v>
          </cell>
        </row>
        <row r="3902">
          <cell r="C3902" t="str">
            <v xml:space="preserve">Gas welding charge </v>
          </cell>
          <cell r="F3902" t="str">
            <v>L.S.</v>
          </cell>
        </row>
        <row r="3903">
          <cell r="B3903" t="str">
            <v xml:space="preserve">Rate analysis for : 9.15 Sqm.                   </v>
          </cell>
        </row>
        <row r="3908">
          <cell r="A3908">
            <v>13.18</v>
          </cell>
          <cell r="B3908" t="str">
            <v>M16</v>
          </cell>
          <cell r="C3908" t="str">
            <v>Supplying &amp; fixing work of 150x150 mm size sisham wood  ornamental post , 75x75 mm size bluster with 75x100 mm  hand rail.</v>
          </cell>
          <cell r="F3908" t="str">
            <v>Sqm.</v>
          </cell>
        </row>
        <row r="3909">
          <cell r="B3909" t="str">
            <v>Resources</v>
          </cell>
          <cell r="C3909" t="str">
            <v>Level/Type</v>
          </cell>
          <cell r="F3909" t="str">
            <v>Rate</v>
          </cell>
        </row>
        <row r="3910">
          <cell r="B3910" t="str">
            <v>Labours</v>
          </cell>
          <cell r="C3910" t="str">
            <v>Skilled</v>
          </cell>
          <cell r="F3910">
            <v>600</v>
          </cell>
        </row>
        <row r="3911">
          <cell r="C3911" t="str">
            <v>Unskilled</v>
          </cell>
          <cell r="F3911">
            <v>350</v>
          </cell>
        </row>
        <row r="3912">
          <cell r="B3912" t="str">
            <v>Material</v>
          </cell>
          <cell r="C3912" t="str">
            <v xml:space="preserve">Wood Sisham </v>
          </cell>
          <cell r="F3912">
            <v>127310.57</v>
          </cell>
        </row>
        <row r="3913">
          <cell r="C3913" t="str">
            <v>Ornamental work</v>
          </cell>
        </row>
        <row r="3914">
          <cell r="B3914" t="str">
            <v xml:space="preserve">Rate analysis for : 9.00 Sqm.                   </v>
          </cell>
        </row>
        <row r="3922">
          <cell r="A3922">
            <v>13.19</v>
          </cell>
          <cell r="B3922" t="str">
            <v>M17</v>
          </cell>
          <cell r="C3922" t="str">
            <v>Hand rail 3"x4" size sisham wood supplying &amp; fixing work</v>
          </cell>
          <cell r="F3922" t="str">
            <v>Rmtr.</v>
          </cell>
        </row>
        <row r="3923">
          <cell r="B3923" t="str">
            <v>Resources</v>
          </cell>
          <cell r="C3923" t="str">
            <v>Level/Type</v>
          </cell>
          <cell r="F3923" t="str">
            <v>Rate</v>
          </cell>
        </row>
        <row r="3924">
          <cell r="B3924" t="str">
            <v>Labours</v>
          </cell>
          <cell r="C3924" t="str">
            <v>Skilled</v>
          </cell>
          <cell r="F3924">
            <v>600</v>
          </cell>
        </row>
        <row r="3925">
          <cell r="C3925" t="str">
            <v>Unskilled</v>
          </cell>
          <cell r="F3925">
            <v>350</v>
          </cell>
        </row>
        <row r="3926">
          <cell r="B3926" t="str">
            <v>Material</v>
          </cell>
          <cell r="C3926" t="str">
            <v>Wood sisham</v>
          </cell>
          <cell r="F3926">
            <v>127310.57</v>
          </cell>
        </row>
        <row r="3927">
          <cell r="B3927" t="str">
            <v>Rate analysis for : 1.00 Rmtr</v>
          </cell>
        </row>
        <row r="3932">
          <cell r="A3932">
            <v>13.2</v>
          </cell>
          <cell r="B3932" t="str">
            <v>M18</v>
          </cell>
          <cell r="C3932" t="str">
            <v>Supplying &amp; fixing work of 25x25 mm  square pipe railing two nos. every trade  900 to 1000 mm height with 3"x4" sisham wood hand rail</v>
          </cell>
          <cell r="F3932" t="str">
            <v>Rmtr.</v>
          </cell>
        </row>
        <row r="3933">
          <cell r="B3933" t="str">
            <v>Resources</v>
          </cell>
          <cell r="C3933" t="str">
            <v>Level/Type</v>
          </cell>
          <cell r="F3933" t="str">
            <v>Rate</v>
          </cell>
        </row>
        <row r="3934">
          <cell r="B3934" t="str">
            <v>Labours</v>
          </cell>
          <cell r="C3934" t="str">
            <v>Skilled</v>
          </cell>
          <cell r="F3934">
            <v>600</v>
          </cell>
        </row>
        <row r="3935">
          <cell r="C3935" t="str">
            <v>Unskilled</v>
          </cell>
          <cell r="F3935">
            <v>350</v>
          </cell>
        </row>
        <row r="3936">
          <cell r="B3936" t="str">
            <v>Material</v>
          </cell>
          <cell r="C3936" t="str">
            <v>Wood sisham</v>
          </cell>
          <cell r="F3936">
            <v>127310.57</v>
          </cell>
        </row>
        <row r="3937">
          <cell r="C3937" t="str">
            <v>MS Square pipe 25x25 mm</v>
          </cell>
          <cell r="F3937">
            <v>87.55</v>
          </cell>
        </row>
        <row r="3938">
          <cell r="C3938" t="str">
            <v>MSPlate 4x20</v>
          </cell>
          <cell r="F3938">
            <v>83.43</v>
          </cell>
        </row>
        <row r="3939">
          <cell r="C3939" t="str">
            <v>MS Black pipe 40 mm Ø</v>
          </cell>
          <cell r="F3939">
            <v>118.45</v>
          </cell>
        </row>
        <row r="3940">
          <cell r="C3940" t="str">
            <v>welding charge</v>
          </cell>
        </row>
        <row r="3941">
          <cell r="B3941" t="str">
            <v>Rate analysis for : 2.70 Rmtr</v>
          </cell>
        </row>
        <row r="3945">
          <cell r="B3945" t="str">
            <v>Note : Wood : 3.10*0.075*0.100*1.05=0.0244</v>
          </cell>
        </row>
        <row r="3946">
          <cell r="B3946" t="str">
            <v xml:space="preserve">             M.S. Plate 4x20 : (2.70+1.50+3.10)*1.05*0.60=4.60 Kg.</v>
          </cell>
        </row>
        <row r="3948">
          <cell r="A3948">
            <v>13.21</v>
          </cell>
          <cell r="B3948" t="str">
            <v>M19</v>
          </cell>
          <cell r="C3948" t="str">
            <v>Supplying &amp; fixing work of 25x25 mm  square pipe railing two nos. every trade  900 to 1000 mm height with 40 mm MS black pipe  hand rail</v>
          </cell>
          <cell r="F3948" t="str">
            <v>Rmtr.</v>
          </cell>
        </row>
        <row r="3949">
          <cell r="B3949" t="str">
            <v>Resources</v>
          </cell>
          <cell r="C3949" t="str">
            <v>Level/Type</v>
          </cell>
          <cell r="F3949" t="str">
            <v>Rate</v>
          </cell>
        </row>
        <row r="3950">
          <cell r="B3950" t="str">
            <v>Labours</v>
          </cell>
          <cell r="C3950" t="str">
            <v>Skilled</v>
          </cell>
          <cell r="F3950">
            <v>600</v>
          </cell>
        </row>
        <row r="3951">
          <cell r="C3951" t="str">
            <v>Unskilled</v>
          </cell>
          <cell r="F3951">
            <v>350</v>
          </cell>
        </row>
        <row r="3952">
          <cell r="C3952" t="str">
            <v>MS Square pipe 25x25 mm</v>
          </cell>
          <cell r="F3952">
            <v>87.55</v>
          </cell>
        </row>
        <row r="3953">
          <cell r="C3953" t="str">
            <v>MS Plate 4x20</v>
          </cell>
          <cell r="F3953">
            <v>87.55</v>
          </cell>
        </row>
        <row r="3954">
          <cell r="C3954" t="str">
            <v>MS Black pipe 40 mm Ø</v>
          </cell>
          <cell r="F3954">
            <v>118.45</v>
          </cell>
        </row>
        <row r="3955">
          <cell r="C3955" t="str">
            <v>welding charge</v>
          </cell>
        </row>
        <row r="3956">
          <cell r="B3956" t="str">
            <v>Rate analysis for : 2.70 Rmtr</v>
          </cell>
        </row>
        <row r="3960">
          <cell r="B3960" t="str">
            <v>M.S.Black pipe Pipe 40mm Ø : (0.90*2+3.10)*1.05*3.61=19.67 Kg.</v>
          </cell>
        </row>
        <row r="3979">
          <cell r="A3979" t="str">
            <v>O - ROAD  WORK</v>
          </cell>
        </row>
        <row r="3981">
          <cell r="A3981">
            <v>15.01</v>
          </cell>
          <cell r="B3981" t="str">
            <v>O1</v>
          </cell>
          <cell r="C3981" t="str">
            <v xml:space="preserve">Subgrade  prepairing work with simple mud cutting 10 mtr. lead </v>
          </cell>
          <cell r="F3981" t="str">
            <v>Sqm.</v>
          </cell>
        </row>
        <row r="3982">
          <cell r="B3982" t="str">
            <v>Resources</v>
          </cell>
          <cell r="C3982" t="str">
            <v>Level/Type</v>
          </cell>
          <cell r="F3982" t="str">
            <v>Rate</v>
          </cell>
        </row>
        <row r="3983">
          <cell r="B3983" t="str">
            <v>Labours</v>
          </cell>
          <cell r="C3983" t="str">
            <v>Unskilled</v>
          </cell>
          <cell r="F3983">
            <v>350</v>
          </cell>
        </row>
        <row r="3984">
          <cell r="B3984" t="str">
            <v>Material</v>
          </cell>
          <cell r="C3984" t="str">
            <v xml:space="preserve">T &amp; P </v>
          </cell>
        </row>
        <row r="3985">
          <cell r="B3985" t="str">
            <v>Rate analysis for : 1.00 Sqm.</v>
          </cell>
        </row>
        <row r="3990">
          <cell r="A3990">
            <v>15.02</v>
          </cell>
          <cell r="B3990" t="str">
            <v>O2</v>
          </cell>
          <cell r="C3990" t="str">
            <v xml:space="preserve">Rolling work </v>
          </cell>
          <cell r="F3990" t="str">
            <v>Sqm.</v>
          </cell>
        </row>
        <row r="3991">
          <cell r="B3991" t="str">
            <v>Resources</v>
          </cell>
          <cell r="C3991" t="str">
            <v>Level/Type</v>
          </cell>
          <cell r="F3991" t="str">
            <v>Rate</v>
          </cell>
        </row>
        <row r="3992">
          <cell r="B3992" t="str">
            <v>Labours</v>
          </cell>
          <cell r="C3992" t="str">
            <v>Unskilled</v>
          </cell>
          <cell r="F3992">
            <v>350</v>
          </cell>
        </row>
        <row r="3993">
          <cell r="B3993" t="str">
            <v>Equipment</v>
          </cell>
          <cell r="C3993" t="str">
            <v>Road roller 8-10 M.T.</v>
          </cell>
          <cell r="F3993">
            <v>721</v>
          </cell>
        </row>
        <row r="3994">
          <cell r="B3994" t="str">
            <v>Rate analysis for : 100.00 Cum.</v>
          </cell>
        </row>
        <row r="3999">
          <cell r="A3999">
            <v>15.03</v>
          </cell>
          <cell r="B3999" t="str">
            <v>O3(15-9A)</v>
          </cell>
          <cell r="C3999" t="str">
            <v xml:space="preserve">10 cm. compact sub base laying work with sand mixed gravel, load unload &amp; proper levelling. </v>
          </cell>
          <cell r="F3999" t="str">
            <v>Sqm.</v>
          </cell>
        </row>
        <row r="4000">
          <cell r="B4000" t="str">
            <v>Resources</v>
          </cell>
          <cell r="C4000" t="str">
            <v>Level/Type</v>
          </cell>
          <cell r="F4000" t="str">
            <v>Rate</v>
          </cell>
        </row>
        <row r="4001">
          <cell r="B4001" t="str">
            <v>Labours</v>
          </cell>
          <cell r="C4001" t="str">
            <v>Unskilled</v>
          </cell>
          <cell r="F4001">
            <v>350</v>
          </cell>
        </row>
        <row r="4002">
          <cell r="B4002" t="str">
            <v>Material</v>
          </cell>
          <cell r="C4002" t="str">
            <v>Gravel (Mud Mixed)</v>
          </cell>
          <cell r="F4002">
            <v>500</v>
          </cell>
        </row>
        <row r="4003">
          <cell r="B4003" t="str">
            <v>Equipment</v>
          </cell>
          <cell r="C4003" t="str">
            <v>Road roller 8-10 M.T.</v>
          </cell>
          <cell r="F4003">
            <v>721</v>
          </cell>
        </row>
        <row r="4004">
          <cell r="B4004" t="str">
            <v>Rate analysis for : 1.00 Sqm.</v>
          </cell>
        </row>
        <row r="4009">
          <cell r="A4009">
            <v>15.04</v>
          </cell>
          <cell r="B4009" t="str">
            <v>O3(15-9C)</v>
          </cell>
          <cell r="C4009" t="str">
            <v xml:space="preserve">15 cm. compact sub base laying work with Mud mixed gravel, load unload &amp; proper levelling. </v>
          </cell>
          <cell r="F4009" t="str">
            <v>Sqm.</v>
          </cell>
        </row>
        <row r="4010">
          <cell r="B4010" t="str">
            <v>Resources</v>
          </cell>
          <cell r="C4010" t="str">
            <v>Level/Type</v>
          </cell>
          <cell r="F4010" t="str">
            <v>Rate</v>
          </cell>
        </row>
        <row r="4011">
          <cell r="B4011" t="str">
            <v>Labours</v>
          </cell>
          <cell r="C4011" t="str">
            <v>Unskilled</v>
          </cell>
          <cell r="F4011">
            <v>350</v>
          </cell>
        </row>
        <row r="4012">
          <cell r="B4012" t="str">
            <v>Material</v>
          </cell>
          <cell r="C4012" t="str">
            <v>Gravel (Mud Mixed)</v>
          </cell>
          <cell r="F4012">
            <v>500</v>
          </cell>
        </row>
        <row r="4013">
          <cell r="B4013" t="str">
            <v>Equipment</v>
          </cell>
          <cell r="C4013" t="str">
            <v>Road roller 8-10 M.T.</v>
          </cell>
          <cell r="F4013">
            <v>721</v>
          </cell>
        </row>
        <row r="4014">
          <cell r="B4014" t="str">
            <v>Rate analysis for : 1.00 Sqm.</v>
          </cell>
        </row>
        <row r="4019">
          <cell r="A4019">
            <v>15.05</v>
          </cell>
          <cell r="B4019" t="str">
            <v>O3(15-9D)</v>
          </cell>
          <cell r="C4019" t="str">
            <v xml:space="preserve">20 cm. compact sub base laying work with sand mixed gravel, load unload &amp; proper levelling. </v>
          </cell>
          <cell r="F4019" t="str">
            <v>Sqm.</v>
          </cell>
        </row>
        <row r="4020">
          <cell r="B4020" t="str">
            <v>Resources</v>
          </cell>
          <cell r="C4020" t="str">
            <v>Level/Type</v>
          </cell>
          <cell r="F4020" t="str">
            <v>Rate</v>
          </cell>
        </row>
        <row r="4021">
          <cell r="B4021" t="str">
            <v>Labours</v>
          </cell>
          <cell r="C4021" t="str">
            <v>Unskilled</v>
          </cell>
          <cell r="F4021">
            <v>350</v>
          </cell>
        </row>
        <row r="4022">
          <cell r="B4022" t="str">
            <v>Material</v>
          </cell>
          <cell r="C4022" t="str">
            <v>Gravel (Mud Mixed)</v>
          </cell>
          <cell r="F4022">
            <v>500</v>
          </cell>
        </row>
        <row r="4023">
          <cell r="B4023" t="str">
            <v>Equipment</v>
          </cell>
          <cell r="C4023" t="str">
            <v>Road roller 8-10 M.T.</v>
          </cell>
          <cell r="F4023">
            <v>721</v>
          </cell>
        </row>
        <row r="4024">
          <cell r="B4024" t="str">
            <v>Rate analysis for : 1.00 Sqm.</v>
          </cell>
        </row>
        <row r="4030">
          <cell r="A4030">
            <v>15.06</v>
          </cell>
          <cell r="B4030" t="str">
            <v>O4(15-10A)</v>
          </cell>
          <cell r="C4030" t="str">
            <v xml:space="preserve">10 cm. compact sub grade laying work with proper size crushed/stone ballast gravel, load unload &amp; proper levelling. </v>
          </cell>
          <cell r="F4030" t="str">
            <v>Sqm.</v>
          </cell>
        </row>
        <row r="4031">
          <cell r="B4031" t="str">
            <v>Resources</v>
          </cell>
          <cell r="C4031" t="str">
            <v>Level/Type</v>
          </cell>
          <cell r="F4031" t="str">
            <v>Rate</v>
          </cell>
        </row>
        <row r="4032">
          <cell r="B4032" t="str">
            <v>Labours</v>
          </cell>
          <cell r="C4032" t="str">
            <v>Unskilled</v>
          </cell>
          <cell r="F4032">
            <v>350</v>
          </cell>
        </row>
        <row r="4033">
          <cell r="B4033" t="str">
            <v>Material</v>
          </cell>
          <cell r="C4033" t="str">
            <v>Coarse aggrigate</v>
          </cell>
          <cell r="F4033">
            <v>11.84</v>
          </cell>
        </row>
        <row r="4034">
          <cell r="C4034" t="str">
            <v>Screenings</v>
          </cell>
        </row>
        <row r="4035">
          <cell r="C4035" t="str">
            <v>Binding material</v>
          </cell>
        </row>
        <row r="4036">
          <cell r="B4036" t="str">
            <v>Equipment</v>
          </cell>
          <cell r="C4036" t="str">
            <v>Road roller 8-10 M.T.</v>
          </cell>
          <cell r="F4036">
            <v>721</v>
          </cell>
        </row>
        <row r="4037">
          <cell r="B4037" t="str">
            <v>Rate analysis for : 1.00 Sqm.</v>
          </cell>
        </row>
        <row r="4042">
          <cell r="A4042">
            <v>15.07</v>
          </cell>
          <cell r="B4042" t="str">
            <v>O4(15-10B)</v>
          </cell>
          <cell r="C4042" t="str">
            <v xml:space="preserve">15 cm. compact sub grade laying work with proper size crushed/stone ballast gravel, load unload &amp; proper levelling. </v>
          </cell>
          <cell r="F4042" t="str">
            <v>Sqm.</v>
          </cell>
        </row>
        <row r="4043">
          <cell r="B4043" t="str">
            <v>Resources</v>
          </cell>
          <cell r="C4043" t="str">
            <v>Level/Type</v>
          </cell>
          <cell r="F4043" t="str">
            <v>Rate</v>
          </cell>
        </row>
        <row r="4044">
          <cell r="B4044" t="str">
            <v>Labours</v>
          </cell>
          <cell r="C4044" t="str">
            <v>Unskilled</v>
          </cell>
          <cell r="F4044">
            <v>350</v>
          </cell>
        </row>
        <row r="4045">
          <cell r="B4045" t="str">
            <v>Material</v>
          </cell>
          <cell r="C4045" t="str">
            <v>Coarse aggrigate</v>
          </cell>
          <cell r="F4045">
            <v>11.84</v>
          </cell>
        </row>
        <row r="4046">
          <cell r="C4046" t="str">
            <v>Screenings</v>
          </cell>
        </row>
        <row r="4047">
          <cell r="C4047" t="str">
            <v>Binding material</v>
          </cell>
        </row>
        <row r="4048">
          <cell r="B4048" t="str">
            <v>Equipment</v>
          </cell>
          <cell r="C4048" t="str">
            <v>Road roller 8-10 M.T.</v>
          </cell>
          <cell r="F4048">
            <v>721</v>
          </cell>
        </row>
        <row r="4049">
          <cell r="B4049" t="str">
            <v>Rate analysis for : 1.00 Sqm.</v>
          </cell>
        </row>
        <row r="4054">
          <cell r="A4054">
            <v>15.08</v>
          </cell>
          <cell r="B4054" t="str">
            <v>O4(15-10C)</v>
          </cell>
          <cell r="C4054" t="str">
            <v xml:space="preserve">25 cm. compact sub grade laying work with proper size crushed/stone ballast gravel, load unload &amp; proper levelling. </v>
          </cell>
          <cell r="F4054" t="str">
            <v>Sqm.</v>
          </cell>
        </row>
        <row r="4055">
          <cell r="B4055" t="str">
            <v>Resources</v>
          </cell>
          <cell r="C4055" t="str">
            <v>Level/Type</v>
          </cell>
          <cell r="F4055" t="str">
            <v>Rate</v>
          </cell>
        </row>
        <row r="4056">
          <cell r="B4056" t="str">
            <v>Labours</v>
          </cell>
          <cell r="C4056" t="str">
            <v>Unskilled</v>
          </cell>
          <cell r="F4056">
            <v>350</v>
          </cell>
        </row>
        <row r="4057">
          <cell r="B4057" t="str">
            <v>Material</v>
          </cell>
          <cell r="C4057" t="str">
            <v>Coarse aggrigate</v>
          </cell>
          <cell r="F4057">
            <v>11.84</v>
          </cell>
        </row>
        <row r="4058">
          <cell r="C4058" t="str">
            <v>Screenings</v>
          </cell>
        </row>
        <row r="4059">
          <cell r="C4059" t="str">
            <v>Binding material</v>
          </cell>
        </row>
        <row r="4060">
          <cell r="B4060" t="str">
            <v>Equipment</v>
          </cell>
          <cell r="C4060" t="str">
            <v>Road roller 8-10 M.T.</v>
          </cell>
          <cell r="F4060">
            <v>721</v>
          </cell>
        </row>
        <row r="4061">
          <cell r="B4061" t="str">
            <v>Rate analysis for : 1.00 Sqm.</v>
          </cell>
        </row>
        <row r="4066">
          <cell r="A4066">
            <v>15.09</v>
          </cell>
          <cell r="B4066" t="str">
            <v>O5(15-13)</v>
          </cell>
          <cell r="C4066" t="str">
            <v xml:space="preserve">10 cm. compact base course laying work with proper size crushed/stone ballast gravel, load unload &amp; proper levelling. </v>
          </cell>
          <cell r="F4066" t="str">
            <v>Sqm.</v>
          </cell>
        </row>
        <row r="4067">
          <cell r="B4067" t="str">
            <v>Resources</v>
          </cell>
          <cell r="C4067" t="str">
            <v>Level/Type</v>
          </cell>
          <cell r="F4067" t="str">
            <v>Rate</v>
          </cell>
        </row>
        <row r="4068">
          <cell r="B4068" t="str">
            <v>Labours</v>
          </cell>
          <cell r="C4068" t="str">
            <v>Unskilled</v>
          </cell>
          <cell r="F4068">
            <v>350</v>
          </cell>
        </row>
        <row r="4069">
          <cell r="B4069" t="str">
            <v>Material</v>
          </cell>
          <cell r="C4069" t="str">
            <v>Coarse aggrigate 75 mm</v>
          </cell>
          <cell r="F4069">
            <v>11.84</v>
          </cell>
        </row>
        <row r="4070">
          <cell r="C4070" t="str">
            <v>Coarse aggrigate 50 mm</v>
          </cell>
        </row>
        <row r="4071">
          <cell r="B4071" t="str">
            <v>Equipment</v>
          </cell>
          <cell r="C4071" t="str">
            <v>Road roller 8-10 M.T.</v>
          </cell>
          <cell r="F4071">
            <v>721</v>
          </cell>
        </row>
        <row r="4072">
          <cell r="B4072" t="str">
            <v>Rate analysis for : 1.00 Sqm.</v>
          </cell>
        </row>
        <row r="4084">
          <cell r="A4084">
            <v>15.1</v>
          </cell>
          <cell r="B4084" t="str">
            <v>O6(15-17B)</v>
          </cell>
          <cell r="C4084" t="str">
            <v>Tack coat laying work on base course by boiler sprayer</v>
          </cell>
          <cell r="F4084" t="str">
            <v>Sqm.</v>
          </cell>
        </row>
        <row r="4085">
          <cell r="B4085" t="str">
            <v>Resources</v>
          </cell>
          <cell r="C4085" t="str">
            <v>Level/Type</v>
          </cell>
          <cell r="F4085" t="str">
            <v>Rate</v>
          </cell>
        </row>
        <row r="4086">
          <cell r="B4086" t="str">
            <v>Labours</v>
          </cell>
          <cell r="C4086" t="str">
            <v>Unskilled</v>
          </cell>
          <cell r="F4086">
            <v>350</v>
          </cell>
        </row>
        <row r="4087">
          <cell r="B4087" t="str">
            <v>Material</v>
          </cell>
          <cell r="C4087" t="str">
            <v>Bitumin</v>
          </cell>
          <cell r="F4087">
            <v>123.6</v>
          </cell>
        </row>
        <row r="4088">
          <cell r="C4088" t="str">
            <v>Kerosine oil</v>
          </cell>
        </row>
        <row r="4089">
          <cell r="C4089" t="str">
            <v xml:space="preserve">Fire wood </v>
          </cell>
        </row>
        <row r="4090">
          <cell r="B4090" t="str">
            <v>Equipment</v>
          </cell>
          <cell r="C4090" t="str">
            <v>Boiler sprayer</v>
          </cell>
          <cell r="F4090">
            <v>0.51</v>
          </cell>
        </row>
        <row r="4091">
          <cell r="B4091" t="str">
            <v>Rate analysis for : 10.00 Sqm.</v>
          </cell>
        </row>
        <row r="4096">
          <cell r="A4096">
            <v>15.11</v>
          </cell>
          <cell r="B4096" t="str">
            <v>O6(15-17B)</v>
          </cell>
          <cell r="C4096" t="str">
            <v>Tack coat laying work on base course by open chullo for mas work</v>
          </cell>
          <cell r="F4096" t="str">
            <v>Sqm.</v>
          </cell>
        </row>
        <row r="4097">
          <cell r="B4097" t="str">
            <v>Resources</v>
          </cell>
          <cell r="C4097" t="str">
            <v>Level/Type</v>
          </cell>
          <cell r="F4097" t="str">
            <v>Rate</v>
          </cell>
        </row>
        <row r="4098">
          <cell r="B4098" t="str">
            <v>Labours</v>
          </cell>
          <cell r="C4098" t="str">
            <v>Unskilled</v>
          </cell>
          <cell r="F4098">
            <v>350</v>
          </cell>
        </row>
        <row r="4099">
          <cell r="B4099" t="str">
            <v>Material</v>
          </cell>
          <cell r="C4099" t="str">
            <v>Bitumin</v>
          </cell>
          <cell r="F4099">
            <v>123.6</v>
          </cell>
        </row>
        <row r="4100">
          <cell r="C4100" t="str">
            <v xml:space="preserve">Fire wood </v>
          </cell>
        </row>
        <row r="4101">
          <cell r="B4101" t="str">
            <v>Rate analysis for : 10.00 Sqm.</v>
          </cell>
        </row>
        <row r="4106">
          <cell r="A4106">
            <v>15.12</v>
          </cell>
          <cell r="B4106" t="str">
            <v>O6(15-17B)</v>
          </cell>
          <cell r="C4106" t="str">
            <v>Tack coat laying work on base course by open chullo for patch work</v>
          </cell>
          <cell r="F4106" t="str">
            <v>Sqm.</v>
          </cell>
        </row>
        <row r="4107">
          <cell r="B4107" t="str">
            <v>Resources</v>
          </cell>
          <cell r="C4107" t="str">
            <v>Level/Type</v>
          </cell>
          <cell r="F4107" t="str">
            <v>Rate</v>
          </cell>
        </row>
        <row r="4108">
          <cell r="B4108" t="str">
            <v>Labours</v>
          </cell>
          <cell r="C4108" t="str">
            <v>Unskilled</v>
          </cell>
          <cell r="F4108">
            <v>350</v>
          </cell>
        </row>
        <row r="4109">
          <cell r="B4109" t="str">
            <v>Material</v>
          </cell>
          <cell r="C4109" t="str">
            <v>Bitumin</v>
          </cell>
          <cell r="F4109">
            <v>123.6</v>
          </cell>
        </row>
        <row r="4110">
          <cell r="C4110" t="str">
            <v xml:space="preserve">Fire wood </v>
          </cell>
        </row>
        <row r="4111">
          <cell r="B4111" t="str">
            <v>Rate analysis for : 10.00 Sqm.</v>
          </cell>
        </row>
        <row r="4116">
          <cell r="A4116">
            <v>15.13</v>
          </cell>
          <cell r="B4116" t="str">
            <v>O7(15-18B)</v>
          </cell>
          <cell r="C4116" t="str">
            <v>Prime coat laying work on base course by boiler sprayer</v>
          </cell>
          <cell r="F4116" t="str">
            <v>Sqm.</v>
          </cell>
        </row>
        <row r="4117">
          <cell r="B4117" t="str">
            <v>Resources</v>
          </cell>
          <cell r="C4117" t="str">
            <v>Level/Type</v>
          </cell>
          <cell r="F4117" t="str">
            <v>Rate</v>
          </cell>
        </row>
        <row r="4118">
          <cell r="B4118" t="str">
            <v>Labours</v>
          </cell>
          <cell r="C4118" t="str">
            <v>Unskilled</v>
          </cell>
          <cell r="F4118">
            <v>350</v>
          </cell>
        </row>
        <row r="4119">
          <cell r="B4119" t="str">
            <v>Material</v>
          </cell>
          <cell r="C4119" t="str">
            <v>Bitumin</v>
          </cell>
          <cell r="F4119">
            <v>123.6</v>
          </cell>
        </row>
        <row r="4120">
          <cell r="C4120" t="str">
            <v>Kerosine oil</v>
          </cell>
        </row>
        <row r="4121">
          <cell r="C4121" t="str">
            <v>Fire wood</v>
          </cell>
        </row>
        <row r="4122">
          <cell r="B4122" t="str">
            <v>Equipment</v>
          </cell>
          <cell r="C4122" t="str">
            <v>Boiler sprayer</v>
          </cell>
          <cell r="F4122">
            <v>0.51</v>
          </cell>
        </row>
        <row r="4123">
          <cell r="B4123" t="str">
            <v>Rate analysis for : 10.00 Sqm.</v>
          </cell>
        </row>
        <row r="4128">
          <cell r="A4128">
            <v>15.14</v>
          </cell>
          <cell r="B4128" t="str">
            <v>O7(15-18B)</v>
          </cell>
          <cell r="C4128" t="str">
            <v>Prime coat laying work on base course by open chullo for mas work</v>
          </cell>
          <cell r="F4128" t="str">
            <v>Sqm.</v>
          </cell>
        </row>
        <row r="4129">
          <cell r="B4129" t="str">
            <v>Resources</v>
          </cell>
          <cell r="C4129" t="str">
            <v>Level/Type</v>
          </cell>
          <cell r="F4129" t="str">
            <v>Rate</v>
          </cell>
        </row>
        <row r="4130">
          <cell r="B4130" t="str">
            <v>Labours</v>
          </cell>
          <cell r="C4130" t="str">
            <v>Unskilled</v>
          </cell>
          <cell r="F4130">
            <v>350</v>
          </cell>
        </row>
        <row r="4131">
          <cell r="B4131" t="str">
            <v>Material</v>
          </cell>
          <cell r="C4131" t="str">
            <v>Bitumin</v>
          </cell>
          <cell r="F4131">
            <v>123.6</v>
          </cell>
        </row>
        <row r="4132">
          <cell r="C4132" t="str">
            <v>Fire wood</v>
          </cell>
        </row>
        <row r="4133">
          <cell r="B4133" t="str">
            <v>Rate analysis for : 10.00 Sqm.</v>
          </cell>
        </row>
        <row r="4138">
          <cell r="A4138">
            <v>15.15</v>
          </cell>
          <cell r="B4138" t="str">
            <v>O7(15-18B)</v>
          </cell>
          <cell r="C4138" t="str">
            <v>Prime coat laying work on base course by open chullo for patch work</v>
          </cell>
          <cell r="F4138" t="str">
            <v>Sqm.</v>
          </cell>
        </row>
        <row r="4139">
          <cell r="B4139" t="str">
            <v>Resources</v>
          </cell>
          <cell r="C4139" t="str">
            <v>Level/Type</v>
          </cell>
          <cell r="F4139" t="str">
            <v>Rate</v>
          </cell>
        </row>
        <row r="4140">
          <cell r="B4140" t="str">
            <v>Labours</v>
          </cell>
          <cell r="C4140" t="str">
            <v>Unskilled</v>
          </cell>
          <cell r="F4140">
            <v>350</v>
          </cell>
        </row>
        <row r="4141">
          <cell r="B4141" t="str">
            <v>Material</v>
          </cell>
          <cell r="C4141" t="str">
            <v>Bitumin</v>
          </cell>
          <cell r="F4141">
            <v>123.6</v>
          </cell>
        </row>
        <row r="4142">
          <cell r="C4142" t="str">
            <v>Fire wood</v>
          </cell>
        </row>
        <row r="4143">
          <cell r="B4143" t="str">
            <v>Rate analysis for : 10.00 Sqm.</v>
          </cell>
        </row>
        <row r="4148">
          <cell r="A4148">
            <v>15.16</v>
          </cell>
          <cell r="B4148" t="str">
            <v>(15-19)</v>
          </cell>
          <cell r="C4148" t="str">
            <v>One coat surface dressing work with compaction by boiler sprayer</v>
          </cell>
          <cell r="F4148" t="str">
            <v>Sqm.</v>
          </cell>
        </row>
        <row r="4149">
          <cell r="B4149" t="str">
            <v>Resources</v>
          </cell>
          <cell r="C4149" t="str">
            <v>Level/Type</v>
          </cell>
          <cell r="F4149" t="str">
            <v>Rate</v>
          </cell>
        </row>
        <row r="4150">
          <cell r="B4150" t="str">
            <v>Labours</v>
          </cell>
          <cell r="C4150" t="str">
            <v>Unskilled</v>
          </cell>
          <cell r="F4150">
            <v>350</v>
          </cell>
        </row>
        <row r="4151">
          <cell r="B4151" t="str">
            <v>Material</v>
          </cell>
          <cell r="C4151" t="str">
            <v>Bitumin</v>
          </cell>
          <cell r="F4151">
            <v>123.6</v>
          </cell>
        </row>
        <row r="4152">
          <cell r="C4152" t="str">
            <v>Kerosine oil</v>
          </cell>
        </row>
        <row r="4153">
          <cell r="C4153" t="str">
            <v xml:space="preserve">Fire wood </v>
          </cell>
        </row>
        <row r="4154">
          <cell r="C4154" t="str">
            <v>12 mm aggrigate</v>
          </cell>
        </row>
        <row r="4155">
          <cell r="B4155" t="str">
            <v>Equipment</v>
          </cell>
          <cell r="C4155" t="str">
            <v>Road roller</v>
          </cell>
        </row>
        <row r="4156">
          <cell r="C4156" t="str">
            <v>Boiler sprayer</v>
          </cell>
          <cell r="F4156">
            <v>0.51</v>
          </cell>
        </row>
        <row r="4157">
          <cell r="B4157" t="str">
            <v>Rate analysis for : 10.00 Sqm.</v>
          </cell>
        </row>
        <row r="4162">
          <cell r="A4162">
            <v>15.17</v>
          </cell>
          <cell r="B4162" t="str">
            <v>(15-19)</v>
          </cell>
          <cell r="C4162" t="str">
            <v>One coat surface dressing work with compaction by open chullo for mas work</v>
          </cell>
          <cell r="F4162" t="str">
            <v>Sqm.</v>
          </cell>
        </row>
        <row r="4163">
          <cell r="B4163" t="str">
            <v>Resources</v>
          </cell>
          <cell r="C4163" t="str">
            <v>Level/Type</v>
          </cell>
          <cell r="F4163" t="str">
            <v>Rate</v>
          </cell>
        </row>
        <row r="4164">
          <cell r="B4164" t="str">
            <v>Labours</v>
          </cell>
          <cell r="C4164" t="str">
            <v>Unskilled</v>
          </cell>
          <cell r="F4164">
            <v>350</v>
          </cell>
        </row>
        <row r="4165">
          <cell r="B4165" t="str">
            <v>Material</v>
          </cell>
          <cell r="C4165" t="str">
            <v>Bitumin</v>
          </cell>
          <cell r="F4165">
            <v>123.6</v>
          </cell>
        </row>
        <row r="4166">
          <cell r="C4166" t="str">
            <v xml:space="preserve">Fire wood </v>
          </cell>
        </row>
        <row r="4167">
          <cell r="C4167" t="str">
            <v>12 mm aggrigate</v>
          </cell>
        </row>
        <row r="4168">
          <cell r="B4168" t="str">
            <v>Equipment</v>
          </cell>
          <cell r="C4168" t="str">
            <v>Road roller</v>
          </cell>
        </row>
        <row r="4169">
          <cell r="B4169" t="str">
            <v>Rate analysis for : 10.00 Sqm.</v>
          </cell>
        </row>
        <row r="4174">
          <cell r="A4174">
            <v>15.18</v>
          </cell>
          <cell r="B4174" t="str">
            <v>(15-19)</v>
          </cell>
          <cell r="C4174" t="str">
            <v>One coat surface dressing work with compaction by open chullo for patch work</v>
          </cell>
          <cell r="F4174" t="str">
            <v>Sqm.</v>
          </cell>
        </row>
        <row r="4175">
          <cell r="B4175" t="str">
            <v>Resources</v>
          </cell>
          <cell r="C4175" t="str">
            <v>Level/Type</v>
          </cell>
          <cell r="F4175" t="str">
            <v>Rate</v>
          </cell>
        </row>
        <row r="4176">
          <cell r="B4176" t="str">
            <v>Labours</v>
          </cell>
          <cell r="C4176" t="str">
            <v>Unskilled</v>
          </cell>
          <cell r="F4176">
            <v>350</v>
          </cell>
        </row>
        <row r="4177">
          <cell r="B4177" t="str">
            <v>Material</v>
          </cell>
          <cell r="C4177" t="str">
            <v>Bitumin</v>
          </cell>
          <cell r="F4177">
            <v>123.6</v>
          </cell>
        </row>
        <row r="4178">
          <cell r="C4178" t="str">
            <v>Fire wood</v>
          </cell>
        </row>
        <row r="4179">
          <cell r="C4179" t="str">
            <v>12 mm aggrigate</v>
          </cell>
        </row>
        <row r="4180">
          <cell r="B4180" t="str">
            <v>Equipment</v>
          </cell>
          <cell r="C4180" t="str">
            <v>Road roller</v>
          </cell>
        </row>
        <row r="4181">
          <cell r="B4181" t="str">
            <v>Rate analysis for : 10.00 Sqm.</v>
          </cell>
        </row>
        <row r="4193">
          <cell r="A4193">
            <v>15.19</v>
          </cell>
          <cell r="B4193" t="str">
            <v>(15-19)</v>
          </cell>
          <cell r="C4193" t="str">
            <v>Two coat surface dressing work with compaction by boiler sprayer</v>
          </cell>
          <cell r="F4193" t="str">
            <v>Sqm.</v>
          </cell>
        </row>
        <row r="4194">
          <cell r="B4194" t="str">
            <v>Resources</v>
          </cell>
          <cell r="C4194" t="str">
            <v>Level/Type</v>
          </cell>
          <cell r="F4194" t="str">
            <v>Rate</v>
          </cell>
        </row>
        <row r="4195">
          <cell r="B4195" t="str">
            <v>Labours</v>
          </cell>
          <cell r="C4195" t="str">
            <v>Unskilled</v>
          </cell>
          <cell r="F4195">
            <v>350</v>
          </cell>
        </row>
        <row r="4196">
          <cell r="B4196" t="str">
            <v>Material</v>
          </cell>
          <cell r="C4196" t="str">
            <v>Bitumin</v>
          </cell>
          <cell r="F4196">
            <v>123.6</v>
          </cell>
        </row>
        <row r="4197">
          <cell r="C4197" t="str">
            <v>Kerosine oil</v>
          </cell>
        </row>
        <row r="4198">
          <cell r="C4198" t="str">
            <v>Fire wood</v>
          </cell>
        </row>
        <row r="4199">
          <cell r="C4199" t="str">
            <v>12 mm aggrigate</v>
          </cell>
        </row>
        <row r="4200">
          <cell r="C4200" t="str">
            <v>10 mm aggrigate</v>
          </cell>
        </row>
        <row r="4201">
          <cell r="B4201" t="str">
            <v>Equipment</v>
          </cell>
          <cell r="C4201" t="str">
            <v>Road roller</v>
          </cell>
        </row>
        <row r="4202">
          <cell r="C4202" t="str">
            <v>Boiler sprayer</v>
          </cell>
          <cell r="F4202">
            <v>0.51</v>
          </cell>
        </row>
        <row r="4203">
          <cell r="B4203" t="str">
            <v>Rate analysis for : 10.00 Sqm.</v>
          </cell>
        </row>
        <row r="4208">
          <cell r="A4208">
            <v>15.2</v>
          </cell>
          <cell r="B4208" t="str">
            <v>(15-19)</v>
          </cell>
          <cell r="C4208" t="str">
            <v>Two coat surface dressing work with compaction by open chullo for mas work</v>
          </cell>
          <cell r="F4208" t="str">
            <v>Sqm.</v>
          </cell>
        </row>
        <row r="4209">
          <cell r="B4209" t="str">
            <v>Resources</v>
          </cell>
          <cell r="C4209" t="str">
            <v>Level/Type</v>
          </cell>
          <cell r="F4209" t="str">
            <v>Rate</v>
          </cell>
        </row>
        <row r="4210">
          <cell r="B4210" t="str">
            <v>Labours</v>
          </cell>
          <cell r="C4210" t="str">
            <v>Unskilled</v>
          </cell>
          <cell r="F4210">
            <v>350</v>
          </cell>
        </row>
        <row r="4211">
          <cell r="B4211" t="str">
            <v>Material</v>
          </cell>
          <cell r="C4211" t="str">
            <v>Bitumin</v>
          </cell>
          <cell r="F4211">
            <v>123.6</v>
          </cell>
        </row>
        <row r="4212">
          <cell r="C4212" t="str">
            <v>Fire wood</v>
          </cell>
        </row>
        <row r="4213">
          <cell r="C4213" t="str">
            <v>12 mm aggrigate</v>
          </cell>
        </row>
        <row r="4214">
          <cell r="C4214" t="str">
            <v>10 mm aggrigate</v>
          </cell>
        </row>
        <row r="4215">
          <cell r="B4215" t="str">
            <v>Equipment</v>
          </cell>
          <cell r="C4215" t="str">
            <v>Road roller</v>
          </cell>
        </row>
        <row r="4216">
          <cell r="B4216" t="str">
            <v>Rate analysis for : 10.00 Sqm.</v>
          </cell>
        </row>
        <row r="4221">
          <cell r="A4221">
            <v>15.21</v>
          </cell>
          <cell r="B4221" t="str">
            <v>(15-19)</v>
          </cell>
          <cell r="C4221" t="str">
            <v>Two coat surface dressing work with compaction by open chullo for patch work</v>
          </cell>
          <cell r="F4221" t="str">
            <v>Sqm.</v>
          </cell>
        </row>
        <row r="4222">
          <cell r="B4222" t="str">
            <v>Resources</v>
          </cell>
          <cell r="C4222" t="str">
            <v>Level/Type</v>
          </cell>
          <cell r="F4222" t="str">
            <v>Rate</v>
          </cell>
        </row>
        <row r="4223">
          <cell r="B4223" t="str">
            <v>Labours</v>
          </cell>
          <cell r="C4223" t="str">
            <v>Unskilled</v>
          </cell>
          <cell r="F4223">
            <v>350</v>
          </cell>
        </row>
        <row r="4224">
          <cell r="B4224" t="str">
            <v>Material</v>
          </cell>
          <cell r="C4224" t="str">
            <v>Bitumin</v>
          </cell>
          <cell r="F4224">
            <v>123.6</v>
          </cell>
        </row>
        <row r="4225">
          <cell r="C4225" t="str">
            <v>Fire wood</v>
          </cell>
        </row>
        <row r="4226">
          <cell r="C4226" t="str">
            <v>12 mm aggrigate</v>
          </cell>
        </row>
        <row r="4227">
          <cell r="C4227" t="str">
            <v>10 mm aggrigate</v>
          </cell>
        </row>
        <row r="4228">
          <cell r="B4228" t="str">
            <v>Equipment</v>
          </cell>
          <cell r="C4228" t="str">
            <v>Road roller</v>
          </cell>
        </row>
        <row r="4229">
          <cell r="B4229" t="str">
            <v>Rate analysis for : 10.00 Sqm.</v>
          </cell>
        </row>
        <row r="4234">
          <cell r="A4234">
            <v>15.22</v>
          </cell>
          <cell r="B4234" t="str">
            <v>(15-24)</v>
          </cell>
          <cell r="C4234" t="str">
            <v>40 mm thick premix asphalt concrete work with proper compaction by boiler sprayer</v>
          </cell>
          <cell r="F4234" t="str">
            <v>Sqm.</v>
          </cell>
        </row>
        <row r="4235">
          <cell r="B4235" t="str">
            <v>Resources</v>
          </cell>
          <cell r="C4235" t="str">
            <v>Level/Type</v>
          </cell>
          <cell r="F4235" t="str">
            <v>Rate</v>
          </cell>
        </row>
        <row r="4236">
          <cell r="B4236" t="str">
            <v>Labours</v>
          </cell>
          <cell r="C4236" t="str">
            <v>Unskilled</v>
          </cell>
          <cell r="F4236">
            <v>350</v>
          </cell>
        </row>
        <row r="4237">
          <cell r="B4237" t="str">
            <v>Material</v>
          </cell>
          <cell r="C4237" t="str">
            <v>Bitumin</v>
          </cell>
          <cell r="F4237">
            <v>123.6</v>
          </cell>
        </row>
        <row r="4238">
          <cell r="C4238" t="str">
            <v>Kerosine oil</v>
          </cell>
        </row>
        <row r="4239">
          <cell r="C4239" t="str">
            <v>Fire wood</v>
          </cell>
        </row>
        <row r="4240">
          <cell r="C4240" t="str">
            <v>20 mm aggrigate</v>
          </cell>
        </row>
        <row r="4241">
          <cell r="C4241" t="str">
            <v>12 mm aggrigate</v>
          </cell>
        </row>
        <row r="4242">
          <cell r="C4242" t="str">
            <v>Sand</v>
          </cell>
        </row>
        <row r="4243">
          <cell r="B4243" t="str">
            <v>Equipment</v>
          </cell>
          <cell r="C4243" t="str">
            <v>Road roller</v>
          </cell>
        </row>
        <row r="4244">
          <cell r="C4244" t="str">
            <v>Boiler sprayer</v>
          </cell>
          <cell r="F4244">
            <v>0.51</v>
          </cell>
        </row>
        <row r="4245">
          <cell r="C4245" t="str">
            <v>Mixture</v>
          </cell>
          <cell r="F4245">
            <v>297.67</v>
          </cell>
        </row>
        <row r="4246">
          <cell r="B4246" t="str">
            <v>Rate analysis for : 10.00 Sqm.</v>
          </cell>
        </row>
        <row r="4251">
          <cell r="A4251">
            <v>15.23</v>
          </cell>
          <cell r="B4251" t="str">
            <v>(15-24)</v>
          </cell>
          <cell r="C4251" t="str">
            <v>40 mm thick premix asphalt concrete work with proper compaction by open chullo mass work</v>
          </cell>
          <cell r="F4251" t="str">
            <v>Sqm.</v>
          </cell>
        </row>
        <row r="4252">
          <cell r="B4252" t="str">
            <v>Resources</v>
          </cell>
          <cell r="C4252" t="str">
            <v>Level/Type</v>
          </cell>
          <cell r="F4252" t="str">
            <v>Rate</v>
          </cell>
        </row>
        <row r="4253">
          <cell r="B4253" t="str">
            <v>Labours</v>
          </cell>
          <cell r="C4253" t="str">
            <v>Unskilled</v>
          </cell>
          <cell r="F4253">
            <v>350</v>
          </cell>
        </row>
        <row r="4254">
          <cell r="B4254" t="str">
            <v>Material</v>
          </cell>
          <cell r="C4254" t="str">
            <v>Bitumin</v>
          </cell>
          <cell r="F4254">
            <v>123.6</v>
          </cell>
        </row>
        <row r="4255">
          <cell r="C4255" t="str">
            <v>Kerosine oil</v>
          </cell>
        </row>
        <row r="4256">
          <cell r="C4256" t="str">
            <v>Fire wood</v>
          </cell>
        </row>
        <row r="4257">
          <cell r="C4257" t="str">
            <v>20 mm aggrigate</v>
          </cell>
        </row>
        <row r="4258">
          <cell r="C4258" t="str">
            <v>12 mm aggrigate</v>
          </cell>
        </row>
        <row r="4259">
          <cell r="C4259" t="str">
            <v>Sand</v>
          </cell>
        </row>
        <row r="4260">
          <cell r="B4260" t="str">
            <v>Equipment</v>
          </cell>
          <cell r="C4260" t="str">
            <v>Road roller</v>
          </cell>
        </row>
        <row r="4261">
          <cell r="C4261" t="str">
            <v>Mixture</v>
          </cell>
          <cell r="F4261">
            <v>297.67</v>
          </cell>
        </row>
        <row r="4262">
          <cell r="B4262" t="str">
            <v>Rate analysis for : 10.00 Sqm.</v>
          </cell>
        </row>
        <row r="4267">
          <cell r="A4267">
            <v>15.24</v>
          </cell>
          <cell r="B4267" t="str">
            <v>(15-24)</v>
          </cell>
          <cell r="C4267" t="str">
            <v>40 mm thick premix asphalt concrete work with proper compaction by open chullo patch work</v>
          </cell>
          <cell r="F4267" t="str">
            <v>Sqm.</v>
          </cell>
        </row>
        <row r="4268">
          <cell r="B4268" t="str">
            <v>Resources</v>
          </cell>
          <cell r="C4268" t="str">
            <v>Level/Type</v>
          </cell>
          <cell r="F4268" t="str">
            <v>Rate</v>
          </cell>
        </row>
        <row r="4269">
          <cell r="B4269" t="str">
            <v>Labours</v>
          </cell>
          <cell r="C4269" t="str">
            <v>Unskilled</v>
          </cell>
          <cell r="F4269">
            <v>350</v>
          </cell>
        </row>
        <row r="4270">
          <cell r="B4270" t="str">
            <v>Material</v>
          </cell>
          <cell r="C4270" t="str">
            <v>Bitumin</v>
          </cell>
          <cell r="F4270">
            <v>123.6</v>
          </cell>
        </row>
        <row r="4271">
          <cell r="C4271" t="str">
            <v>Kerosine oil</v>
          </cell>
        </row>
        <row r="4272">
          <cell r="C4272" t="str">
            <v>Fire wood</v>
          </cell>
        </row>
        <row r="4273">
          <cell r="C4273" t="str">
            <v>20 mm aggrigate</v>
          </cell>
        </row>
        <row r="4274">
          <cell r="C4274" t="str">
            <v>12 mm aggrigate</v>
          </cell>
        </row>
        <row r="4275">
          <cell r="C4275" t="str">
            <v>Sand</v>
          </cell>
        </row>
        <row r="4276">
          <cell r="B4276" t="str">
            <v>Equipment</v>
          </cell>
          <cell r="C4276" t="str">
            <v>Road roller</v>
          </cell>
        </row>
        <row r="4277">
          <cell r="C4277" t="str">
            <v>Mixture</v>
          </cell>
          <cell r="F4277">
            <v>297.67</v>
          </cell>
        </row>
        <row r="4278">
          <cell r="B4278" t="str">
            <v>Rate analysis for : 10.00 Sqm.</v>
          </cell>
        </row>
        <row r="4309">
          <cell r="A4309" t="str">
            <v>25 Misclenious  WORK</v>
          </cell>
        </row>
        <row r="4311">
          <cell r="A4311">
            <v>25.01</v>
          </cell>
          <cell r="C4311" t="str">
            <v>Alluminium framed Sliding window Without ventilator and without Mosquito Net ( Aluminium :- Natural anodised 88mmx38mm x1.3mm , Glass 5mm clear)</v>
          </cell>
          <cell r="F4311" t="str">
            <v>Sqm.</v>
          </cell>
        </row>
        <row r="4312">
          <cell r="B4312" t="str">
            <v>Resources</v>
          </cell>
          <cell r="C4312" t="str">
            <v>Level/Type</v>
          </cell>
          <cell r="F4312" t="str">
            <v>Rate</v>
          </cell>
        </row>
        <row r="4313">
          <cell r="B4313" t="str">
            <v>Labour</v>
          </cell>
          <cell r="C4313" t="str">
            <v>Skilled</v>
          </cell>
          <cell r="F4313">
            <v>600</v>
          </cell>
        </row>
        <row r="4314">
          <cell r="C4314" t="str">
            <v>Unskilled</v>
          </cell>
          <cell r="F4314">
            <v>350</v>
          </cell>
        </row>
        <row r="4315">
          <cell r="B4315" t="str">
            <v>Materials</v>
          </cell>
          <cell r="C4315" t="str">
            <v>Alluminium framed Sliding window Without ventilator and without Mosquito Net ( Aluminium :- Natural anodised 88mmx38mm x1.3mm , Glass 5mm clear)</v>
          </cell>
          <cell r="F4315">
            <v>4995.5</v>
          </cell>
        </row>
        <row r="4316">
          <cell r="B4316" t="str">
            <v>Rate analysis for : 1.00 Sqm.</v>
          </cell>
        </row>
        <row r="4321">
          <cell r="A4321">
            <v>25.02</v>
          </cell>
          <cell r="C4321" t="str">
            <v>Alluminium framed Sliding window With ventilator but  without Mosquito Net ( Aluminium :- Natural anodised 88mmx38mm x1.3mm , Glass 5mm clear)</v>
          </cell>
          <cell r="F4321" t="str">
            <v>Sqm.</v>
          </cell>
        </row>
        <row r="4322">
          <cell r="B4322" t="str">
            <v>Resources</v>
          </cell>
          <cell r="C4322" t="str">
            <v>Level/Type</v>
          </cell>
          <cell r="F4322" t="str">
            <v>Rate</v>
          </cell>
        </row>
        <row r="4323">
          <cell r="B4323" t="str">
            <v>Labour</v>
          </cell>
          <cell r="C4323" t="str">
            <v>Skilled</v>
          </cell>
          <cell r="F4323">
            <v>600</v>
          </cell>
        </row>
        <row r="4324">
          <cell r="C4324" t="str">
            <v>Unskilled</v>
          </cell>
          <cell r="F4324">
            <v>350</v>
          </cell>
        </row>
        <row r="4325">
          <cell r="B4325" t="str">
            <v>Materials</v>
          </cell>
          <cell r="C4325" t="str">
            <v>Alluminium framed Sliding window With ventilator but  without Mosquito Net ( Aluminium :- Natural anodised 88mmx38mm x1.3mm , Glass 5mm clear)</v>
          </cell>
          <cell r="F4325">
            <v>5150</v>
          </cell>
        </row>
        <row r="4326">
          <cell r="B4326" t="str">
            <v>Rate analysis for : 1.00 Sqm.</v>
          </cell>
        </row>
        <row r="4331">
          <cell r="A4331">
            <v>25.03</v>
          </cell>
          <cell r="C4331" t="str">
            <v>Alluminium framed Sliding window Without ventilator and with  Mosquito Net ( Aluminium :- Natural anodised 101mmx38mm x1.3mm , Glass 5mm clear)</v>
          </cell>
          <cell r="F4331" t="str">
            <v>Sqm.</v>
          </cell>
        </row>
        <row r="4332">
          <cell r="B4332" t="str">
            <v>Resources</v>
          </cell>
          <cell r="C4332" t="str">
            <v>Level/Type</v>
          </cell>
          <cell r="F4332" t="str">
            <v>Rate</v>
          </cell>
        </row>
        <row r="4333">
          <cell r="B4333" t="str">
            <v>Labour</v>
          </cell>
          <cell r="C4333" t="str">
            <v>Skilled</v>
          </cell>
          <cell r="F4333">
            <v>600</v>
          </cell>
        </row>
        <row r="4334">
          <cell r="C4334" t="str">
            <v>Unskilled</v>
          </cell>
          <cell r="F4334">
            <v>350</v>
          </cell>
        </row>
        <row r="4335">
          <cell r="B4335" t="str">
            <v>Materials</v>
          </cell>
          <cell r="C4335" t="str">
            <v>Alluminium framed Sliding window Without ventilator and with  Mosquito Net ( Aluminium :- Natural anodised 101mmx38mm x1.3mm , Glass 5mm clear)</v>
          </cell>
          <cell r="F4335">
            <v>5381.75</v>
          </cell>
        </row>
        <row r="4336">
          <cell r="B4336" t="str">
            <v>Rate analysis for : 1.00 Sqm.</v>
          </cell>
        </row>
        <row r="4348">
          <cell r="A4348">
            <v>25.04</v>
          </cell>
          <cell r="C4348" t="str">
            <v>Alluminium framed Sliding window With ventilator and  Mosquito Net ( Aluminium :- Natural anodised 101mmx38mm x1.3mm , Glass 5mm clear)</v>
          </cell>
          <cell r="F4348" t="str">
            <v>Sqm.</v>
          </cell>
        </row>
        <row r="4349">
          <cell r="B4349" t="str">
            <v>Resources</v>
          </cell>
          <cell r="C4349" t="str">
            <v>Level/Type</v>
          </cell>
          <cell r="F4349" t="str">
            <v>Rate</v>
          </cell>
        </row>
        <row r="4350">
          <cell r="B4350" t="str">
            <v>Labour</v>
          </cell>
          <cell r="C4350" t="str">
            <v>Skilled</v>
          </cell>
          <cell r="F4350">
            <v>600</v>
          </cell>
        </row>
        <row r="4351">
          <cell r="C4351" t="str">
            <v>Unskilled</v>
          </cell>
          <cell r="F4351">
            <v>350</v>
          </cell>
        </row>
        <row r="4352">
          <cell r="B4352" t="str">
            <v>Materials</v>
          </cell>
          <cell r="C4352" t="str">
            <v>Alluminium framed Sliding window With ventilator and  Mosquito Net ( Aluminium :- Natural anodised 101mmx38mm x1.3mm , Glass 5mm clear)</v>
          </cell>
          <cell r="F4352">
            <v>5484.75</v>
          </cell>
        </row>
        <row r="4353">
          <cell r="B4353" t="str">
            <v>Rate analysis for : 1.00 Sqm.</v>
          </cell>
        </row>
        <row r="4357">
          <cell r="A4357">
            <v>25.05</v>
          </cell>
          <cell r="C4357" t="str">
            <v>Alluminium framed Casement window With ventilator ( Aluminium :- Natural anodised 38mmx34mm x1.5mm , Glass 5mm clear)</v>
          </cell>
          <cell r="F4357" t="str">
            <v>Sqm.</v>
          </cell>
        </row>
        <row r="4358">
          <cell r="B4358" t="str">
            <v>Resources</v>
          </cell>
          <cell r="C4358" t="str">
            <v>Level/Type</v>
          </cell>
          <cell r="F4358" t="str">
            <v>Rate</v>
          </cell>
        </row>
        <row r="4359">
          <cell r="B4359" t="str">
            <v>Labour</v>
          </cell>
          <cell r="C4359" t="str">
            <v>Skilled</v>
          </cell>
          <cell r="F4359">
            <v>600</v>
          </cell>
        </row>
        <row r="4360">
          <cell r="C4360" t="str">
            <v>Unskilled</v>
          </cell>
          <cell r="F4360">
            <v>350</v>
          </cell>
        </row>
        <row r="4361">
          <cell r="B4361" t="str">
            <v>Materials</v>
          </cell>
          <cell r="C4361" t="str">
            <v>Alluminium framed Casement window With ventilator ( Aluminium :- Natural anodised 38mmx34mm x1.5mm , Glass 5mm clear)</v>
          </cell>
          <cell r="F4361">
            <v>5381.75</v>
          </cell>
        </row>
        <row r="4362">
          <cell r="B4362" t="str">
            <v>Rate analysis for : 1.00 Sqm.</v>
          </cell>
        </row>
        <row r="4367">
          <cell r="A4367">
            <v>25.06</v>
          </cell>
          <cell r="C4367" t="str">
            <v xml:space="preserve">Alluminium framed Sliding Door ( Aluminium :- Natural anodised 101mmx45mm x1.5mm , Glass 5mm clear , board : 9mm Laminated </v>
          </cell>
          <cell r="F4367" t="str">
            <v>Sqm.</v>
          </cell>
        </row>
        <row r="4368">
          <cell r="B4368" t="str">
            <v>Resources</v>
          </cell>
          <cell r="C4368" t="str">
            <v>Level/Type</v>
          </cell>
          <cell r="F4368" t="str">
            <v>Rate</v>
          </cell>
        </row>
        <row r="4369">
          <cell r="B4369" t="str">
            <v>Labour</v>
          </cell>
          <cell r="C4369" t="str">
            <v>Skilled</v>
          </cell>
          <cell r="F4369">
            <v>600</v>
          </cell>
        </row>
        <row r="4370">
          <cell r="C4370" t="str">
            <v>Unskilled</v>
          </cell>
          <cell r="F4370">
            <v>350</v>
          </cell>
        </row>
        <row r="4371">
          <cell r="B4371" t="str">
            <v>Materials</v>
          </cell>
          <cell r="C4371" t="str">
            <v xml:space="preserve">Alluminium framed Sliding Door ( Aluminium :- Natural anodised 101mmx45mm x1.5mm , Glass 5mm clear , board : 9mm Laminated </v>
          </cell>
          <cell r="F4371">
            <v>5150</v>
          </cell>
        </row>
        <row r="4372">
          <cell r="B4372" t="str">
            <v>Rate analysis for : 1.00 Sqm.</v>
          </cell>
        </row>
        <row r="4377">
          <cell r="A4377">
            <v>25.07</v>
          </cell>
          <cell r="C4377" t="str">
            <v xml:space="preserve">Alluminium framed Casement Door  (One -Way Openable )   ( Aluminium :- Natural anodised 101mmx45mm x1.5mm , Glass 5mm clear , board : 9mm Laminated </v>
          </cell>
          <cell r="F4377" t="str">
            <v>Sqm.</v>
          </cell>
        </row>
        <row r="4378">
          <cell r="B4378" t="str">
            <v>Resources</v>
          </cell>
          <cell r="C4378" t="str">
            <v>Level/Type</v>
          </cell>
          <cell r="F4378" t="str">
            <v>Rate</v>
          </cell>
        </row>
        <row r="4379">
          <cell r="B4379" t="str">
            <v>Labour</v>
          </cell>
          <cell r="C4379" t="str">
            <v>Skilled</v>
          </cell>
          <cell r="F4379">
            <v>600</v>
          </cell>
        </row>
        <row r="4380">
          <cell r="C4380" t="str">
            <v>Unskilled</v>
          </cell>
          <cell r="F4380">
            <v>350</v>
          </cell>
        </row>
        <row r="4381">
          <cell r="B4381" t="str">
            <v>Materials</v>
          </cell>
          <cell r="C4381" t="str">
            <v xml:space="preserve">Alluminium framed Casement Door  (One -Way Openable )   ( Aluminium :- Natural anodised 101mmx45mm x1.5mm , Glass 5mm clear , board : 9mm Laminated </v>
          </cell>
          <cell r="F4381">
            <v>5098.5</v>
          </cell>
        </row>
        <row r="4382">
          <cell r="B4382" t="str">
            <v>Rate analysis for : 1.00 Sqm.</v>
          </cell>
        </row>
        <row r="4386">
          <cell r="A4386">
            <v>25.08</v>
          </cell>
          <cell r="C4386" t="str">
            <v xml:space="preserve">Alluminium framed Swing Door  (Two  -Way Openable )   ( Aluminium :- Natural anodised 101mmx45mm x1.5mm , Glass 5mm clear , board : 9mm Laminated </v>
          </cell>
          <cell r="F4386" t="str">
            <v>Sqm.</v>
          </cell>
        </row>
        <row r="4387">
          <cell r="B4387" t="str">
            <v>Resources</v>
          </cell>
          <cell r="C4387" t="str">
            <v>Level/Type</v>
          </cell>
          <cell r="F4387" t="str">
            <v>Rate</v>
          </cell>
        </row>
        <row r="4388">
          <cell r="B4388" t="str">
            <v>Labour</v>
          </cell>
          <cell r="C4388" t="str">
            <v>Skilled</v>
          </cell>
          <cell r="F4388">
            <v>600</v>
          </cell>
        </row>
        <row r="4389">
          <cell r="C4389" t="str">
            <v>Unskilled</v>
          </cell>
          <cell r="F4389">
            <v>350</v>
          </cell>
        </row>
        <row r="4390">
          <cell r="B4390" t="str">
            <v>Materials</v>
          </cell>
          <cell r="C4390" t="str">
            <v xml:space="preserve">Alluminium framed Swing Door  (Two  -Way Openable )   ( Aluminium :- Natural anodised 101mmx45mm x1.5mm , Glass 5mm clear , board : 9mm Laminated </v>
          </cell>
          <cell r="F4390">
            <v>6658.95</v>
          </cell>
        </row>
        <row r="4391">
          <cell r="B4391" t="str">
            <v>Rate analysis for : 1.00 Sqm.</v>
          </cell>
        </row>
        <row r="4396">
          <cell r="A4396">
            <v>25.09</v>
          </cell>
          <cell r="C4396" t="str">
            <v xml:space="preserve">Alluminium framed fixed partition  ( Aluminium :- Natural anodised 101mmx45mm x1.5mm , Glass 5mm clear or board : 9mm Laminated </v>
          </cell>
          <cell r="F4396" t="str">
            <v>Sqm.</v>
          </cell>
        </row>
        <row r="4397">
          <cell r="B4397" t="str">
            <v>Resources</v>
          </cell>
          <cell r="C4397" t="str">
            <v>Level/Type</v>
          </cell>
          <cell r="F4397" t="str">
            <v>Rate</v>
          </cell>
        </row>
        <row r="4398">
          <cell r="B4398" t="str">
            <v>Labour</v>
          </cell>
          <cell r="C4398" t="str">
            <v>Skilled</v>
          </cell>
          <cell r="F4398">
            <v>600</v>
          </cell>
        </row>
        <row r="4399">
          <cell r="C4399" t="str">
            <v>Unskilled</v>
          </cell>
          <cell r="F4399">
            <v>350</v>
          </cell>
        </row>
        <row r="4400">
          <cell r="B4400" t="str">
            <v>Materials</v>
          </cell>
          <cell r="C4400" t="str">
            <v xml:space="preserve">Alluminium framed fixed partition  ( Aluminium :- Natural anodised 101mmx45mm x1.5mm , Glass 5mm clear or board : 9mm Laminated </v>
          </cell>
          <cell r="F4400">
            <v>3605</v>
          </cell>
        </row>
        <row r="4401">
          <cell r="B4401" t="str">
            <v>Rate analysis for : 1.00 Sqm.</v>
          </cell>
        </row>
        <row r="4406">
          <cell r="A4406">
            <v>25.1</v>
          </cell>
          <cell r="C4406" t="str">
            <v>Alluminium framed Sliding window Without ventilator and without  Mosquito Net ( Aluminium :- Natural anodised 78mmx35mm x1.2mm , Glass 5mm clear)</v>
          </cell>
          <cell r="F4406" t="str">
            <v>Sqm.</v>
          </cell>
        </row>
        <row r="4407">
          <cell r="B4407" t="str">
            <v>Resources</v>
          </cell>
          <cell r="C4407" t="str">
            <v>Level/Type</v>
          </cell>
          <cell r="F4407" t="str">
            <v>Rate</v>
          </cell>
        </row>
        <row r="4408">
          <cell r="B4408" t="str">
            <v>Labour</v>
          </cell>
          <cell r="C4408" t="str">
            <v>Skilled</v>
          </cell>
          <cell r="F4408">
            <v>600</v>
          </cell>
        </row>
        <row r="4409">
          <cell r="C4409" t="str">
            <v>Unskilled</v>
          </cell>
          <cell r="F4409">
            <v>350</v>
          </cell>
        </row>
        <row r="4410">
          <cell r="B4410" t="str">
            <v>Materials</v>
          </cell>
          <cell r="C4410" t="str">
            <v>Alluminium framed Sliding window Without ventilator and without  Mosquito Net ( Aluminium :- Natural anodised 78mmx35mm x1.2mm , Glass 5mm clear)</v>
          </cell>
          <cell r="F4410">
            <v>5098.5</v>
          </cell>
        </row>
        <row r="4411">
          <cell r="B4411" t="str">
            <v>Rate analysis for : 1.00 Sqm.</v>
          </cell>
        </row>
        <row r="4425">
          <cell r="A4425">
            <v>25.11</v>
          </cell>
          <cell r="C4425" t="str">
            <v>Alluminium framed Sliding window With ventilator and with Mosquito Net ( Aluminium :- Natural anodised 78mmx35mm x1.2mm , Glass 5mm clear)</v>
          </cell>
          <cell r="F4425" t="str">
            <v>Sqm.</v>
          </cell>
        </row>
        <row r="4426">
          <cell r="B4426" t="str">
            <v>Resources</v>
          </cell>
          <cell r="C4426" t="str">
            <v>Level/Type</v>
          </cell>
          <cell r="F4426" t="str">
            <v>Rate</v>
          </cell>
        </row>
        <row r="4427">
          <cell r="B4427" t="str">
            <v>Labour</v>
          </cell>
          <cell r="C4427" t="str">
            <v>Skilled</v>
          </cell>
          <cell r="F4427">
            <v>600</v>
          </cell>
        </row>
        <row r="4428">
          <cell r="C4428" t="str">
            <v>Unskilled</v>
          </cell>
          <cell r="F4428">
            <v>350</v>
          </cell>
        </row>
        <row r="4429">
          <cell r="B4429" t="str">
            <v>Materials</v>
          </cell>
          <cell r="C4429" t="str">
            <v>Alluminium framed Sliding window With ventilator and with Mosquito Net ( Aluminium :- Natural anodised 78mmx35mm x1.2mm , Glass 5mm clear)</v>
          </cell>
          <cell r="F4429">
            <v>7776.5</v>
          </cell>
        </row>
        <row r="4430">
          <cell r="B4430" t="str">
            <v>Rate analysis for : 1.00 Sqm.</v>
          </cell>
        </row>
        <row r="4435">
          <cell r="A4435">
            <v>25.12</v>
          </cell>
          <cell r="C4435" t="str">
            <v>False ceiling by Gypsum ,Gypsum Board : 12mm</v>
          </cell>
          <cell r="F4435" t="str">
            <v>Sqm.</v>
          </cell>
        </row>
        <row r="4436">
          <cell r="B4436" t="str">
            <v>Resources</v>
          </cell>
          <cell r="C4436" t="str">
            <v>Level/Type</v>
          </cell>
          <cell r="F4436" t="str">
            <v>Rate</v>
          </cell>
        </row>
        <row r="4437">
          <cell r="B4437" t="str">
            <v>Labour</v>
          </cell>
          <cell r="C4437" t="str">
            <v>Skilled</v>
          </cell>
          <cell r="F4437">
            <v>600</v>
          </cell>
        </row>
        <row r="4438">
          <cell r="C4438" t="str">
            <v>Unskilled</v>
          </cell>
          <cell r="F4438">
            <v>350</v>
          </cell>
        </row>
        <row r="4439">
          <cell r="B4439" t="str">
            <v>Materials</v>
          </cell>
          <cell r="C4439" t="str">
            <v>False ceiling by Gypsum ,Gypsum Board : 12mm</v>
          </cell>
          <cell r="F4439">
            <v>824</v>
          </cell>
        </row>
        <row r="4440">
          <cell r="B4440" t="str">
            <v>Rate analysis for : 1.00 Sqm.</v>
          </cell>
        </row>
        <row r="4476">
          <cell r="A4476">
            <v>25.13</v>
          </cell>
          <cell r="C4476" t="str">
            <v>Supplying, making, fixing suspended ceilling (for R.C.C.) plain ceiling.Providing fitting, fixing in posiotion G.I. Under frame, using GYPSTEEL brandedchannel fixing 9.0-12.5mm thick Gyp board or Boral Plaster board finishingo f joints with compound &amp; tap</v>
          </cell>
          <cell r="F4476" t="str">
            <v>Sqm.</v>
          </cell>
        </row>
        <row r="4477">
          <cell r="B4477" t="str">
            <v>Resources</v>
          </cell>
          <cell r="C4477" t="str">
            <v>Level/Type</v>
          </cell>
          <cell r="F4477" t="str">
            <v>Rate</v>
          </cell>
        </row>
        <row r="4478">
          <cell r="B4478" t="str">
            <v>Labour</v>
          </cell>
          <cell r="C4478" t="str">
            <v>Skilled</v>
          </cell>
          <cell r="F4478">
            <v>600</v>
          </cell>
        </row>
        <row r="4479">
          <cell r="C4479" t="str">
            <v>Unskilled</v>
          </cell>
          <cell r="F4479">
            <v>350</v>
          </cell>
        </row>
        <row r="4480">
          <cell r="B4480" t="str">
            <v>Materials</v>
          </cell>
          <cell r="C4480" t="str">
            <v xml:space="preserve"> Gyp board or Boral Plaster board finishing </v>
          </cell>
          <cell r="F4480">
            <v>0</v>
          </cell>
        </row>
        <row r="4481">
          <cell r="B4481" t="str">
            <v>Rate analysis for : 1.00 Sqm.</v>
          </cell>
        </row>
        <row r="4485">
          <cell r="B4485">
            <v>0</v>
          </cell>
        </row>
        <row r="4486">
          <cell r="A4486">
            <v>25.14</v>
          </cell>
          <cell r="C4486" t="str">
            <v>Supplying, making, fixing ceiling with MPL board (for CGI roofing ceiling) plain ceiling.Providing fitting, fixing in position G.I. under frame, using GYPSTEEL brandedchannels, fixing 9.0-12.5mm thick MPL (metalised polyster laminated) board or MPL boralp</v>
          </cell>
          <cell r="F4486" t="str">
            <v>Sqm.</v>
          </cell>
        </row>
        <row r="4487">
          <cell r="B4487" t="str">
            <v>Resources</v>
          </cell>
          <cell r="C4487" t="str">
            <v>Level/Type</v>
          </cell>
          <cell r="F4487" t="str">
            <v>Rate</v>
          </cell>
        </row>
        <row r="4488">
          <cell r="B4488" t="str">
            <v>Labour</v>
          </cell>
          <cell r="C4488" t="str">
            <v>Skilled</v>
          </cell>
          <cell r="F4488">
            <v>600</v>
          </cell>
        </row>
        <row r="4489">
          <cell r="C4489" t="str">
            <v>Unskilled</v>
          </cell>
          <cell r="F4489">
            <v>350</v>
          </cell>
        </row>
        <row r="4490">
          <cell r="B4490" t="str">
            <v>Materials</v>
          </cell>
          <cell r="C4490" t="str">
            <v xml:space="preserve">metalised polyster laminated board or MPL boralplater board </v>
          </cell>
          <cell r="F4490">
            <v>0</v>
          </cell>
        </row>
        <row r="4491">
          <cell r="B4491" t="str">
            <v>Rate analysis for : 1.00 Sqm.</v>
          </cell>
        </row>
        <row r="4496">
          <cell r="A4496">
            <v>25.12</v>
          </cell>
          <cell r="C4496" t="str">
            <v>Dry wall partition with metal stud :Providing fitting, fixing G.I. under frame, using GYPSTEEL brandedchannel fixing 12.5mm thick Gypboard or  boral  plater boardon both side, finishing of joints with compound &amp; tape all complete overall thickness 75mm</v>
          </cell>
          <cell r="F4496" t="str">
            <v>Sqm.</v>
          </cell>
        </row>
        <row r="4497">
          <cell r="B4497" t="str">
            <v>Resources</v>
          </cell>
          <cell r="C4497" t="str">
            <v>Level/Type</v>
          </cell>
          <cell r="F4497" t="str">
            <v>Rate</v>
          </cell>
        </row>
        <row r="4498">
          <cell r="B4498" t="str">
            <v>Labour</v>
          </cell>
          <cell r="C4498" t="str">
            <v>Skilled</v>
          </cell>
          <cell r="F4498">
            <v>600</v>
          </cell>
        </row>
        <row r="4499">
          <cell r="C4499" t="str">
            <v>Unskilled</v>
          </cell>
          <cell r="F4499">
            <v>350</v>
          </cell>
        </row>
        <row r="4500">
          <cell r="B4500" t="str">
            <v>Materials</v>
          </cell>
          <cell r="C4500" t="str">
            <v xml:space="preserve">Metal stud wall partition </v>
          </cell>
          <cell r="F4500">
            <v>0</v>
          </cell>
        </row>
        <row r="4501">
          <cell r="B4501" t="str">
            <v>Rate analysis for : 1.00 Sqm.</v>
          </cell>
        </row>
        <row r="4506">
          <cell r="A4506">
            <v>25.15</v>
          </cell>
          <cell r="C4506" t="str">
            <v>Gypsum or Boral plaster board wall panelling :Providing fitting, fixing in position G.I. under frame, using GYPSTEEL brandedchannel fixing 12.5mm thick Gypboard or  boral  plater boardfinishing of joints with compound &amp; tape all complete.</v>
          </cell>
          <cell r="F4506" t="str">
            <v>Sqm.</v>
          </cell>
        </row>
        <row r="4507">
          <cell r="B4507" t="str">
            <v>Resources</v>
          </cell>
          <cell r="C4507" t="str">
            <v>Level/Type</v>
          </cell>
          <cell r="F4507" t="str">
            <v>Rate</v>
          </cell>
        </row>
        <row r="4508">
          <cell r="B4508" t="str">
            <v>Labour</v>
          </cell>
          <cell r="C4508" t="str">
            <v>Skilled</v>
          </cell>
          <cell r="F4508">
            <v>600</v>
          </cell>
        </row>
        <row r="4509">
          <cell r="C4509" t="str">
            <v>Unskilled</v>
          </cell>
          <cell r="F4509">
            <v>350</v>
          </cell>
        </row>
        <row r="4510">
          <cell r="B4510" t="str">
            <v>Materials</v>
          </cell>
          <cell r="C4510" t="str">
            <v>Gypsum or Boral plaster board wall panelling</v>
          </cell>
          <cell r="F4510">
            <v>0</v>
          </cell>
        </row>
        <row r="4511">
          <cell r="B4511" t="str">
            <v>Rate analysis for : 1.00 Sqm.</v>
          </cell>
        </row>
        <row r="4516">
          <cell r="A4516">
            <v>25.16</v>
          </cell>
          <cell r="C4516" t="str">
            <v>Providing fitting, fixing in position Armstrong Mineral board (fine fissured ANF)for suspended false ceiling with necessary frames &amp; hooksall complete.</v>
          </cell>
          <cell r="F4516" t="str">
            <v>Sqm.</v>
          </cell>
        </row>
        <row r="4517">
          <cell r="B4517" t="str">
            <v>Resources</v>
          </cell>
          <cell r="C4517" t="str">
            <v>Level/Type</v>
          </cell>
          <cell r="F4517" t="str">
            <v>Rate</v>
          </cell>
        </row>
        <row r="4518">
          <cell r="B4518" t="str">
            <v>Labour</v>
          </cell>
          <cell r="C4518" t="str">
            <v>Skilled</v>
          </cell>
          <cell r="F4518">
            <v>600</v>
          </cell>
        </row>
        <row r="4519">
          <cell r="C4519" t="str">
            <v>Unskilled</v>
          </cell>
          <cell r="F4519">
            <v>350</v>
          </cell>
        </row>
        <row r="4520">
          <cell r="B4520" t="str">
            <v>Materials</v>
          </cell>
          <cell r="C4520" t="str">
            <v xml:space="preserve">Armstrong Mineral board </v>
          </cell>
          <cell r="F4520">
            <v>0</v>
          </cell>
        </row>
        <row r="4521">
          <cell r="B4521" t="str">
            <v>Rate analysis for : 1.00 Sqm.</v>
          </cell>
        </row>
        <row r="4526">
          <cell r="A4526">
            <v>25.17</v>
          </cell>
          <cell r="C4526" t="str">
            <v>Elastocrete cementitious elastomeric water proofing coating 2 componentscapacity per kg 6 sq. ft 2 coat including supplying &amp; applyingall complete work.</v>
          </cell>
          <cell r="F4526" t="str">
            <v>Sqm.</v>
          </cell>
        </row>
        <row r="4527">
          <cell r="B4527" t="str">
            <v>Resources</v>
          </cell>
          <cell r="C4527" t="str">
            <v>Level/Type</v>
          </cell>
          <cell r="F4527" t="str">
            <v>Rate</v>
          </cell>
        </row>
        <row r="4528">
          <cell r="B4528" t="str">
            <v>Labour</v>
          </cell>
          <cell r="C4528" t="str">
            <v>Skilled</v>
          </cell>
          <cell r="F4528">
            <v>600</v>
          </cell>
        </row>
        <row r="4529">
          <cell r="C4529" t="str">
            <v>Unskilled</v>
          </cell>
          <cell r="F4529">
            <v>350</v>
          </cell>
        </row>
        <row r="4530">
          <cell r="B4530" t="str">
            <v>Materials</v>
          </cell>
          <cell r="C4530" t="str">
            <v xml:space="preserve">Elastocrete cementitious elastomeric water proofing </v>
          </cell>
          <cell r="F4530">
            <v>0</v>
          </cell>
        </row>
        <row r="4531">
          <cell r="B4531" t="str">
            <v>Rate analysis for : 1.00 Sqm.</v>
          </cell>
        </row>
      </sheetData>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F"/>
      <sheetName val="P 1"/>
      <sheetName val="P 2-3"/>
      <sheetName val="P 4-5"/>
      <sheetName val="P 6"/>
      <sheetName val="P 7"/>
      <sheetName val="P 8"/>
      <sheetName val="P 9"/>
      <sheetName val="P 10"/>
      <sheetName val="P 11"/>
      <sheetName val="P 12-15"/>
      <sheetName val="Reinf"/>
      <sheetName val="Deli."/>
      <sheetName val="Input Sheet"/>
      <sheetName val="Insurance"/>
      <sheetName val="Ref."/>
      <sheetName val="Refrence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1319-504D-41D2-AC89-3F773A63AFCB}">
  <dimension ref="A1:H51"/>
  <sheetViews>
    <sheetView view="pageBreakPreview" topLeftCell="A34" zoomScaleNormal="85" zoomScaleSheetLayoutView="100" workbookViewId="0">
      <selection activeCell="A38" sqref="A38"/>
    </sheetView>
  </sheetViews>
  <sheetFormatPr defaultColWidth="9.109375" defaultRowHeight="12"/>
  <cols>
    <col min="1" max="1" width="21.5546875" style="267" customWidth="1"/>
    <col min="2" max="2" width="30.88671875" style="267" customWidth="1"/>
    <col min="3" max="3" width="8.44140625" style="272" customWidth="1"/>
    <col min="4" max="4" width="14.109375" style="267" customWidth="1"/>
    <col min="5" max="5" width="15.5546875" style="272" customWidth="1"/>
    <col min="6" max="6" width="9.109375" style="267"/>
    <col min="7" max="7" width="13.44140625" style="267" customWidth="1"/>
    <col min="8" max="16384" width="9.109375" style="267"/>
  </cols>
  <sheetData>
    <row r="1" spans="1:8" ht="15.6">
      <c r="A1" s="810" t="s">
        <v>1214</v>
      </c>
      <c r="B1" s="811"/>
      <c r="C1" s="811"/>
      <c r="D1" s="811"/>
      <c r="E1" s="812"/>
      <c r="F1" s="266"/>
      <c r="G1" s="266"/>
      <c r="H1" s="266"/>
    </row>
    <row r="2" spans="1:8" ht="15.6">
      <c r="A2" s="813" t="s">
        <v>1645</v>
      </c>
      <c r="B2" s="814"/>
      <c r="C2" s="814"/>
      <c r="D2" s="814"/>
      <c r="E2" s="815"/>
      <c r="F2" s="266"/>
      <c r="G2" s="266"/>
      <c r="H2" s="266"/>
    </row>
    <row r="3" spans="1:8" ht="17.399999999999999">
      <c r="A3" s="816" t="s">
        <v>1213</v>
      </c>
      <c r="B3" s="817"/>
      <c r="C3" s="817"/>
      <c r="D3" s="817"/>
      <c r="E3" s="818"/>
      <c r="F3" s="266"/>
      <c r="G3" s="266"/>
      <c r="H3" s="266"/>
    </row>
    <row r="4" spans="1:8" ht="13.8">
      <c r="A4" s="819" t="s">
        <v>1646</v>
      </c>
      <c r="B4" s="820"/>
      <c r="C4" s="820"/>
      <c r="D4" s="820"/>
      <c r="E4" s="821"/>
      <c r="F4" s="266"/>
      <c r="G4" s="266"/>
      <c r="H4" s="266"/>
    </row>
    <row r="5" spans="1:8" ht="13.2">
      <c r="A5" s="825"/>
      <c r="B5" s="826"/>
      <c r="C5" s="826"/>
      <c r="D5" s="826"/>
      <c r="E5" s="827"/>
      <c r="F5" s="266"/>
      <c r="G5" s="266"/>
      <c r="H5" s="266"/>
    </row>
    <row r="6" spans="1:8">
      <c r="A6" s="268"/>
      <c r="B6" s="269"/>
      <c r="C6" s="269"/>
      <c r="D6" s="269"/>
      <c r="E6" s="270"/>
      <c r="F6" s="266"/>
      <c r="G6" s="266"/>
      <c r="H6" s="266"/>
    </row>
    <row r="7" spans="1:8">
      <c r="A7" s="268"/>
      <c r="B7" s="269"/>
      <c r="C7" s="269"/>
      <c r="D7" s="269"/>
      <c r="E7" s="270"/>
      <c r="F7" s="266"/>
      <c r="G7" s="266"/>
      <c r="H7" s="266"/>
    </row>
    <row r="8" spans="1:8">
      <c r="A8" s="268"/>
      <c r="B8" s="269"/>
      <c r="C8" s="269"/>
      <c r="D8" s="269"/>
      <c r="E8" s="270"/>
      <c r="F8" s="266"/>
      <c r="G8" s="266"/>
      <c r="H8" s="266"/>
    </row>
    <row r="9" spans="1:8">
      <c r="A9" s="268"/>
      <c r="B9" s="269"/>
      <c r="C9" s="269"/>
      <c r="D9" s="269"/>
      <c r="E9" s="270"/>
      <c r="F9" s="266"/>
      <c r="G9" s="266"/>
      <c r="H9" s="266"/>
    </row>
    <row r="10" spans="1:8">
      <c r="A10" s="268"/>
      <c r="B10" s="269"/>
      <c r="C10" s="269"/>
      <c r="D10" s="269"/>
      <c r="E10" s="270"/>
      <c r="F10" s="266"/>
      <c r="G10" s="266"/>
      <c r="H10" s="266"/>
    </row>
    <row r="11" spans="1:8">
      <c r="A11" s="268"/>
      <c r="B11" s="269"/>
      <c r="C11" s="269"/>
      <c r="D11" s="269"/>
      <c r="E11" s="270"/>
      <c r="F11" s="266"/>
      <c r="G11" s="266"/>
      <c r="H11" s="266"/>
    </row>
    <row r="12" spans="1:8">
      <c r="A12" s="268"/>
      <c r="B12" s="269"/>
      <c r="C12" s="269"/>
      <c r="D12" s="269"/>
      <c r="E12" s="270"/>
      <c r="F12" s="266"/>
      <c r="G12" s="266"/>
      <c r="H12" s="266"/>
    </row>
    <row r="13" spans="1:8" ht="45.6">
      <c r="A13" s="804" t="s">
        <v>1037</v>
      </c>
      <c r="B13" s="805"/>
      <c r="C13" s="805"/>
      <c r="D13" s="805"/>
      <c r="E13" s="806"/>
    </row>
    <row r="14" spans="1:8" ht="48" customHeight="1">
      <c r="A14" s="834" t="s">
        <v>754</v>
      </c>
      <c r="B14" s="835"/>
      <c r="C14" s="835"/>
      <c r="D14" s="835"/>
      <c r="E14" s="836"/>
    </row>
    <row r="15" spans="1:8" ht="18" customHeight="1">
      <c r="A15" s="822"/>
      <c r="B15" s="823"/>
      <c r="C15" s="823"/>
      <c r="D15" s="823"/>
      <c r="E15" s="824"/>
      <c r="F15" s="269"/>
      <c r="G15" s="269"/>
      <c r="H15" s="269"/>
    </row>
    <row r="16" spans="1:8">
      <c r="A16" s="268"/>
      <c r="B16" s="269"/>
      <c r="C16" s="269"/>
      <c r="D16" s="269"/>
      <c r="E16" s="270"/>
      <c r="F16" s="269"/>
      <c r="G16" s="269"/>
      <c r="H16" s="269"/>
    </row>
    <row r="17" spans="1:8">
      <c r="A17" s="268"/>
      <c r="B17" s="269"/>
      <c r="C17" s="269"/>
      <c r="D17" s="269"/>
      <c r="E17" s="270"/>
      <c r="F17" s="269"/>
      <c r="G17" s="269"/>
      <c r="H17" s="269"/>
    </row>
    <row r="18" spans="1:8">
      <c r="A18" s="268"/>
      <c r="B18" s="269"/>
      <c r="C18" s="269"/>
      <c r="D18" s="269"/>
      <c r="E18" s="270"/>
      <c r="F18" s="269"/>
      <c r="G18" s="269"/>
      <c r="H18" s="269"/>
    </row>
    <row r="19" spans="1:8">
      <c r="A19" s="268"/>
      <c r="B19" s="269"/>
      <c r="C19" s="269"/>
      <c r="D19" s="269"/>
      <c r="E19" s="270"/>
      <c r="F19" s="269"/>
      <c r="G19" s="269"/>
      <c r="H19" s="269"/>
    </row>
    <row r="20" spans="1:8">
      <c r="A20" s="268"/>
      <c r="B20" s="269"/>
      <c r="C20" s="269"/>
      <c r="D20" s="269"/>
      <c r="E20" s="270"/>
      <c r="F20" s="269"/>
      <c r="G20" s="269"/>
      <c r="H20" s="269"/>
    </row>
    <row r="21" spans="1:8">
      <c r="A21" s="268"/>
      <c r="B21" s="269"/>
      <c r="C21" s="269"/>
      <c r="D21" s="269"/>
      <c r="E21" s="270"/>
      <c r="F21" s="269"/>
      <c r="G21" s="269"/>
      <c r="H21" s="269"/>
    </row>
    <row r="22" spans="1:8">
      <c r="A22" s="268"/>
      <c r="B22" s="269"/>
      <c r="C22" s="269"/>
      <c r="D22" s="269"/>
      <c r="E22" s="270"/>
      <c r="F22" s="269"/>
      <c r="G22" s="269"/>
      <c r="H22" s="269"/>
    </row>
    <row r="23" spans="1:8">
      <c r="A23" s="268"/>
      <c r="B23" s="269"/>
      <c r="C23" s="269"/>
      <c r="D23" s="269"/>
      <c r="E23" s="270"/>
      <c r="F23" s="269"/>
      <c r="G23" s="269"/>
      <c r="H23" s="269"/>
    </row>
    <row r="24" spans="1:8">
      <c r="A24" s="268"/>
      <c r="B24" s="269"/>
      <c r="C24" s="269"/>
      <c r="D24" s="269"/>
      <c r="E24" s="270"/>
      <c r="F24" s="269"/>
      <c r="G24" s="269"/>
      <c r="H24" s="269"/>
    </row>
    <row r="25" spans="1:8">
      <c r="A25" s="268"/>
      <c r="B25" s="269"/>
      <c r="C25" s="269"/>
      <c r="D25" s="269"/>
      <c r="E25" s="270"/>
      <c r="F25" s="269"/>
      <c r="G25" s="269"/>
      <c r="H25" s="269"/>
    </row>
    <row r="26" spans="1:8">
      <c r="A26" s="268"/>
      <c r="B26" s="269"/>
      <c r="C26" s="269"/>
      <c r="D26" s="269"/>
      <c r="E26" s="270"/>
      <c r="F26" s="269"/>
      <c r="G26" s="269"/>
      <c r="H26" s="269"/>
    </row>
    <row r="27" spans="1:8">
      <c r="A27" s="268"/>
      <c r="B27" s="269"/>
      <c r="C27" s="269"/>
      <c r="D27" s="269"/>
      <c r="E27" s="270"/>
      <c r="F27" s="269"/>
      <c r="G27" s="269"/>
      <c r="H27" s="269"/>
    </row>
    <row r="28" spans="1:8">
      <c r="A28" s="268"/>
      <c r="B28" s="269"/>
      <c r="C28" s="269"/>
      <c r="D28" s="269"/>
      <c r="E28" s="270"/>
      <c r="F28" s="269"/>
      <c r="G28" s="269"/>
      <c r="H28" s="269"/>
    </row>
    <row r="29" spans="1:8">
      <c r="A29" s="268"/>
      <c r="B29" s="269"/>
      <c r="C29" s="269"/>
      <c r="D29" s="269"/>
      <c r="E29" s="270"/>
      <c r="F29" s="269"/>
      <c r="G29" s="269"/>
      <c r="H29" s="269"/>
    </row>
    <row r="30" spans="1:8">
      <c r="A30" s="268"/>
      <c r="B30" s="269"/>
      <c r="C30" s="269"/>
      <c r="D30" s="269"/>
      <c r="E30" s="270"/>
      <c r="F30" s="269"/>
      <c r="G30" s="269"/>
      <c r="H30" s="269"/>
    </row>
    <row r="31" spans="1:8">
      <c r="A31" s="271"/>
      <c r="E31" s="273"/>
    </row>
    <row r="32" spans="1:8">
      <c r="A32" s="271"/>
      <c r="E32" s="273"/>
    </row>
    <row r="33" spans="1:5">
      <c r="A33" s="271"/>
      <c r="E33" s="273"/>
    </row>
    <row r="34" spans="1:5">
      <c r="A34" s="271"/>
      <c r="E34" s="273"/>
    </row>
    <row r="35" spans="1:5">
      <c r="A35" s="271"/>
      <c r="E35" s="273"/>
    </row>
    <row r="36" spans="1:5" ht="61.2">
      <c r="A36" s="807" t="s">
        <v>1644</v>
      </c>
      <c r="B36" s="808"/>
      <c r="C36" s="808"/>
      <c r="D36" s="808"/>
      <c r="E36" s="809"/>
    </row>
    <row r="37" spans="1:5" ht="30.6">
      <c r="A37" s="831" t="s">
        <v>1647</v>
      </c>
      <c r="B37" s="832"/>
      <c r="C37" s="832"/>
      <c r="D37" s="832"/>
      <c r="E37" s="833"/>
    </row>
    <row r="38" spans="1:5">
      <c r="A38" s="271"/>
      <c r="E38" s="273"/>
    </row>
    <row r="39" spans="1:5">
      <c r="A39" s="271"/>
      <c r="E39" s="273"/>
    </row>
    <row r="40" spans="1:5">
      <c r="A40" s="271"/>
      <c r="E40" s="273"/>
    </row>
    <row r="41" spans="1:5">
      <c r="A41" s="271"/>
      <c r="E41" s="273"/>
    </row>
    <row r="42" spans="1:5" ht="15.6">
      <c r="A42" s="271"/>
      <c r="B42" s="274"/>
      <c r="E42" s="273"/>
    </row>
    <row r="43" spans="1:5" ht="12.75" customHeight="1">
      <c r="A43" s="275"/>
      <c r="B43" s="158"/>
      <c r="C43" s="158"/>
      <c r="D43" s="158"/>
      <c r="E43" s="276"/>
    </row>
    <row r="44" spans="1:5" ht="15.75" customHeight="1">
      <c r="A44" s="275"/>
      <c r="B44" s="274"/>
      <c r="C44" s="274"/>
      <c r="D44" s="274"/>
      <c r="E44" s="277"/>
    </row>
    <row r="45" spans="1:5" ht="15.75" customHeight="1">
      <c r="A45" s="275"/>
      <c r="B45" s="814"/>
      <c r="C45" s="837"/>
      <c r="D45" s="274"/>
      <c r="E45" s="277"/>
    </row>
    <row r="46" spans="1:5" ht="15.6">
      <c r="A46" s="278"/>
      <c r="B46" s="838"/>
      <c r="C46" s="838"/>
      <c r="D46" s="837"/>
      <c r="E46" s="815"/>
    </row>
    <row r="47" spans="1:5" ht="19.5" customHeight="1">
      <c r="A47" s="279"/>
      <c r="B47" s="814"/>
      <c r="C47" s="814"/>
      <c r="D47" s="814"/>
      <c r="E47" s="815"/>
    </row>
    <row r="48" spans="1:5">
      <c r="A48" s="280"/>
      <c r="B48" s="839"/>
      <c r="C48" s="839"/>
      <c r="D48" s="829"/>
      <c r="E48" s="830"/>
    </row>
    <row r="49" spans="1:5">
      <c r="A49" s="280"/>
      <c r="B49" s="828"/>
      <c r="C49" s="828"/>
      <c r="D49" s="829"/>
      <c r="E49" s="830"/>
    </row>
    <row r="50" spans="1:5">
      <c r="A50" s="271"/>
      <c r="E50" s="273"/>
    </row>
    <row r="51" spans="1:5" ht="12.6" thickBot="1">
      <c r="A51" s="281"/>
      <c r="B51" s="282"/>
      <c r="C51" s="283"/>
      <c r="D51" s="282"/>
      <c r="E51" s="284"/>
    </row>
  </sheetData>
  <mergeCells count="19">
    <mergeCell ref="B49:C49"/>
    <mergeCell ref="D48:E48"/>
    <mergeCell ref="A37:E37"/>
    <mergeCell ref="A14:E14"/>
    <mergeCell ref="B45:C45"/>
    <mergeCell ref="B46:C46"/>
    <mergeCell ref="D46:E46"/>
    <mergeCell ref="D47:E47"/>
    <mergeCell ref="B47:C47"/>
    <mergeCell ref="D49:E49"/>
    <mergeCell ref="B48:C48"/>
    <mergeCell ref="A13:E13"/>
    <mergeCell ref="A36:E36"/>
    <mergeCell ref="A1:E1"/>
    <mergeCell ref="A2:E2"/>
    <mergeCell ref="A3:E3"/>
    <mergeCell ref="A4:E4"/>
    <mergeCell ref="A15:E15"/>
    <mergeCell ref="A5:E5"/>
  </mergeCells>
  <phoneticPr fontId="2" type="noConversion"/>
  <printOptions horizontalCentered="1"/>
  <pageMargins left="0.39" right="0.26" top="0.5" bottom="0.5" header="0.18" footer="0"/>
  <pageSetup paperSize="9" orientation="portrait" verticalDpi="24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69A64-5B5D-417E-ABAF-4649FFFAD0B4}">
  <sheetPr>
    <tabColor rgb="FF7030A0"/>
  </sheetPr>
  <dimension ref="A1:F354"/>
  <sheetViews>
    <sheetView view="pageBreakPreview" topLeftCell="A351" zoomScale="145" zoomScaleNormal="120" zoomScaleSheetLayoutView="145" workbookViewId="0">
      <selection activeCell="C352" sqref="C352"/>
    </sheetView>
  </sheetViews>
  <sheetFormatPr defaultColWidth="9.109375" defaultRowHeight="15.6"/>
  <cols>
    <col min="1" max="1" width="7.5546875" style="713" customWidth="1"/>
    <col min="2" max="2" width="11.109375" style="744" customWidth="1"/>
    <col min="3" max="3" width="50.5546875" style="745" customWidth="1"/>
    <col min="4" max="4" width="5.88671875" style="424" customWidth="1"/>
    <col min="5" max="5" width="12.6640625" style="746" bestFit="1" customWidth="1"/>
    <col min="6" max="6" width="12.6640625" style="747" bestFit="1" customWidth="1"/>
    <col min="7" max="16384" width="9.109375" style="423"/>
  </cols>
  <sheetData>
    <row r="1" spans="1:6">
      <c r="A1" s="840" t="str">
        <f>cover!A2</f>
        <v xml:space="preserve">RAINAS MUNICIPALITY </v>
      </c>
      <c r="B1" s="840"/>
      <c r="C1" s="840"/>
      <c r="D1" s="840"/>
      <c r="E1" s="840"/>
      <c r="F1" s="840"/>
    </row>
    <row r="2" spans="1:6">
      <c r="A2" s="841" t="str">
        <f>cover!A3</f>
        <v>OFFICE OF THE MUNICIPAL EXECUTIVE</v>
      </c>
      <c r="B2" s="841"/>
      <c r="C2" s="841"/>
      <c r="D2" s="841"/>
      <c r="E2" s="841"/>
      <c r="F2" s="841"/>
    </row>
    <row r="3" spans="1:6">
      <c r="A3" s="840" t="str">
        <f>cover!A4</f>
        <v>TINPIPLE,LAMJUNG</v>
      </c>
      <c r="B3" s="840"/>
      <c r="C3" s="840"/>
      <c r="D3" s="840"/>
      <c r="E3" s="840"/>
      <c r="F3" s="840"/>
    </row>
    <row r="4" spans="1:6">
      <c r="A4" s="679"/>
      <c r="B4" s="679"/>
      <c r="C4" s="679"/>
      <c r="D4" s="679"/>
      <c r="E4" s="679"/>
      <c r="F4" s="679"/>
    </row>
    <row r="5" spans="1:6" s="680" customFormat="1">
      <c r="A5" s="842" t="s">
        <v>1126</v>
      </c>
      <c r="B5" s="842"/>
      <c r="C5" s="842"/>
      <c r="D5" s="842"/>
      <c r="E5" s="842"/>
      <c r="F5" s="842"/>
    </row>
    <row r="6" spans="1:6" s="680" customFormat="1">
      <c r="A6" s="681"/>
      <c r="B6" s="682"/>
      <c r="C6" s="682"/>
      <c r="D6" s="683"/>
      <c r="E6" s="683" t="s">
        <v>1648</v>
      </c>
      <c r="F6" s="683"/>
    </row>
    <row r="7" spans="1:6" s="680" customFormat="1">
      <c r="A7" s="844" t="s">
        <v>182</v>
      </c>
      <c r="B7" s="846" t="s">
        <v>157</v>
      </c>
      <c r="C7" s="846" t="s">
        <v>149</v>
      </c>
      <c r="D7" s="847" t="s">
        <v>48</v>
      </c>
      <c r="E7" s="843" t="s">
        <v>49</v>
      </c>
      <c r="F7" s="843"/>
    </row>
    <row r="8" spans="1:6" s="680" customFormat="1">
      <c r="A8" s="845"/>
      <c r="B8" s="846"/>
      <c r="C8" s="846"/>
      <c r="D8" s="847"/>
      <c r="E8" s="684" t="s">
        <v>203</v>
      </c>
      <c r="F8" s="684" t="s">
        <v>187</v>
      </c>
    </row>
    <row r="9" spans="1:6" s="689" customFormat="1">
      <c r="A9" s="685"/>
      <c r="B9" s="686"/>
      <c r="C9" s="685" t="s">
        <v>427</v>
      </c>
      <c r="D9" s="685"/>
      <c r="E9" s="687"/>
      <c r="F9" s="688"/>
    </row>
    <row r="10" spans="1:6" s="695" customFormat="1" ht="31.2">
      <c r="A10" s="690">
        <f>'Rate Analysis'!A3</f>
        <v>1.01</v>
      </c>
      <c r="B10" s="691" t="str">
        <f>LOOKUP(A10,'Rate Analysis'!$A$3:$A$4887,'Rate Analysis'!$B$3:$B$4887)</f>
        <v>A1 (1-1A)</v>
      </c>
      <c r="C10" s="692" t="str">
        <f>LOOKUP(A10,'Rate Analysis'!$A$3:$A$4887,'Rate Analysis'!$C$3:$C$4887)</f>
        <v>Cutting of tree, branch  &amp; log etc. (12-30 cm. girth above 1.00 mtr. From G.L.) with lead upto 15 mtr.</v>
      </c>
      <c r="D10" s="693" t="str">
        <f>LOOKUP(A10,'Rate Analysis'!$A$3:$A$4887,'Rate Analysis'!$F$3:$F$4887)</f>
        <v>Nos.</v>
      </c>
      <c r="E10" s="694">
        <f>LOOKUP(A10,'Rate Analysis'!$A$3:$A$4887,'Rate Analysis'!$G$3:$G$4887)</f>
        <v>113.1</v>
      </c>
      <c r="F10" s="694">
        <f>LOOKUP(A10,'Rate Analysis'!$A$3:$A$4887,'Rate Analysis'!$H$3:$H$4887)</f>
        <v>130.06</v>
      </c>
    </row>
    <row r="11" spans="1:6" s="695" customFormat="1" ht="31.2">
      <c r="A11" s="696">
        <f>'Rate Analysis'!A11</f>
        <v>1.02</v>
      </c>
      <c r="B11" s="691" t="str">
        <f>LOOKUP(A11,'Rate Analysis'!$A$3:$A$4887,'Rate Analysis'!$B$3:$B$4887)</f>
        <v>A1 (1-1B)</v>
      </c>
      <c r="C11" s="692" t="str">
        <f>LOOKUP(A11,'Rate Analysis'!$A$3:$A$4887,'Rate Analysis'!$C$3:$C$4887)</f>
        <v>Cutting of tree, branch  &amp; log etc. (31-60 cm. girth above 1.00 mtr. From G.L.) with lead upto 15 mtr.</v>
      </c>
      <c r="D11" s="693" t="str">
        <f>LOOKUP(A11,'Rate Analysis'!$A$3:$A$4887,'Rate Analysis'!$F$3:$F$4887)</f>
        <v>Nos.</v>
      </c>
      <c r="E11" s="694">
        <f>LOOKUP(A11,'Rate Analysis'!$A$3:$A$4887,'Rate Analysis'!$G$3:$G$4887)</f>
        <v>339.3</v>
      </c>
      <c r="F11" s="694">
        <f>LOOKUP(A11,'Rate Analysis'!$A$3:$A$4887,'Rate Analysis'!$H$3:$H$4887)</f>
        <v>390.19</v>
      </c>
    </row>
    <row r="12" spans="1:6" s="695" customFormat="1" ht="31.2">
      <c r="A12" s="690">
        <f>'Rate Analysis'!A18</f>
        <v>1.03</v>
      </c>
      <c r="B12" s="691" t="str">
        <f>LOOKUP(A12,'Rate Analysis'!$A$3:$A$4887,'Rate Analysis'!$B$3:$B$4887)</f>
        <v>A1 (1-1C)</v>
      </c>
      <c r="C12" s="692" t="str">
        <f>LOOKUP(A12,'Rate Analysis'!$A$3:$A$4887,'Rate Analysis'!$C$3:$C$4887)</f>
        <v>Cutting of tree, branch  &amp; log etc. (61-120 cm. girth above 1.00 mtr. From G.L.) with lead upto 15 mtr.</v>
      </c>
      <c r="D12" s="693" t="str">
        <f>LOOKUP(A12,'Rate Analysis'!$A$3:$A$4887,'Rate Analysis'!$F$3:$F$4887)</f>
        <v>Nos.</v>
      </c>
      <c r="E12" s="694">
        <f>LOOKUP(A12,'Rate Analysis'!$A$3:$A$4887,'Rate Analysis'!$G$3:$G$4887)</f>
        <v>852.6</v>
      </c>
      <c r="F12" s="694">
        <f>LOOKUP(A12,'Rate Analysis'!$A$3:$A$4887,'Rate Analysis'!$H$3:$H$4887)</f>
        <v>980.49</v>
      </c>
    </row>
    <row r="13" spans="1:6" s="695" customFormat="1" ht="31.2">
      <c r="A13" s="696">
        <f>'Rate Analysis'!A25</f>
        <v>1.04</v>
      </c>
      <c r="B13" s="691" t="str">
        <f>LOOKUP(A13,'Rate Analysis'!$A$3:$A$4887,'Rate Analysis'!$B$3:$B$4887)</f>
        <v>A2 (1-2A)</v>
      </c>
      <c r="C13" s="692" t="str">
        <f>LOOKUP(A13,'Rate Analysis'!$A$3:$A$4887,'Rate Analysis'!$C$3:$C$4887)</f>
        <v>Removing of tree root (12-30 cm. girth above 1.00 mtr. From G.L.) with lead upto 15 mtr.</v>
      </c>
      <c r="D13" s="693" t="str">
        <f>LOOKUP(A13,'Rate Analysis'!$A$3:$A$4887,'Rate Analysis'!$F$3:$F$4887)</f>
        <v>Nos.</v>
      </c>
      <c r="E13" s="694">
        <f>LOOKUP(A13,'Rate Analysis'!$A$3:$A$4887,'Rate Analysis'!$G$3:$G$4887)</f>
        <v>348</v>
      </c>
      <c r="F13" s="694">
        <f>LOOKUP(A13,'Rate Analysis'!$A$3:$A$4887,'Rate Analysis'!$H$3:$H$4887)</f>
        <v>400.2</v>
      </c>
    </row>
    <row r="14" spans="1:6" s="695" customFormat="1" ht="31.2">
      <c r="A14" s="690">
        <f>'Rate Analysis'!A32</f>
        <v>1.05</v>
      </c>
      <c r="B14" s="691" t="str">
        <f>LOOKUP(A14,'Rate Analysis'!$A$3:$A$4887,'Rate Analysis'!$B$3:$B$4887)</f>
        <v xml:space="preserve"> A2 (1-2B)</v>
      </c>
      <c r="C14" s="692" t="str">
        <f>LOOKUP(A14,'Rate Analysis'!$A$3:$A$4887,'Rate Analysis'!$C$3:$C$4887)</f>
        <v>Removing of tree root (31-60 cm. girth above 1.00 mtr. From G.L.) with lead upto 15 mtr.</v>
      </c>
      <c r="D14" s="693" t="str">
        <f>LOOKUP(A14,'Rate Analysis'!$A$3:$A$4887,'Rate Analysis'!$F$3:$F$4887)</f>
        <v>Nos.</v>
      </c>
      <c r="E14" s="694">
        <f>LOOKUP(A14,'Rate Analysis'!$A$3:$A$4887,'Rate Analysis'!$G$3:$G$4887)</f>
        <v>376.3</v>
      </c>
      <c r="F14" s="694">
        <f>LOOKUP(A14,'Rate Analysis'!$A$3:$A$4887,'Rate Analysis'!$H$3:$H$4887)</f>
        <v>432.74</v>
      </c>
    </row>
    <row r="15" spans="1:6" s="695" customFormat="1" ht="31.2">
      <c r="A15" s="696">
        <f>'Rate Analysis'!A39</f>
        <v>1.06</v>
      </c>
      <c r="B15" s="691" t="str">
        <f>LOOKUP(A15,'Rate Analysis'!$A$3:$A$4887,'Rate Analysis'!$B$3:$B$4887)</f>
        <v>A2 (1-2C)</v>
      </c>
      <c r="C15" s="692" t="str">
        <f>LOOKUP(A15,'Rate Analysis'!$A$3:$A$4887,'Rate Analysis'!$C$3:$C$4887)</f>
        <v>Removing of tree root (61-120 cm. girth above 1.00 mtr. From G.L.) with lead upto 15 mtr.</v>
      </c>
      <c r="D15" s="693" t="str">
        <f>LOOKUP(A15,'Rate Analysis'!$A$3:$A$4887,'Rate Analysis'!$F$3:$F$4887)</f>
        <v>Nos.</v>
      </c>
      <c r="E15" s="694">
        <f>LOOKUP(A15,'Rate Analysis'!$A$3:$A$4887,'Rate Analysis'!$G$3:$G$4887)</f>
        <v>2192.4</v>
      </c>
      <c r="F15" s="694">
        <f>LOOKUP(A15,'Rate Analysis'!$A$3:$A$4887,'Rate Analysis'!$H$3:$H$4887)</f>
        <v>2521.2600000000002</v>
      </c>
    </row>
    <row r="16" spans="1:6" s="695" customFormat="1" ht="31.2">
      <c r="A16" s="690">
        <f>'Rate Analysis'!A47</f>
        <v>1.07</v>
      </c>
      <c r="B16" s="691" t="str">
        <f>LOOKUP(A16,'Rate Analysis'!$A$3:$A$4887,'Rate Analysis'!$B$3:$B$4887)</f>
        <v>A3</v>
      </c>
      <c r="C16" s="692" t="str">
        <f>LOOKUP(A16,'Rate Analysis'!$A$3:$A$4887,'Rate Analysis'!$C$3:$C$4887)</f>
        <v>Cutting  of  grass, taking of root &amp; cutting of raised soil &amp; site leveling with all complete</v>
      </c>
      <c r="D16" s="693" t="str">
        <f>LOOKUP(A16,'Rate Analysis'!$A$3:$A$4887,'Rate Analysis'!$F$3:$F$4887)</f>
        <v>Sqm.</v>
      </c>
      <c r="E16" s="694">
        <f>LOOKUP(A16,'Rate Analysis'!$A$3:$A$4887,'Rate Analysis'!$G$3:$G$4887)</f>
        <v>20.010000000000002</v>
      </c>
      <c r="F16" s="694">
        <f>LOOKUP(A16,'Rate Analysis'!$A$3:$A$4887,'Rate Analysis'!$H$3:$H$4887)</f>
        <v>23.01</v>
      </c>
    </row>
    <row r="17" spans="1:6" s="695" customFormat="1" ht="58.2" customHeight="1">
      <c r="A17" s="696">
        <f>'Rate Analysis'!A55</f>
        <v>1.08</v>
      </c>
      <c r="B17" s="691" t="str">
        <f>LOOKUP(A17,'Rate Analysis'!$A$3:$A$4887,'Rate Analysis'!$B$3:$B$4887)</f>
        <v xml:space="preserve"> A4</v>
      </c>
      <c r="C17" s="692" t="str">
        <f>LOOKUP(A17,'Rate Analysis'!$A$3:$A$4887,'Rate Analysis'!$C$3:$C$4887)</f>
        <v>Site Clearence cutting&amp; removing the herbs, levelling the surface ETC before the construction work as per instruction &amp; specification complete work</v>
      </c>
      <c r="D17" s="693" t="str">
        <f>LOOKUP(A17,'Rate Analysis'!$A$3:$A$4887,'Rate Analysis'!$F$3:$F$4887)</f>
        <v>sqm.</v>
      </c>
      <c r="E17" s="694">
        <f>LOOKUP(A17,'Rate Analysis'!$A$3:$A$4887,'Rate Analysis'!$G$3:$G$4887)</f>
        <v>8.6999999999999993</v>
      </c>
      <c r="F17" s="694">
        <f>LOOKUP(A17,'Rate Analysis'!$A$3:$A$4887,'Rate Analysis'!$H$3:$H$4887)</f>
        <v>10</v>
      </c>
    </row>
    <row r="18" spans="1:6" s="695" customFormat="1">
      <c r="B18" s="698"/>
      <c r="C18" s="699"/>
      <c r="D18" s="700"/>
      <c r="E18" s="701"/>
      <c r="F18" s="701"/>
    </row>
    <row r="19" spans="1:6" s="689" customFormat="1">
      <c r="B19" s="686"/>
      <c r="C19" s="685" t="s">
        <v>428</v>
      </c>
      <c r="D19" s="685"/>
      <c r="E19" s="688"/>
      <c r="F19" s="688"/>
    </row>
    <row r="20" spans="1:6" s="695" customFormat="1" ht="62.55" customHeight="1">
      <c r="A20" s="696">
        <f>'Rate Analysis'!A78</f>
        <v>2.0099999999999998</v>
      </c>
      <c r="B20" s="691" t="str">
        <f>LOOKUP(A20,'Rate Analysis'!$A$3:$A$4887,'Rate Analysis'!$B$3:$B$4887)</f>
        <v xml:space="preserve"> B1 (2-1)</v>
      </c>
      <c r="C20" s="692" t="str">
        <f>LOOKUP(A20,'Rate Analysis'!$A$3:$A$4887,'Rate Analysis'!$C$3:$C$4887)</f>
        <v>Earthwork in excavation in medium type soils in foundation including 10m hauling distance and 1.5 m. lift manually all complete in approval of site engineer.</v>
      </c>
      <c r="D20" s="693" t="str">
        <f>LOOKUP(A20,'Rate Analysis'!$A$3:$A$4887,'Rate Analysis'!$F$3:$F$4887)</f>
        <v>Cum.</v>
      </c>
      <c r="E20" s="694">
        <f>LOOKUP(A20,'Rate Analysis'!$A$3:$A$4887,'Rate Analysis'!$G$3:$G$4887)</f>
        <v>627.27</v>
      </c>
      <c r="F20" s="694">
        <f>LOOKUP(A20,'Rate Analysis'!$A$3:$A$4887,'Rate Analysis'!$H$3:$H$4887)</f>
        <v>721.36</v>
      </c>
    </row>
    <row r="21" spans="1:6" s="695" customFormat="1" ht="55.2" customHeight="1">
      <c r="A21" s="696">
        <f>'Rate Analysis'!A86</f>
        <v>2.02</v>
      </c>
      <c r="B21" s="691" t="str">
        <f>LOOKUP(A21,'Rate Analysis'!$A$3:$A$4887,'Rate Analysis'!$B$3:$B$4887)</f>
        <v xml:space="preserve"> B1 (2-2)</v>
      </c>
      <c r="C21" s="692" t="str">
        <f>LOOKUP(A21,'Rate Analysis'!$A$3:$A$4887,'Rate Analysis'!$C$3:$C$4887)</f>
        <v>Earthwork in excavation in gravel  type soils in foundation including 10m hauling distance and 1.5 m. lift manually all complete in approval of site engineer.</v>
      </c>
      <c r="D21" s="693" t="str">
        <f>LOOKUP(A21,'Rate Analysis'!$A$3:$A$4887,'Rate Analysis'!$F$3:$F$4887)</f>
        <v>Cum.</v>
      </c>
      <c r="E21" s="694">
        <f>LOOKUP(A21,'Rate Analysis'!$A$3:$A$4887,'Rate Analysis'!$G$3:$G$4887)</f>
        <v>716.88</v>
      </c>
      <c r="F21" s="694">
        <f>LOOKUP(A21,'Rate Analysis'!$A$3:$A$4887,'Rate Analysis'!$H$3:$H$4887)</f>
        <v>824.41</v>
      </c>
    </row>
    <row r="22" spans="1:6" s="695" customFormat="1" ht="62.55" customHeight="1">
      <c r="A22" s="696">
        <f>'Rate Analysis'!A95</f>
        <v>2.0299999999999998</v>
      </c>
      <c r="B22" s="691" t="str">
        <f>LOOKUP(A22,'Rate Analysis'!$A$3:$A$4887,'Rate Analysis'!$B$3:$B$4887)</f>
        <v xml:space="preserve"> B2 (2-25A)</v>
      </c>
      <c r="C22" s="692" t="str">
        <f>LOOKUP(A22,'Rate Analysis'!$A$3:$A$4887,'Rate Analysis'!$C$3:$C$4887)</f>
        <v>Earth filling work in every 15-15 cm. layer with watering &amp; lead upto 1o.00 mtr. &amp; proper manual compaction.</v>
      </c>
      <c r="D22" s="693" t="str">
        <f>LOOKUP(A22,'Rate Analysis'!$A$3:$A$4887,'Rate Analysis'!$F$3:$F$4887)</f>
        <v>Cum.</v>
      </c>
      <c r="E22" s="694">
        <f>LOOKUP(A22,'Rate Analysis'!$A$3:$A$4887,'Rate Analysis'!$G$3:$G$4887)</f>
        <v>435</v>
      </c>
      <c r="F22" s="694">
        <f>LOOKUP(A22,'Rate Analysis'!$A$3:$A$4887,'Rate Analysis'!$H$3:$H$4887)</f>
        <v>500.25</v>
      </c>
    </row>
    <row r="23" spans="1:6" s="695" customFormat="1" ht="62.55" customHeight="1">
      <c r="A23" s="696">
        <f>'Rate Analysis'!A103</f>
        <v>2.04</v>
      </c>
      <c r="B23" s="691" t="str">
        <f>LOOKUP(A23,'Rate Analysis'!$A$3:$A$4887,'Rate Analysis'!$B$3:$B$4887)</f>
        <v xml:space="preserve"> B2 (2-25A)</v>
      </c>
      <c r="C23" s="692" t="str">
        <f>LOOKUP(A23,'Rate Analysis'!$A$3:$A$4887,'Rate Analysis'!$C$3:$C$4887)</f>
        <v>Earth filling (Earth transported from 5 Km. surrounding) work in every 15-15 cm. layer with watering &amp; proper manual compaction.</v>
      </c>
      <c r="D23" s="693" t="str">
        <f>LOOKUP(A23,'Rate Analysis'!$A$3:$A$4887,'Rate Analysis'!$F$3:$F$4887)</f>
        <v>Cum.</v>
      </c>
      <c r="E23" s="694">
        <f>LOOKUP(A23,'Rate Analysis'!$A$3:$A$4887,'Rate Analysis'!$G$3:$G$4887)</f>
        <v>1035</v>
      </c>
      <c r="F23" s="694">
        <f>LOOKUP(A23,'Rate Analysis'!$A$3:$A$4887,'Rate Analysis'!$H$3:$H$4887)</f>
        <v>1190.25</v>
      </c>
    </row>
    <row r="24" spans="1:6" s="695" customFormat="1" ht="31.2">
      <c r="A24" s="696">
        <f>'Rate Analysis'!A112</f>
        <v>2.0499999999999998</v>
      </c>
      <c r="B24" s="691" t="str">
        <f>LOOKUP(A24,'Rate Analysis'!$A$3:$A$4887,'Rate Analysis'!$B$3:$B$4887)</f>
        <v xml:space="preserve"> B2 (2-25B)</v>
      </c>
      <c r="C24" s="692" t="str">
        <f>LOOKUP(A24,'Rate Analysis'!$A$3:$A$4887,'Rate Analysis'!$C$3:$C$4887)</f>
        <v>Earth filling work in every 15-15 cm. layer without watering &amp; proper manual compaction.</v>
      </c>
      <c r="D24" s="693" t="str">
        <f>LOOKUP(A24,'Rate Analysis'!$A$3:$A$4887,'Rate Analysis'!$F$3:$F$4887)</f>
        <v>Cum.</v>
      </c>
      <c r="E24" s="694">
        <f>LOOKUP(A24,'Rate Analysis'!$A$3:$A$4887,'Rate Analysis'!$G$3:$G$4887)</f>
        <v>217.5</v>
      </c>
      <c r="F24" s="694">
        <f>LOOKUP(A24,'Rate Analysis'!$A$3:$A$4887,'Rate Analysis'!$H$3:$H$4887)</f>
        <v>250.12</v>
      </c>
    </row>
    <row r="25" spans="1:6" s="695" customFormat="1" ht="46.8">
      <c r="A25" s="696">
        <f>'Rate Analysis'!A119</f>
        <v>2.06</v>
      </c>
      <c r="B25" s="691" t="str">
        <f>LOOKUP(A25,'Rate Analysis'!$A$3:$A$4887,'Rate Analysis'!$B$3:$B$4887)</f>
        <v xml:space="preserve"> B2 (2-25B)</v>
      </c>
      <c r="C25" s="692" t="str">
        <f>LOOKUP(A25,'Rate Analysis'!$A$3:$A$4887,'Rate Analysis'!$C$3:$C$4887)</f>
        <v>Earth filling (Earth transported from 5 Km. surrounding) work in every 15-15 cm. layer without watering &amp; proper manual compaction.</v>
      </c>
      <c r="D25" s="693" t="str">
        <f>LOOKUP(A25,'Rate Analysis'!$A$3:$A$4887,'Rate Analysis'!$F$3:$F$4887)</f>
        <v>Cum.</v>
      </c>
      <c r="E25" s="694">
        <f>LOOKUP(A25,'Rate Analysis'!$A$3:$A$4887,'Rate Analysis'!$G$3:$G$4887)</f>
        <v>737.5</v>
      </c>
      <c r="F25" s="694">
        <f>LOOKUP(A25,'Rate Analysis'!$A$3:$A$4887,'Rate Analysis'!$H$3:$H$4887)</f>
        <v>848.12</v>
      </c>
    </row>
    <row r="26" spans="1:6" s="695" customFormat="1" ht="31.2">
      <c r="A26" s="702">
        <f>'Rate Analysis'!A127</f>
        <v>2.0699999999999998</v>
      </c>
      <c r="B26" s="691" t="str">
        <f>LOOKUP(A26,'Rate Analysis'!$A$3:$A$4887,'Rate Analysis'!$B$3:$B$4887)</f>
        <v xml:space="preserve"> B3 (2-42A)</v>
      </c>
      <c r="C26" s="692" t="str">
        <f>LOOKUP(A26,'Rate Analysis'!$A$3:$A$4887,'Rate Analysis'!$C$3:$C$4887)</f>
        <v>Sand  filling work with watering &amp; proper manual compaction.</v>
      </c>
      <c r="D26" s="693" t="str">
        <f>LOOKUP(A26,'Rate Analysis'!$A$3:$A$4887,'Rate Analysis'!$F$3:$F$4887)</f>
        <v>Cum.</v>
      </c>
      <c r="E26" s="694">
        <f>LOOKUP(A26,'Rate Analysis'!$A$3:$A$4887,'Rate Analysis'!$G$3:$G$4887)</f>
        <v>3029</v>
      </c>
      <c r="F26" s="694">
        <f>LOOKUP(A26,'Rate Analysis'!$A$3:$A$4887,'Rate Analysis'!$H$3:$H$4887)</f>
        <v>3483.35</v>
      </c>
    </row>
    <row r="27" spans="1:6" s="695" customFormat="1" ht="29.25" customHeight="1">
      <c r="A27" s="702">
        <f>'Rate Analysis'!A136</f>
        <v>2.08</v>
      </c>
      <c r="B27" s="691" t="str">
        <f>LOOKUP(A27,'Rate Analysis'!$A$3:$A$4887,'Rate Analysis'!$B$3:$B$4887)</f>
        <v xml:space="preserve"> B3 (2-42B)</v>
      </c>
      <c r="C27" s="692" t="str">
        <f>LOOKUP(A27,'Rate Analysis'!$A$3:$A$4887,'Rate Analysis'!$C$3:$C$4887)</f>
        <v>Gravel Sand mixed (agg-50% + sand 50%) filling work with  proper manual compaction.</v>
      </c>
      <c r="D27" s="693" t="str">
        <f>LOOKUP(A27,'Rate Analysis'!$A$3:$A$4887,'Rate Analysis'!$F$3:$F$4887)</f>
        <v>Cum.</v>
      </c>
      <c r="E27" s="694">
        <f>LOOKUP(A27,'Rate Analysis'!$A$3:$A$4887,'Rate Analysis'!$G$3:$G$4887)</f>
        <v>2225.5</v>
      </c>
      <c r="F27" s="694">
        <f>LOOKUP(A27,'Rate Analysis'!$A$3:$A$4887,'Rate Analysis'!$H$3:$H$4887)</f>
        <v>2559.3200000000002</v>
      </c>
    </row>
    <row r="28" spans="1:6" s="695" customFormat="1" ht="28.2" customHeight="1">
      <c r="A28" s="702">
        <f>'Rate Analysis'!A151</f>
        <v>2.09</v>
      </c>
      <c r="B28" s="691" t="str">
        <f>LOOKUP(A28,'Rate Analysis'!$A$3:$A$4887,'Rate Analysis'!$B$3:$B$4887)</f>
        <v xml:space="preserve"> B4 (2-34)</v>
      </c>
      <c r="C28" s="692" t="str">
        <f>LOOKUP(A28,'Rate Analysis'!$A$3:$A$4887,'Rate Analysis'!$C$3:$C$4887)</f>
        <v>Pumping of water from foundation or trench</v>
      </c>
      <c r="D28" s="693" t="str">
        <f>LOOKUP(A28,'Rate Analysis'!$A$3:$A$4887,'Rate Analysis'!$F$3:$F$4887)</f>
        <v>Hrs</v>
      </c>
      <c r="E28" s="694">
        <f>'Rate Analysis'!G151</f>
        <v>50.713999999999999</v>
      </c>
      <c r="F28" s="694">
        <f>E28*1.15</f>
        <v>58.321099999999994</v>
      </c>
    </row>
    <row r="29" spans="1:6" s="695" customFormat="1" ht="31.2">
      <c r="A29" s="702">
        <f>'Rate Analysis'!A158</f>
        <v>2.11</v>
      </c>
      <c r="B29" s="691" t="str">
        <f>LOOKUP(A29,[5]Analysis!$A$3:$A$6312,[5]Analysis!$B$3:$B$6312)</f>
        <v xml:space="preserve"> B5</v>
      </c>
      <c r="C29" s="692" t="str">
        <f>LOOKUP(A29,[5]Analysis!$A$3:$A$6312,[5]Analysis!$C$3:$C$6312)</f>
        <v xml:space="preserve">Compaction of filled earth by 8-10 M.T. roller in 20/20 cm layer </v>
      </c>
      <c r="D29" s="693" t="str">
        <f>LOOKUP(A29,[5]Analysis!$A$3:$A$6312,[5]Analysis!$F$3:$F$6312)</f>
        <v>Cum.</v>
      </c>
      <c r="E29" s="694">
        <f>'Rate Analysis'!G158</f>
        <v>26.18</v>
      </c>
      <c r="F29" s="694">
        <f>'Rate Analysis'!H158</f>
        <v>30.11</v>
      </c>
    </row>
    <row r="30" spans="1:6" s="695" customFormat="1" ht="31.2">
      <c r="A30" s="702">
        <f>'Rate Analysis'!A164</f>
        <v>2.12</v>
      </c>
      <c r="B30" s="691" t="str">
        <f>LOOKUP(A30,[5]Analysis!$A$3:$A$6312,[5]Analysis!$B$3:$B$6312)</f>
        <v xml:space="preserve"> B5</v>
      </c>
      <c r="C30" s="692" t="str">
        <f>LOOKUP(A30,[5]Analysis!$A$3:$A$6312,[5]Analysis!$C$3:$C$6312)</f>
        <v xml:space="preserve">Compaction of filled earth by 1.00 M.T. Hand roller in 20/20 cm layer </v>
      </c>
      <c r="D30" s="693" t="str">
        <f>LOOKUP(A30,[5]Analysis!$A$3:$A$6312,[5]Analysis!$F$3:$F$6312)</f>
        <v>Cum.</v>
      </c>
      <c r="E30" s="694">
        <f>'Rate Analysis'!G164</f>
        <v>5.01</v>
      </c>
      <c r="F30" s="694">
        <f>'Rate Analysis'!H164</f>
        <v>5.76</v>
      </c>
    </row>
    <row r="31" spans="1:6" s="695" customFormat="1" ht="46.8">
      <c r="A31" s="702">
        <f>'Rate Analysis'!A172</f>
        <v>2.13</v>
      </c>
      <c r="B31" s="691" t="str">
        <f>LOOKUP(A31,[5]Analysis!$A$3:$A$6312,[5]Analysis!$B$3:$B$6312)</f>
        <v xml:space="preserve"> B7</v>
      </c>
      <c r="C31" s="692" t="str">
        <f>LOOKUP(A31,[5]Analysis!$A$3:$A$6312,[5]Analysis!$C$3:$C$6312)</f>
        <v>Earth work excavation in foundation in SOFT SOIL(USED 0.80 CUM. CAPACITY HYDROLIC EXCAVATOR)</v>
      </c>
      <c r="D31" s="693" t="str">
        <f>LOOKUP(A31,[5]Analysis!$A$3:$A$6312,[5]Analysis!$F$3:$F$6312)</f>
        <v>Cum.</v>
      </c>
      <c r="E31" s="694">
        <f>'Rate Analysis'!G172</f>
        <v>41.65</v>
      </c>
      <c r="F31" s="694">
        <f>'Rate Analysis'!H172</f>
        <v>47.89</v>
      </c>
    </row>
    <row r="32" spans="1:6" s="695" customFormat="1" ht="46.8">
      <c r="A32" s="702">
        <f>'Rate Analysis'!A180</f>
        <v>2.14</v>
      </c>
      <c r="B32" s="691" t="str">
        <f>LOOKUP(A32,[5]Analysis!$A$3:$A$6312,[5]Analysis!$B$3:$B$6312)</f>
        <v xml:space="preserve"> B7</v>
      </c>
      <c r="C32" s="692" t="str">
        <f>LOOKUP(A32,[5]Analysis!$A$3:$A$6312,[5]Analysis!$C$3:$C$6312)</f>
        <v>Earth work excavation in foundation in HARD SOIL USED 0.80 CUM. CAPACITY HYDROLIC EXCAVATOR)</v>
      </c>
      <c r="D32" s="693" t="str">
        <f>LOOKUP(A32,[5]Analysis!$A$3:$A$6312,[5]Analysis!$F$3:$F$6312)</f>
        <v>Cum.</v>
      </c>
      <c r="E32" s="694">
        <f>'Rate Analysis'!G180</f>
        <v>50.06</v>
      </c>
      <c r="F32" s="694">
        <f>'Rate Analysis'!H180</f>
        <v>57.56</v>
      </c>
    </row>
    <row r="33" spans="1:6" s="695" customFormat="1" ht="46.8">
      <c r="A33" s="702">
        <f>'Rate Analysis'!A188</f>
        <v>2.15</v>
      </c>
      <c r="B33" s="691" t="str">
        <f>LOOKUP(A33,[5]Analysis!$A$3:$A$6312,[5]Analysis!$B$3:$B$6312)</f>
        <v xml:space="preserve"> B7</v>
      </c>
      <c r="C33" s="692" t="str">
        <f>LOOKUP(A33,[5]Analysis!$A$3:$A$6312,[5]Analysis!$C$3:$C$6312)</f>
        <v>Earth work excavation in foundation in HARD SOIL USED 0.80 CUM. CAPACITY HYDROLIC EXCAVATOR)</v>
      </c>
      <c r="D33" s="693" t="str">
        <f>LOOKUP(A33,[5]Analysis!$A$3:$A$6312,[5]Analysis!$F$3:$F$6312)</f>
        <v>Cum.</v>
      </c>
      <c r="E33" s="703">
        <f>'Rate Analysis'!G188</f>
        <v>50.06</v>
      </c>
      <c r="F33" s="703">
        <f>'Rate Analysis'!H188</f>
        <v>57.56</v>
      </c>
    </row>
    <row r="34" spans="1:6" s="695" customFormat="1" ht="31.2">
      <c r="A34" s="702">
        <f>'Rate Analysis'!A196</f>
        <v>2.16</v>
      </c>
      <c r="B34" s="691" t="str">
        <f>LOOKUP(A34,[5]Analysis!$A$3:$A$6312,[5]Analysis!$B$3:$B$6312)</f>
        <v xml:space="preserve"> B7</v>
      </c>
      <c r="C34" s="692" t="str">
        <f>LOOKUP(A34,[5]Analysis!$A$3:$A$6312,[5]Analysis!$C$3:$C$6312)</f>
        <v>Earth work excavation in foundation in SOFT SOILUsed 1.32Cum capecity hydrolic excavator</v>
      </c>
      <c r="D34" s="693" t="str">
        <f>LOOKUP(A34,[5]Analysis!$A$3:$A$6312,[5]Analysis!$F$3:$F$6312)</f>
        <v>Cum.</v>
      </c>
      <c r="E34" s="694">
        <f>'Rate Analysis'!G196</f>
        <v>27.63</v>
      </c>
      <c r="F34" s="694">
        <f>'Rate Analysis'!H196</f>
        <v>31.77</v>
      </c>
    </row>
    <row r="35" spans="1:6" s="695" customFormat="1" ht="31.2">
      <c r="A35" s="702">
        <f>'Rate Analysis'!A204</f>
        <v>2.17</v>
      </c>
      <c r="B35" s="691" t="str">
        <f>'Rate Analysis'!B204</f>
        <v xml:space="preserve"> B7</v>
      </c>
      <c r="C35" s="692" t="str">
        <f>'Rate Analysis'!C204</f>
        <v>Earth work excavation in foundation in HARD SOIL Used 1.32Cum capecity Hydraulic excavator</v>
      </c>
      <c r="D35" s="704" t="str">
        <f>'Rate Analysis'!F204</f>
        <v>Cum.</v>
      </c>
      <c r="E35" s="694">
        <f>'Rate Analysis'!G204</f>
        <v>33.64</v>
      </c>
      <c r="F35" s="694">
        <f>'Rate Analysis'!H204</f>
        <v>38.68</v>
      </c>
    </row>
    <row r="36" spans="1:6" s="689" customFormat="1">
      <c r="B36" s="686"/>
      <c r="C36" s="685" t="s">
        <v>429</v>
      </c>
      <c r="D36" s="685"/>
      <c r="E36" s="688"/>
      <c r="F36" s="688"/>
    </row>
    <row r="37" spans="1:6" s="695" customFormat="1" ht="99.6" customHeight="1">
      <c r="A37" s="696">
        <f>'Rate Analysis'!A213</f>
        <v>3.01</v>
      </c>
      <c r="B37" s="691" t="str">
        <f>LOOKUP(A37,'Rate Analysis'!$A$3:$A$4887,'Rate Analysis'!$B$3:$B$4887)</f>
        <v>C2(5-1-B1 &amp; 5-2A)</v>
      </c>
      <c r="C37" s="705" t="s">
        <v>1608</v>
      </c>
      <c r="D37" s="693" t="str">
        <f>LOOKUP(A37,'Rate Analysis'!$A$3:$A$4887,'Rate Analysis'!$F$3:$F$4887)</f>
        <v>Cum.</v>
      </c>
      <c r="E37" s="694">
        <f>LOOKUP(A37,'Rate Analysis'!$A$3:$A$4887,'Rate Analysis'!$G$3:$G$4887)</f>
        <v>13587.22</v>
      </c>
      <c r="F37" s="694">
        <f>LOOKUP(A37,'Rate Analysis'!$A$3:$A$4887,'Rate Analysis'!$H$3:$H$4887)</f>
        <v>15625.3</v>
      </c>
    </row>
    <row r="38" spans="1:6" s="695" customFormat="1" ht="93.6">
      <c r="A38" s="702">
        <f>'Rate Analysis'!A227</f>
        <v>3.02</v>
      </c>
      <c r="B38" s="706" t="str">
        <f>LOOKUP(A38,'Rate Analysis'!$A$3:$A$4887,'Rate Analysis'!$B$3:$B$4887)</f>
        <v xml:space="preserve"> C2(5-1-B1 &amp; 5-2B)</v>
      </c>
      <c r="C38" s="705" t="s">
        <v>1609</v>
      </c>
      <c r="D38" s="693" t="str">
        <f>LOOKUP(A38,'Rate Analysis'!$A$3:$A$4887,'Rate Analysis'!$F$3:$F$4887)</f>
        <v>Cum.</v>
      </c>
      <c r="E38" s="694">
        <f>LOOKUP(A38,'Rate Analysis'!$A$3:$A$4887,'Rate Analysis'!$G$3:$G$4887)</f>
        <v>14035.27</v>
      </c>
      <c r="F38" s="694">
        <f>LOOKUP(A38,'Rate Analysis'!$A$3:$A$4887,'Rate Analysis'!$H$3:$H$4887)</f>
        <v>16140.560000000001</v>
      </c>
    </row>
    <row r="39" spans="1:6" s="695" customFormat="1" ht="93.6">
      <c r="A39" s="707">
        <f>'Rate Analysis'!A241</f>
        <v>3.03</v>
      </c>
      <c r="B39" s="708" t="str">
        <f>LOOKUP(A39,'Rate Analysis'!$A$3:$A$4887,'Rate Analysis'!$B$3:$B$4887)</f>
        <v xml:space="preserve"> C2(5-1-B1 &amp; 5-2B)</v>
      </c>
      <c r="C39" s="705" t="s">
        <v>1610</v>
      </c>
      <c r="D39" s="709" t="str">
        <f>LOOKUP(A39,'Rate Analysis'!$A$3:$A$4887,'Rate Analysis'!$F$3:$F$4887)</f>
        <v>Cum.</v>
      </c>
      <c r="E39" s="710">
        <f>LOOKUP(A39,'Rate Analysis'!$A$3:$A$4887,'Rate Analysis'!$G$3:$G$4887)</f>
        <v>14662.54</v>
      </c>
      <c r="F39" s="710">
        <f>LOOKUP(A39,'Rate Analysis'!$A$3:$A$4887,'Rate Analysis'!$H$3:$H$4887)</f>
        <v>16861.920000000002</v>
      </c>
    </row>
    <row r="40" spans="1:6" s="695" customFormat="1" ht="93.6">
      <c r="A40" s="696">
        <f>'Rate Analysis'!A255</f>
        <v>3.04</v>
      </c>
      <c r="B40" s="706" t="str">
        <f>LOOKUP(A40,'Rate Analysis'!$A$3:$A$4887,'Rate Analysis'!$B$3:$B$4887)</f>
        <v>C2( 5-1-B2 &amp; 5-2A)</v>
      </c>
      <c r="C40" s="692" t="s">
        <v>1611</v>
      </c>
      <c r="D40" s="693" t="str">
        <f>LOOKUP(A40,'Rate Analysis'!$A$3:$A$4887,'Rate Analysis'!$F$3:$F$4887)</f>
        <v>Cum.</v>
      </c>
      <c r="E40" s="694">
        <f>LOOKUP(A40,'Rate Analysis'!$A$3:$A$4887,'Rate Analysis'!$G$3:$G$4887)</f>
        <v>13189.22</v>
      </c>
      <c r="F40" s="694">
        <f>LOOKUP(A40,'Rate Analysis'!$A$3:$A$4887,'Rate Analysis'!$H$3:$H$4887)</f>
        <v>15167.599999999999</v>
      </c>
    </row>
    <row r="41" spans="1:6" s="695" customFormat="1" ht="93.6">
      <c r="A41" s="696">
        <f>'Rate Analysis'!A269</f>
        <v>3.05</v>
      </c>
      <c r="B41" s="706" t="str">
        <f>LOOKUP(A41,'Rate Analysis'!$A$3:$A$4887,'Rate Analysis'!$B$3:$B$4887)</f>
        <v>C25-1-B2   &amp; 5-2B)</v>
      </c>
      <c r="C41" s="692" t="s">
        <v>1612</v>
      </c>
      <c r="D41" s="693" t="str">
        <f>LOOKUP(A41,'Rate Analysis'!$A$3:$A$4887,'Rate Analysis'!$F$3:$F$4887)</f>
        <v>Cum.</v>
      </c>
      <c r="E41" s="694">
        <f>LOOKUP(A41,'Rate Analysis'!$A$3:$A$4887,'Rate Analysis'!$G$3:$G$4887)</f>
        <v>13637.27</v>
      </c>
      <c r="F41" s="694">
        <f>LOOKUP(A41,'Rate Analysis'!$A$3:$A$4887,'Rate Analysis'!$H$3:$H$4887)</f>
        <v>15682.86</v>
      </c>
    </row>
    <row r="42" spans="1:6" s="695" customFormat="1" ht="93.6">
      <c r="A42" s="696">
        <f>'Rate Analysis'!A282</f>
        <v>3.06</v>
      </c>
      <c r="B42" s="706" t="str">
        <f>LOOKUP(A42,'Rate Analysis'!$A$3:$A$4887,'Rate Analysis'!$B$3:$B$4887)</f>
        <v>C2(5-1-B2   &amp; 5-2B)</v>
      </c>
      <c r="C42" s="692" t="s">
        <v>1613</v>
      </c>
      <c r="D42" s="693" t="str">
        <f>LOOKUP(A42,'Rate Analysis'!$A$3:$A$4887,'Rate Analysis'!$F$3:$F$4887)</f>
        <v>Cum.</v>
      </c>
      <c r="E42" s="694">
        <f>LOOKUP(A42,'Rate Analysis'!$A$3:$A$4887,'Rate Analysis'!$G$3:$G$4887)</f>
        <v>14264.54</v>
      </c>
      <c r="F42" s="694">
        <f>LOOKUP(A42,'Rate Analysis'!$A$3:$A$4887,'Rate Analysis'!$H$3:$H$4887)</f>
        <v>16404.22</v>
      </c>
    </row>
    <row r="43" spans="1:6" s="695" customFormat="1" ht="93.6">
      <c r="A43" s="696">
        <f>'Rate Analysis'!A296</f>
        <v>3.07</v>
      </c>
      <c r="B43" s="706" t="str">
        <f>LOOKUP(A43,'Rate Analysis'!$A$3:$A$4887,'Rate Analysis'!$B$3:$B$4887)</f>
        <v>C2(5-1-B3   &amp; 5-2A)</v>
      </c>
      <c r="C43" s="692" t="s">
        <v>1614</v>
      </c>
      <c r="D43" s="693" t="str">
        <f>LOOKUP(A43,'Rate Analysis'!$A$3:$A$4887,'Rate Analysis'!$F$3:$F$4887)</f>
        <v>Cum.</v>
      </c>
      <c r="E43" s="694">
        <f>LOOKUP(A43,'Rate Analysis'!$A$3:$A$4887,'Rate Analysis'!$G$3:$G$4887)</f>
        <v>12813.22</v>
      </c>
      <c r="F43" s="694">
        <f>LOOKUP(A43,'Rate Analysis'!$A$3:$A$4887,'Rate Analysis'!$H$3:$H$4887)</f>
        <v>14735.199999999999</v>
      </c>
    </row>
    <row r="44" spans="1:6" s="695" customFormat="1" ht="93.6">
      <c r="A44" s="696">
        <f>'Rate Analysis'!A310</f>
        <v>3.08</v>
      </c>
      <c r="B44" s="706" t="str">
        <f>LOOKUP(A44,'Rate Analysis'!$A$3:$A$4887,'Rate Analysis'!$B$3:$B$4887)</f>
        <v xml:space="preserve"> C2(5-1-B3 &amp; 5-2B)</v>
      </c>
      <c r="C44" s="692" t="s">
        <v>1615</v>
      </c>
      <c r="D44" s="693" t="str">
        <f>LOOKUP(A44,'Rate Analysis'!$A$3:$A$4887,'Rate Analysis'!$F$3:$F$4887)</f>
        <v>Cum.</v>
      </c>
      <c r="E44" s="694">
        <f>LOOKUP(A44,'Rate Analysis'!$A$3:$A$4887,'Rate Analysis'!$G$3:$G$4887)</f>
        <v>13261.27</v>
      </c>
      <c r="F44" s="694">
        <f>LOOKUP(A44,'Rate Analysis'!$A$3:$A$4887,'Rate Analysis'!$H$3:$H$4887)</f>
        <v>15250.460000000001</v>
      </c>
    </row>
    <row r="45" spans="1:6" s="695" customFormat="1" ht="93.6">
      <c r="A45" s="696">
        <f>'Rate Analysis'!A324</f>
        <v>3.09</v>
      </c>
      <c r="B45" s="706" t="str">
        <f>LOOKUP(A45,'Rate Analysis'!$A$3:$A$4887,'Rate Analysis'!$B$3:$B$4887)</f>
        <v>C2( 5-1-B3 &amp; 5-2B)</v>
      </c>
      <c r="C45" s="692" t="s">
        <v>1616</v>
      </c>
      <c r="D45" s="693" t="str">
        <f>LOOKUP(A45,'Rate Analysis'!$A$3:$A$4887,'Rate Analysis'!$F$3:$F$4887)</f>
        <v>Cum.</v>
      </c>
      <c r="E45" s="694">
        <f>LOOKUP(A45,'Rate Analysis'!$A$3:$A$4887,'Rate Analysis'!$G$3:$G$4887)</f>
        <v>13888.54</v>
      </c>
      <c r="F45" s="694">
        <f>LOOKUP(A45,'Rate Analysis'!$A$3:$A$4887,'Rate Analysis'!$H$3:$H$4887)</f>
        <v>15971.820000000002</v>
      </c>
    </row>
    <row r="46" spans="1:6" s="695" customFormat="1" ht="31.2" hidden="1">
      <c r="A46" s="702">
        <f>'Rate Analysis'!A338</f>
        <v>3.1</v>
      </c>
      <c r="B46" s="706" t="str">
        <f>LOOKUP(A46,'Rate Analysis'!$A$3:$A$4887,'Rate Analysis'!$B$3:$B$4887)</f>
        <v>C2(5-1-B6 &amp; 5-2A)</v>
      </c>
      <c r="C46" s="692" t="str">
        <f>LOOKUP(A46,'Rate Analysis'!$A$3:$A$4887,'Rate Analysis'!$C$3:$C$4887)</f>
        <v>First class chimney brick masonry work in mud mortar in G. F.</v>
      </c>
      <c r="D46" s="693" t="str">
        <f>LOOKUP(A46,'Rate Analysis'!$A$3:$A$4887,'Rate Analysis'!$F$3:$F$4887)</f>
        <v>Cum.</v>
      </c>
      <c r="E46" s="694">
        <f>LOOKUP(A46,'Rate Analysis'!$A$3:$A$4887,'Rate Analysis'!$G$3:$G$4887)</f>
        <v>10306.219999999999</v>
      </c>
      <c r="F46" s="694">
        <f>LOOKUP(A46,'Rate Analysis'!$A$3:$A$4887,'Rate Analysis'!$H$3:$H$4887)</f>
        <v>11852.15</v>
      </c>
    </row>
    <row r="47" spans="1:6" s="695" customFormat="1" ht="46.8" hidden="1">
      <c r="A47" s="696">
        <f>'Rate Analysis'!A351</f>
        <v>3.11</v>
      </c>
      <c r="B47" s="706" t="str">
        <f>LOOKUP(A47,'Rate Analysis'!$A$3:$A$4887,'Rate Analysis'!$B$3:$B$4887)</f>
        <v>C2( 5-1-B6 &amp; 5-2B)</v>
      </c>
      <c r="C47" s="692" t="str">
        <f>LOOKUP(A47,'Rate Analysis'!$A$3:$A$4887,'Rate Analysis'!$C$3:$C$4887)</f>
        <v>First class chimney brick masonry work in mud mortar in F. F.</v>
      </c>
      <c r="D47" s="693" t="str">
        <f>LOOKUP(A47,'Rate Analysis'!$A$3:$A$4887,'Rate Analysis'!$F$3:$F$4887)</f>
        <v>Cum.</v>
      </c>
      <c r="E47" s="694">
        <f>LOOKUP(A47,'Rate Analysis'!$A$3:$A$4887,'Rate Analysis'!$G$3:$G$4887)</f>
        <v>10754.27</v>
      </c>
      <c r="F47" s="694">
        <f>LOOKUP(A47,'Rate Analysis'!$A$3:$A$4887,'Rate Analysis'!$H$3:$H$4887)</f>
        <v>12367.41</v>
      </c>
    </row>
    <row r="48" spans="1:6" s="695" customFormat="1" ht="46.8" hidden="1">
      <c r="A48" s="696">
        <f>'Rate Analysis'!A364</f>
        <v>3.12</v>
      </c>
      <c r="B48" s="706" t="str">
        <f>LOOKUP(A48,'Rate Analysis'!$A$3:$A$4887,'Rate Analysis'!$B$3:$B$4887)</f>
        <v xml:space="preserve"> C2(5-1-B6 &amp; 5-2B)</v>
      </c>
      <c r="C48" s="692" t="str">
        <f>LOOKUP(A48,'Rate Analysis'!$A$3:$A$4887,'Rate Analysis'!$C$3:$C$4887)</f>
        <v>First class chimney brick masonry work in mud mortar in S. F.</v>
      </c>
      <c r="D48" s="693" t="str">
        <f>LOOKUP(A48,'Rate Analysis'!$A$3:$A$4887,'Rate Analysis'!$F$3:$F$4887)</f>
        <v>Cum.</v>
      </c>
      <c r="E48" s="694">
        <f>LOOKUP(A48,'Rate Analysis'!$A$3:$A$4887,'Rate Analysis'!$G$3:$G$4887)</f>
        <v>11381.54</v>
      </c>
      <c r="F48" s="694">
        <f>LOOKUP(A48,'Rate Analysis'!$A$3:$A$4887,'Rate Analysis'!$H$3:$H$4887)</f>
        <v>13088.77</v>
      </c>
    </row>
    <row r="49" spans="1:6" s="695" customFormat="1" ht="18.75" customHeight="1">
      <c r="A49" s="696">
        <f>'Rate Analysis'!A377</f>
        <v>3.13</v>
      </c>
      <c r="B49" s="706" t="str">
        <f>LOOKUP(A49,'Rate Analysis'!$A$3:$A$4887,'Rate Analysis'!$B$3:$B$4887)</f>
        <v>C6( 6-1-1A)</v>
      </c>
      <c r="C49" s="692" t="str">
        <f>LOOKUP(A49,'Rate Analysis'!$A$3:$A$4887,'Rate Analysis'!$C$3:$C$4887)</f>
        <v xml:space="preserve">R.R. stone masonry work in cement sand (1:3) mortar </v>
      </c>
      <c r="D49" s="693" t="str">
        <f>LOOKUP(A49,'Rate Analysis'!$A$3:$A$4887,'Rate Analysis'!$F$3:$F$4887)</f>
        <v>Cum.</v>
      </c>
      <c r="E49" s="694">
        <f>LOOKUP(A49,'Rate Analysis'!$A$3:$A$4887,'Rate Analysis'!$G$3:$G$4887)</f>
        <v>11881</v>
      </c>
      <c r="F49" s="694">
        <f>LOOKUP(A49,'Rate Analysis'!$A$3:$A$4887,'Rate Analysis'!$H$3:$H$4887)</f>
        <v>13663.15</v>
      </c>
    </row>
    <row r="50" spans="1:6" s="695" customFormat="1" ht="18.75" customHeight="1">
      <c r="A50" s="696">
        <f>'Rate Analysis'!A390</f>
        <v>3.14</v>
      </c>
      <c r="B50" s="706" t="str">
        <f>LOOKUP(A50,'Rate Analysis'!$A$3:$A$4887,'Rate Analysis'!$B$3:$B$4887)</f>
        <v>C6( 6-1-1B)</v>
      </c>
      <c r="C50" s="692" t="str">
        <f>LOOKUP(A50,'Rate Analysis'!$A$3:$A$4887,'Rate Analysis'!$C$3:$C$4887)</f>
        <v xml:space="preserve">R.R. stone masonry work in cement sand (1:4) mortar </v>
      </c>
      <c r="D50" s="693" t="str">
        <f>LOOKUP(A50,'Rate Analysis'!$A$3:$A$4887,'Rate Analysis'!$F$3:$F$4887)</f>
        <v>Cum.</v>
      </c>
      <c r="E50" s="694">
        <f>LOOKUP(A50,'Rate Analysis'!$A$3:$A$4887,'Rate Analysis'!$G$3:$G$4887)</f>
        <v>11457</v>
      </c>
      <c r="F50" s="694">
        <f>LOOKUP(A50,'Rate Analysis'!$A$3:$A$4887,'Rate Analysis'!$H$3:$H$4887)</f>
        <v>13175.55</v>
      </c>
    </row>
    <row r="51" spans="1:6" s="695" customFormat="1" ht="27" hidden="1" customHeight="1">
      <c r="A51" s="690" t="str">
        <f>'Rate Analysis'!A416</f>
        <v>3.14a</v>
      </c>
      <c r="B51" s="706" t="str">
        <f>'Rate Analysis'!B416</f>
        <v>C9( 6-3-5)</v>
      </c>
      <c r="C51" s="692" t="str">
        <f>'Rate Analysis'!C416</f>
        <v xml:space="preserve">Aslar (Crused stone) stone masonry work in cement sand (1:6) mortar </v>
      </c>
      <c r="D51" s="693" t="str">
        <f>LOOKUP(A51,'Rate Analysis'!$A$3:$A$4887,'Rate Analysis'!$F$3:$F$4887)</f>
        <v>Cum.</v>
      </c>
      <c r="E51" s="694">
        <f>'Rate Analysis'!G416</f>
        <v>0</v>
      </c>
      <c r="F51" s="694">
        <f>'Rate Analysis'!H416</f>
        <v>0</v>
      </c>
    </row>
    <row r="52" spans="1:6" s="695" customFormat="1" ht="18.75" customHeight="1">
      <c r="A52" s="696">
        <f>'Rate Analysis'!A403</f>
        <v>3.15</v>
      </c>
      <c r="B52" s="706" t="str">
        <f>LOOKUP(A52,'Rate Analysis'!$A$3:$A$4887,'Rate Analysis'!$B$3:$B$4887)</f>
        <v>C6( 6-1-1C)</v>
      </c>
      <c r="C52" s="692" t="str">
        <f>LOOKUP(A52,'Rate Analysis'!$A$3:$A$4887,'Rate Analysis'!$C$3:$C$4887)</f>
        <v xml:space="preserve">R.R. stone masonry work in cement sand (1:6) mortar </v>
      </c>
      <c r="D52" s="693" t="str">
        <f>LOOKUP(A52,'Rate Analysis'!$A$3:$A$4887,'Rate Analysis'!$F$3:$F$4887)</f>
        <v>Cum.</v>
      </c>
      <c r="E52" s="694">
        <f>LOOKUP(A52,'Rate Analysis'!$A$3:$A$4887,'Rate Analysis'!$G$3:$G$4887)</f>
        <v>10759</v>
      </c>
      <c r="F52" s="694">
        <f>LOOKUP(A52,'Rate Analysis'!$A$3:$A$4887,'Rate Analysis'!$H$3:$H$4887)</f>
        <v>12372.85</v>
      </c>
    </row>
    <row r="53" spans="1:6" s="695" customFormat="1" ht="27" hidden="1" customHeight="1">
      <c r="A53" s="690" t="str">
        <f>'Rate Analysis'!A427</f>
        <v>3.15a</v>
      </c>
      <c r="B53" s="706" t="str">
        <f>'Rate Analysis'!B427</f>
        <v>C6( 6-1-1C)</v>
      </c>
      <c r="C53" s="692" t="str">
        <f>'Rate Analysis'!C427</f>
        <v xml:space="preserve">R.R. stone masonry work in cement sand (1:6) mortar </v>
      </c>
      <c r="D53" s="693" t="str">
        <f>LOOKUP(A53,'Rate Analysis'!$A$3:$A$4887,'Rate Analysis'!$F$3:$F$4887)</f>
        <v>Cum.</v>
      </c>
      <c r="E53" s="694">
        <f>'Rate Analysis'!G427</f>
        <v>10659</v>
      </c>
      <c r="F53" s="694">
        <f>'Rate Analysis'!H427</f>
        <v>12257.85</v>
      </c>
    </row>
    <row r="54" spans="1:6" s="695" customFormat="1" ht="28.2" customHeight="1">
      <c r="A54" s="696">
        <f>'Rate Analysis'!A438</f>
        <v>3.16</v>
      </c>
      <c r="B54" s="706" t="str">
        <f>LOOKUP(A54,'Rate Analysis'!$A$3:$A$4887,'Rate Analysis'!$B$3:$B$4887)</f>
        <v>C6( 6-2-1)</v>
      </c>
      <c r="C54" s="692" t="str">
        <f>LOOKUP(A54,'Rate Analysis'!$A$3:$A$4887,'Rate Analysis'!$C$3:$C$4887)</f>
        <v xml:space="preserve">R.R. stone masonry work for dry wall </v>
      </c>
      <c r="D54" s="693" t="str">
        <f>LOOKUP(A54,'Rate Analysis'!$A$3:$A$4887,'Rate Analysis'!$F$3:$F$4887)</f>
        <v>Cum.</v>
      </c>
      <c r="E54" s="694">
        <f>LOOKUP(A54,'Rate Analysis'!$A$3:$A$4887,'Rate Analysis'!$G$3:$G$4887)</f>
        <v>5031</v>
      </c>
      <c r="F54" s="694">
        <f>LOOKUP(A54,'Rate Analysis'!$A$3:$A$4887,'Rate Analysis'!$H$3:$H$4887)</f>
        <v>5785.65</v>
      </c>
    </row>
    <row r="55" spans="1:6" s="695" customFormat="1" ht="18.75" customHeight="1">
      <c r="A55" s="696">
        <f>'Rate Analysis'!A447</f>
        <v>3.17</v>
      </c>
      <c r="B55" s="706" t="str">
        <f>LOOKUP(A55,'Rate Analysis'!$A$3:$A$4887,'Rate Analysis'!$B$3:$B$4887)</f>
        <v>C6( 6-2-2)</v>
      </c>
      <c r="C55" s="692" t="str">
        <f>LOOKUP(A55,'Rate Analysis'!$A$3:$A$4887,'Rate Analysis'!$C$3:$C$4887)</f>
        <v xml:space="preserve">R.R. stone masonry work in mud mortar </v>
      </c>
      <c r="D55" s="693" t="str">
        <f>LOOKUP(A55,'Rate Analysis'!$A$3:$A$4887,'Rate Analysis'!$F$3:$F$4887)</f>
        <v>Cum.</v>
      </c>
      <c r="E55" s="694">
        <f>LOOKUP(A55,'Rate Analysis'!$A$3:$A$4887,'Rate Analysis'!$G$3:$G$4887)</f>
        <v>5416.5</v>
      </c>
      <c r="F55" s="694">
        <f>LOOKUP(A55,'Rate Analysis'!$A$3:$A$4887,'Rate Analysis'!$H$3:$H$4887)</f>
        <v>6228.97</v>
      </c>
    </row>
    <row r="56" spans="1:6" s="695" customFormat="1" ht="18.75" customHeight="1">
      <c r="A56" s="696">
        <f>'Rate Analysis'!A459</f>
        <v>3.18</v>
      </c>
      <c r="B56" s="706" t="str">
        <f>LOOKUP(A56,'Rate Analysis'!$A$3:$A$4887,'Rate Analysis'!$B$3:$B$4887)</f>
        <v>C10( 6-5)</v>
      </c>
      <c r="C56" s="692" t="str">
        <f>LOOKUP(A56,'Rate Analysis'!$A$3:$A$4887,'Rate Analysis'!$C$3:$C$4887)</f>
        <v xml:space="preserve">Stone filling in trench with proper leveling </v>
      </c>
      <c r="D56" s="693" t="str">
        <f>LOOKUP(A56,'Rate Analysis'!$A$3:$A$4887,'Rate Analysis'!$F$3:$F$4887)</f>
        <v>Cum.</v>
      </c>
      <c r="E56" s="694">
        <f>LOOKUP(A56,'Rate Analysis'!$A$3:$A$4887,'Rate Analysis'!$G$3:$G$4887)</f>
        <v>3577</v>
      </c>
      <c r="F56" s="694">
        <f>LOOKUP(A56,'Rate Analysis'!$A$3:$A$4887,'Rate Analysis'!$H$3:$H$4887)</f>
        <v>4113.55</v>
      </c>
    </row>
    <row r="57" spans="1:6" s="695" customFormat="1" ht="95.4" customHeight="1">
      <c r="A57" s="696">
        <f>'Rate Analysis'!A468</f>
        <v>3.19</v>
      </c>
      <c r="B57" s="691" t="str">
        <f>'Rate Analysis'!B468</f>
        <v>C13</v>
      </c>
      <c r="C57" s="692" t="s">
        <v>1456</v>
      </c>
      <c r="D57" s="693" t="s">
        <v>455</v>
      </c>
      <c r="E57" s="694">
        <f>'Rate Analysis'!G468</f>
        <v>1697.5</v>
      </c>
      <c r="F57" s="694">
        <f>'Rate Analysis'!H468</f>
        <v>1952.125</v>
      </c>
    </row>
    <row r="58" spans="1:6" s="695" customFormat="1">
      <c r="B58" s="698"/>
      <c r="C58" s="699"/>
      <c r="D58" s="700"/>
      <c r="E58" s="701"/>
      <c r="F58" s="701"/>
    </row>
    <row r="59" spans="1:6" s="689" customFormat="1">
      <c r="B59" s="686"/>
      <c r="C59" s="685" t="s">
        <v>430</v>
      </c>
      <c r="D59" s="685"/>
      <c r="E59" s="688"/>
      <c r="F59" s="688"/>
    </row>
    <row r="60" spans="1:6" s="695" customFormat="1">
      <c r="B60" s="698"/>
      <c r="C60" s="700"/>
      <c r="D60" s="700"/>
      <c r="E60" s="701"/>
      <c r="F60" s="701"/>
    </row>
    <row r="61" spans="1:6" s="695" customFormat="1" ht="19.5" hidden="1" customHeight="1">
      <c r="A61" s="696">
        <f>'Rate Analysis'!A485</f>
        <v>4.01</v>
      </c>
      <c r="B61" s="691" t="str">
        <f>LOOKUP(A61,'Rate Analysis'!$A$3:$A$4887,'Rate Analysis'!$B$3:$B$4887)</f>
        <v>D1(7-2B)</v>
      </c>
      <c r="C61" s="711" t="str">
        <f>LOOKUP(A61,'Rate Analysis'!$A$3:$A$4887,'Rate Analysis'!$C$3:$C$4887)</f>
        <v>P.C.C. (1:4:8) work in foundation, wall (River bed)</v>
      </c>
      <c r="D61" s="693" t="str">
        <f>LOOKUP(A61,'Rate Analysis'!$A$3:$A$4887,'Rate Analysis'!$F$3:$F$4887)</f>
        <v>Cum.</v>
      </c>
      <c r="E61" s="694">
        <f>LOOKUP(A61,'Rate Analysis'!$A$3:$A$4887,'Rate Analysis'!$G$3:$G$4887)</f>
        <v>9722.7000000000007</v>
      </c>
      <c r="F61" s="694">
        <f>LOOKUP(A61,'Rate Analysis'!$A$3:$A$4887,'Rate Analysis'!$H$3:$H$4887)</f>
        <v>11181.1</v>
      </c>
    </row>
    <row r="62" spans="1:6" s="695" customFormat="1" ht="100.8" customHeight="1">
      <c r="A62" s="696">
        <f>'Rate Analysis'!A499</f>
        <v>4.0199999999999996</v>
      </c>
      <c r="B62" s="691" t="str">
        <f>LOOKUP(A62,'Rate Analysis'!$A$3:$A$4887,'Rate Analysis'!$B$3:$B$4887)</f>
        <v>D1(7-2C)</v>
      </c>
      <c r="C62" s="712" t="s">
        <v>1617</v>
      </c>
      <c r="D62" s="693" t="str">
        <f>LOOKUP(A62,'Rate Analysis'!$A$3:$A$4887,'Rate Analysis'!$F$3:$F$4887)</f>
        <v>Cum.</v>
      </c>
      <c r="E62" s="694">
        <f>LOOKUP(A62,'Rate Analysis'!$A$3:$A$4887,'Rate Analysis'!$G$3:$G$4887)</f>
        <v>10422.700000000001</v>
      </c>
      <c r="F62" s="694">
        <f>LOOKUP(A62,'Rate Analysis'!$A$3:$A$4887,'Rate Analysis'!$H$3:$H$4887)</f>
        <v>11986.1</v>
      </c>
    </row>
    <row r="63" spans="1:6" s="713" customFormat="1" ht="98.55" customHeight="1">
      <c r="A63" s="696">
        <f>'Rate Analysis'!A520</f>
        <v>4.03</v>
      </c>
      <c r="B63" s="691" t="str">
        <f>LOOKUP(A63,'Rate Analysis'!$A$3:$A$4887,'Rate Analysis'!$B$3:$B$4887)</f>
        <v>D1(7-2D)</v>
      </c>
      <c r="C63" s="712" t="s">
        <v>1618</v>
      </c>
      <c r="D63" s="693" t="str">
        <f>LOOKUP(A63,'Rate Analysis'!$A$3:$A$4887,'Rate Analysis'!$F$3:$F$4887)</f>
        <v>Cum.</v>
      </c>
      <c r="E63" s="694">
        <f>LOOKUP(A63,'Rate Analysis'!$A$3:$A$4887,'Rate Analysis'!$G$3:$G$4887)</f>
        <v>11703.300000000001</v>
      </c>
      <c r="F63" s="694">
        <f>LOOKUP(A63,'Rate Analysis'!$A$3:$A$4887,'Rate Analysis'!$H$3:$H$4887)</f>
        <v>13458.79</v>
      </c>
    </row>
    <row r="64" spans="1:6" s="695" customFormat="1" ht="99" customHeight="1">
      <c r="A64" s="696">
        <f>'Rate Analysis'!A534</f>
        <v>4.04</v>
      </c>
      <c r="B64" s="691" t="str">
        <f>LOOKUP(A64,'Rate Analysis'!$A$3:$A$4887,'Rate Analysis'!$B$3:$B$4887)</f>
        <v>D2(7-4A)</v>
      </c>
      <c r="C64" s="712" t="s">
        <v>1619</v>
      </c>
      <c r="D64" s="693" t="str">
        <f>LOOKUP(A64,'Rate Analysis'!$A$3:$A$4887,'Rate Analysis'!$F$3:$F$4887)</f>
        <v>Cum.</v>
      </c>
      <c r="E64" s="694">
        <f>LOOKUP(A64,'Rate Analysis'!$A$3:$A$4887,'Rate Analysis'!$G$3:$G$4887)</f>
        <v>14073.300000000001</v>
      </c>
      <c r="F64" s="694">
        <f>LOOKUP(A64,'Rate Analysis'!$A$3:$A$4887,'Rate Analysis'!$H$3:$H$4887)</f>
        <v>16184.29</v>
      </c>
    </row>
    <row r="65" spans="1:6" s="695" customFormat="1" ht="118.2" customHeight="1">
      <c r="A65" s="696">
        <f>'Rate Analysis'!A548</f>
        <v>4.05</v>
      </c>
      <c r="B65" s="691" t="str">
        <f>LOOKUP(A65,'Rate Analysis'!$A$3:$A$4887,'Rate Analysis'!$B$3:$B$4887)</f>
        <v>D2(7-4B)</v>
      </c>
      <c r="C65" s="711" t="s">
        <v>1620</v>
      </c>
      <c r="D65" s="693" t="str">
        <f>LOOKUP(A65,'Rate Analysis'!$A$3:$A$4887,'Rate Analysis'!$F$3:$F$4887)</f>
        <v>Cum.</v>
      </c>
      <c r="E65" s="694">
        <f>LOOKUP(A65,'Rate Analysis'!$A$3:$A$4887,'Rate Analysis'!$G$3:$G$4887)</f>
        <v>15158.800000000001</v>
      </c>
      <c r="F65" s="694">
        <f>LOOKUP(A65,'Rate Analysis'!$A$3:$A$4887,'Rate Analysis'!$H$3:$H$4887)</f>
        <v>17432.620000000003</v>
      </c>
    </row>
    <row r="66" spans="1:6" s="695" customFormat="1" ht="96.6" customHeight="1">
      <c r="A66" s="696">
        <f>'Rate Analysis'!A562</f>
        <v>4.0599999999999996</v>
      </c>
      <c r="B66" s="691" t="str">
        <f>LOOKUP(A66,'Rate Analysis'!$A$3:$A$4887,'Rate Analysis'!$B$3:$B$4887)</f>
        <v>D2(7-4C)</v>
      </c>
      <c r="C66" s="711" t="s">
        <v>1621</v>
      </c>
      <c r="D66" s="693" t="str">
        <f>LOOKUP(A66,'Rate Analysis'!$A$3:$A$4887,'Rate Analysis'!$F$3:$F$4887)</f>
        <v>Cum.</v>
      </c>
      <c r="E66" s="694">
        <f>LOOKUP(A66,'Rate Analysis'!$A$3:$A$4887,'Rate Analysis'!$G$3:$G$4887)</f>
        <v>18080.5</v>
      </c>
      <c r="F66" s="694">
        <f>LOOKUP(A66,'Rate Analysis'!$A$3:$A$4887,'Rate Analysis'!$H$3:$H$4887)</f>
        <v>20792.57</v>
      </c>
    </row>
    <row r="67" spans="1:6" s="695" customFormat="1" ht="109.2">
      <c r="A67" s="696">
        <f>'Rate Analysis'!A576</f>
        <v>4.07</v>
      </c>
      <c r="B67" s="691" t="str">
        <f>LOOKUP(A67,'Rate Analysis'!$A$3:$A$4887,'Rate Analysis'!$B$3:$B$4887)</f>
        <v>D3(A)</v>
      </c>
      <c r="C67" s="712" t="s">
        <v>1622</v>
      </c>
      <c r="D67" s="693" t="str">
        <f>LOOKUP(A67,'Rate Analysis'!$A$3:$A$4887,'Rate Analysis'!$F$3:$F$4887)</f>
        <v>Cum.</v>
      </c>
      <c r="E67" s="694">
        <f>LOOKUP(A67,'Rate Analysis'!$A$3:$A$4887,'Rate Analysis'!$G$3:$G$4887)</f>
        <v>10108.300000000001</v>
      </c>
      <c r="F67" s="694">
        <f>LOOKUP(A67,'Rate Analysis'!$A$3:$A$4887,'Rate Analysis'!$H$3:$H$4887)</f>
        <v>11624.54</v>
      </c>
    </row>
    <row r="68" spans="1:6" s="695" customFormat="1" ht="109.2">
      <c r="A68" s="696">
        <f>'Rate Analysis'!A594</f>
        <v>4.08</v>
      </c>
      <c r="B68" s="691" t="str">
        <f>LOOKUP(A68,'Rate Analysis'!$A$3:$A$4887,'Rate Analysis'!$B$3:$B$4887)</f>
        <v>D3(B)</v>
      </c>
      <c r="C68" s="711" t="s">
        <v>1623</v>
      </c>
      <c r="D68" s="693" t="str">
        <f>LOOKUP(A68,'Rate Analysis'!$A$3:$A$4887,'Rate Analysis'!$F$3:$F$4887)</f>
        <v>Cum.</v>
      </c>
      <c r="E68" s="694">
        <f>LOOKUP(A68,'Rate Analysis'!$A$3:$A$4887,'Rate Analysis'!$G$3:$G$4887)</f>
        <v>11479.1</v>
      </c>
      <c r="F68" s="694">
        <f>LOOKUP(A68,'Rate Analysis'!$A$3:$A$4887,'Rate Analysis'!$H$3:$H$4887)</f>
        <v>13200.960000000001</v>
      </c>
    </row>
    <row r="69" spans="1:6" s="695" customFormat="1" ht="109.2">
      <c r="A69" s="696">
        <f>'Rate Analysis'!A611</f>
        <v>4.09</v>
      </c>
      <c r="B69" s="691" t="str">
        <f>LOOKUP(A69,'Rate Analysis'!$A$3:$A$4887,'Rate Analysis'!$B$3:$B$4887)</f>
        <v>D4(A)</v>
      </c>
      <c r="C69" s="711" t="s">
        <v>1624</v>
      </c>
      <c r="D69" s="693" t="str">
        <f>LOOKUP(A69,'Rate Analysis'!$A$3:$A$4887,'Rate Analysis'!$F$3:$F$4887)</f>
        <v>Cum.</v>
      </c>
      <c r="E69" s="694">
        <f>LOOKUP(A69,'Rate Analysis'!$A$3:$A$4887,'Rate Analysis'!$G$3:$G$4887)</f>
        <v>12573.400000000001</v>
      </c>
      <c r="F69" s="694">
        <f>LOOKUP(A69,'Rate Analysis'!$A$3:$A$4887,'Rate Analysis'!$H$3:$H$4887)</f>
        <v>14459.410000000002</v>
      </c>
    </row>
    <row r="70" spans="1:6" s="695" customFormat="1" ht="109.2">
      <c r="A70" s="702">
        <f>'Rate Analysis'!A629</f>
        <v>4.0999999999999996</v>
      </c>
      <c r="B70" s="691" t="str">
        <f>LOOKUP(A70,'Rate Analysis'!$A$3:$A$4887,'Rate Analysis'!$B$3:$B$4887)</f>
        <v>D4(B)</v>
      </c>
      <c r="C70" s="711" t="s">
        <v>1625</v>
      </c>
      <c r="D70" s="693" t="str">
        <f>LOOKUP(A70,'Rate Analysis'!$A$3:$A$4887,'Rate Analysis'!$F$3:$F$4887)</f>
        <v>Cum.</v>
      </c>
      <c r="E70" s="694">
        <f>LOOKUP(A70,'Rate Analysis'!$A$3:$A$4887,'Rate Analysis'!$G$3:$G$4887)</f>
        <v>15495.1</v>
      </c>
      <c r="F70" s="694">
        <f>LOOKUP(A70,'Rate Analysis'!$A$3:$A$4887,'Rate Analysis'!$H$3:$H$4887)</f>
        <v>17819.36</v>
      </c>
    </row>
    <row r="71" spans="1:6" s="695" customFormat="1" ht="109.2">
      <c r="A71" s="696">
        <f>'Rate Analysis'!A647</f>
        <v>4.1100000000000003</v>
      </c>
      <c r="B71" s="691" t="str">
        <f>LOOKUP(A71,'Rate Analysis'!$A$3:$A$4887,'Rate Analysis'!$B$3:$B$4887)</f>
        <v>D(5)</v>
      </c>
      <c r="C71" s="711" t="s">
        <v>1626</v>
      </c>
      <c r="D71" s="693" t="str">
        <f>LOOKUP(A71,'Rate Analysis'!$A$3:$A$4887,'Rate Analysis'!$F$3:$F$4887)</f>
        <v>Cum.</v>
      </c>
      <c r="E71" s="694">
        <f>LOOKUP(A71,'Rate Analysis'!$A$3:$A$4887,'Rate Analysis'!$G$3:$G$4887)</f>
        <v>15280.75</v>
      </c>
      <c r="F71" s="694">
        <f>LOOKUP(A71,'Rate Analysis'!$A$3:$A$4887,'Rate Analysis'!$H$3:$H$4887)</f>
        <v>17572.86</v>
      </c>
    </row>
    <row r="72" spans="1:6" s="697" customFormat="1" ht="123.6" customHeight="1">
      <c r="A72" s="696">
        <f>'Rate Analysis'!A666</f>
        <v>4.12</v>
      </c>
      <c r="B72" s="691" t="str">
        <f>LOOKUP(A72,'Rate Analysis'!$A$3:$A$4887,'Rate Analysis'!$B$3:$B$4887)</f>
        <v>D1(7-2B)</v>
      </c>
      <c r="C72" s="711" t="s">
        <v>1627</v>
      </c>
      <c r="D72" s="693" t="str">
        <f>LOOKUP(A72,'Rate Analysis'!$A$3:$A$4887,'Rate Analysis'!$F$3:$F$4887)</f>
        <v>Cum.</v>
      </c>
      <c r="E72" s="694">
        <f>LOOKUP(A72,'Rate Analysis'!$A$3:$A$4887,'Rate Analysis'!$G$3:$G$4887)</f>
        <v>10064.950000000001</v>
      </c>
      <c r="F72" s="694">
        <f>LOOKUP(A72,'Rate Analysis'!$A$3:$A$4887,'Rate Analysis'!$H$3:$H$4887)</f>
        <v>11574.69</v>
      </c>
    </row>
    <row r="73" spans="1:6" s="697" customFormat="1" ht="124.8">
      <c r="A73" s="696">
        <f>'Rate Analysis'!A679</f>
        <v>4.13</v>
      </c>
      <c r="B73" s="691" t="str">
        <f>LOOKUP(A73,'Rate Analysis'!$A$3:$A$4887,'Rate Analysis'!$B$3:$B$4887)</f>
        <v>D1(7-2C)</v>
      </c>
      <c r="C73" s="711" t="s">
        <v>1628</v>
      </c>
      <c r="D73" s="693" t="str">
        <f>LOOKUP(A73,'Rate Analysis'!$A$3:$A$4887,'Rate Analysis'!$F$3:$F$4887)</f>
        <v>Cum.</v>
      </c>
      <c r="E73" s="694">
        <f>LOOKUP(A73,'Rate Analysis'!$A$3:$A$4887,'Rate Analysis'!$G$3:$G$4887)</f>
        <v>10764.95</v>
      </c>
      <c r="F73" s="694">
        <f>LOOKUP(A73,'Rate Analysis'!$A$3:$A$4887,'Rate Analysis'!$H$3:$H$4887)</f>
        <v>12379.69</v>
      </c>
    </row>
    <row r="74" spans="1:6" s="697" customFormat="1" ht="124.8">
      <c r="A74" s="696">
        <f>'Rate Analysis'!A701</f>
        <v>4.1399999999999997</v>
      </c>
      <c r="B74" s="691" t="str">
        <f>LOOKUP(A74,'Rate Analysis'!$A$3:$A$4887,'Rate Analysis'!$B$3:$B$4887)</f>
        <v>D1(7-2D)</v>
      </c>
      <c r="C74" s="711" t="s">
        <v>1629</v>
      </c>
      <c r="D74" s="693" t="str">
        <f>LOOKUP(A74,'Rate Analysis'!$A$3:$A$4887,'Rate Analysis'!$F$3:$F$4887)</f>
        <v>Cum.</v>
      </c>
      <c r="E74" s="694">
        <f>LOOKUP(A74,'Rate Analysis'!$A$3:$A$4887,'Rate Analysis'!$G$3:$G$4887)</f>
        <v>12091.800000000001</v>
      </c>
      <c r="F74" s="694">
        <f>LOOKUP(A74,'Rate Analysis'!$A$3:$A$4887,'Rate Analysis'!$H$3:$H$4887)</f>
        <v>13905.570000000002</v>
      </c>
    </row>
    <row r="75" spans="1:6" s="697" customFormat="1" ht="112.8" customHeight="1">
      <c r="A75" s="696">
        <f>'Rate Analysis'!A723</f>
        <v>4.1500000000000004</v>
      </c>
      <c r="B75" s="691" t="str">
        <f>LOOKUP(A75,'Rate Analysis'!$A$3:$A$4887,'Rate Analysis'!$B$3:$B$4887)</f>
        <v>D2(7-4A)</v>
      </c>
      <c r="C75" s="711" t="s">
        <v>1630</v>
      </c>
      <c r="D75" s="693" t="str">
        <f>LOOKUP(A75,'Rate Analysis'!$A$3:$A$4887,'Rate Analysis'!$F$3:$F$4887)</f>
        <v>Cum.</v>
      </c>
      <c r="E75" s="694">
        <f>LOOKUP(A75,'Rate Analysis'!$A$3:$A$4887,'Rate Analysis'!$G$3:$G$4887)</f>
        <v>14461.800000000001</v>
      </c>
      <c r="F75" s="694">
        <f>LOOKUP(A75,'Rate Analysis'!$A$3:$A$4887,'Rate Analysis'!$H$3:$H$4887)</f>
        <v>16631.07</v>
      </c>
    </row>
    <row r="76" spans="1:6" s="697" customFormat="1" ht="113.4" customHeight="1">
      <c r="A76" s="696">
        <f>'Rate Analysis'!A746</f>
        <v>4.16</v>
      </c>
      <c r="B76" s="691" t="str">
        <f>LOOKUP(A76,'Rate Analysis'!$A$3:$A$4887,'Rate Analysis'!$B$3:$B$4887)</f>
        <v>D2(7-4B)</v>
      </c>
      <c r="C76" s="711" t="s">
        <v>1631</v>
      </c>
      <c r="D76" s="693" t="str">
        <f>LOOKUP(A76,'Rate Analysis'!$A$3:$A$4887,'Rate Analysis'!$F$3:$F$4887)</f>
        <v>Cum.</v>
      </c>
      <c r="E76" s="694">
        <f>LOOKUP(A76,'Rate Analysis'!$A$3:$A$4887,'Rate Analysis'!$G$3:$G$4887)</f>
        <v>15674.800000000001</v>
      </c>
      <c r="F76" s="694">
        <f>LOOKUP(A76,'Rate Analysis'!$A$3:$A$4887,'Rate Analysis'!$H$3:$H$4887)</f>
        <v>18026.02</v>
      </c>
    </row>
    <row r="77" spans="1:6" s="697" customFormat="1" ht="114" customHeight="1">
      <c r="A77" s="696">
        <f>'Rate Analysis'!A768</f>
        <v>4.17</v>
      </c>
      <c r="B77" s="691" t="str">
        <f>LOOKUP(A77,'Rate Analysis'!$A$3:$A$4887,'Rate Analysis'!$B$3:$B$4887)</f>
        <v>D2(7-4C)</v>
      </c>
      <c r="C77" s="711" t="s">
        <v>1632</v>
      </c>
      <c r="D77" s="693" t="str">
        <f>LOOKUP(A77,'Rate Analysis'!$A$3:$A$4887,'Rate Analysis'!$F$3:$F$4887)</f>
        <v>Cum.</v>
      </c>
      <c r="E77" s="694">
        <f>LOOKUP(A77,'Rate Analysis'!$A$3:$A$4887,'Rate Analysis'!$G$3:$G$4887)</f>
        <v>18590.5</v>
      </c>
      <c r="F77" s="694">
        <f>LOOKUP(A77,'Rate Analysis'!$A$3:$A$4887,'Rate Analysis'!$H$3:$H$4887)</f>
        <v>21379.07</v>
      </c>
    </row>
    <row r="78" spans="1:6" s="695" customFormat="1" ht="112.2" customHeight="1">
      <c r="A78" s="690" t="str">
        <f>'Rate Analysis'!A782</f>
        <v>4.18(A)</v>
      </c>
      <c r="B78" s="691" t="str">
        <f>'Rate Analysis'!B782</f>
        <v>D3(A)</v>
      </c>
      <c r="C78" s="711" t="s">
        <v>1633</v>
      </c>
      <c r="D78" s="693" t="str">
        <f>LOOKUP(A78,'Rate Analysis'!$A$3:$A$4887,'Rate Analysis'!$F$3:$F$4887)</f>
        <v>Cum.</v>
      </c>
      <c r="E78" s="694">
        <f>'Rate Analysis'!G782</f>
        <v>10450.550000000001</v>
      </c>
      <c r="F78" s="694">
        <f>'Rate Analysis'!H782</f>
        <v>12018.130000000001</v>
      </c>
    </row>
    <row r="79" spans="1:6" s="695" customFormat="1" ht="124.8">
      <c r="A79" s="696">
        <f>'Rate Analysis'!A799</f>
        <v>4.1900000000000004</v>
      </c>
      <c r="B79" s="691" t="str">
        <f>LOOKUP(A79,'Rate Analysis'!$A$3:$A$4887,'Rate Analysis'!$B$3:$B$4887)</f>
        <v>D3(B)</v>
      </c>
      <c r="C79" s="711" t="s">
        <v>1634</v>
      </c>
      <c r="D79" s="693" t="str">
        <f>LOOKUP(A79,'Rate Analysis'!$A$3:$A$4887,'Rate Analysis'!$F$3:$F$4887)</f>
        <v>Cum.</v>
      </c>
      <c r="E79" s="694">
        <f>LOOKUP(A79,'Rate Analysis'!$A$3:$A$4887,'Rate Analysis'!$G$3:$G$4887)</f>
        <v>11835.7</v>
      </c>
      <c r="F79" s="694">
        <f>LOOKUP(A79,'Rate Analysis'!$A$3:$A$4887,'Rate Analysis'!$H$3:$H$4887)</f>
        <v>13611.050000000001</v>
      </c>
    </row>
    <row r="80" spans="1:6" s="714" customFormat="1" ht="109.2">
      <c r="A80" s="702" t="str">
        <f>'Rate Analysis'!A817</f>
        <v>4.2(A)</v>
      </c>
      <c r="B80" s="702" t="str">
        <f>'Rate Analysis'!B817</f>
        <v>D4(A)</v>
      </c>
      <c r="C80" s="711" t="s">
        <v>1635</v>
      </c>
      <c r="D80" s="693" t="str">
        <f>LOOKUP(A80,'Rate Analysis'!$A$3:$A$4887,'Rate Analysis'!$F$3:$F$4887)</f>
        <v>Cum.</v>
      </c>
      <c r="E80" s="694">
        <f>'Rate Analysis'!G817</f>
        <v>13089.400000000001</v>
      </c>
      <c r="F80" s="694">
        <f>'Rate Analysis'!H817</f>
        <v>15052.810000000001</v>
      </c>
    </row>
    <row r="81" spans="1:6" s="714" customFormat="1" ht="109.2">
      <c r="A81" s="702">
        <f>'Rate Analysis'!A834</f>
        <v>4.21</v>
      </c>
      <c r="B81" s="691" t="str">
        <f>LOOKUP(A81,'Rate Analysis'!$A$3:$A$4887,'Rate Analysis'!$B$3:$B$4887)</f>
        <v>D4(B)</v>
      </c>
      <c r="C81" s="711" t="s">
        <v>1636</v>
      </c>
      <c r="D81" s="693" t="str">
        <f>LOOKUP(A81,'Rate Analysis'!$A$3:$A$4887,'Rate Analysis'!$F$3:$F$4887)</f>
        <v>Cum.</v>
      </c>
      <c r="E81" s="694">
        <f>LOOKUP(A81,'Rate Analysis'!$A$3:$A$4887,'Rate Analysis'!$G$3:$G$4887)</f>
        <v>16005.1</v>
      </c>
      <c r="F81" s="694">
        <f>LOOKUP(A81,'Rate Analysis'!$A$3:$A$4887,'Rate Analysis'!$H$3:$H$4887)</f>
        <v>18405.86</v>
      </c>
    </row>
    <row r="82" spans="1:6" s="695" customFormat="1" ht="124.8">
      <c r="A82" s="696">
        <f>'Rate Analysis'!A860</f>
        <v>4.22</v>
      </c>
      <c r="B82" s="691" t="str">
        <f>LOOKUP(A82,'Rate Analysis'!$A$3:$A$4887,'Rate Analysis'!$B$3:$B$4887)</f>
        <v>D(5)</v>
      </c>
      <c r="C82" s="711" t="s">
        <v>1637</v>
      </c>
      <c r="D82" s="693" t="str">
        <f>LOOKUP(A82,'Rate Analysis'!$A$3:$A$4887,'Rate Analysis'!$F$3:$F$4887)</f>
        <v>Cum.</v>
      </c>
      <c r="E82" s="694">
        <f>LOOKUP(A82,'Rate Analysis'!$A$3:$A$4887,'Rate Analysis'!$G$3:$G$4887)</f>
        <v>15775.75</v>
      </c>
      <c r="F82" s="694">
        <f>LOOKUP(A82,'Rate Analysis'!$A$3:$A$4887,'Rate Analysis'!$H$3:$H$4887)</f>
        <v>18142.11</v>
      </c>
    </row>
    <row r="83" spans="1:6" s="695" customFormat="1" ht="93.6">
      <c r="A83" s="696">
        <v>4.2300000000000004</v>
      </c>
      <c r="B83" s="691"/>
      <c r="C83" s="711" t="s">
        <v>1638</v>
      </c>
      <c r="D83" s="704"/>
      <c r="E83" s="694"/>
      <c r="F83" s="694"/>
    </row>
    <row r="84" spans="1:6" s="695" customFormat="1">
      <c r="A84" s="696"/>
      <c r="B84" s="691"/>
      <c r="C84" s="715" t="s">
        <v>1445</v>
      </c>
      <c r="D84" s="693" t="str">
        <f>D82</f>
        <v>Cum.</v>
      </c>
      <c r="E84" s="694">
        <v>10500</v>
      </c>
      <c r="F84" s="694">
        <f>E84*1.15</f>
        <v>12074.999999999998</v>
      </c>
    </row>
    <row r="85" spans="1:6" s="695" customFormat="1">
      <c r="A85" s="696"/>
      <c r="B85" s="691"/>
      <c r="C85" s="715" t="s">
        <v>1446</v>
      </c>
      <c r="D85" s="693" t="str">
        <f>D84</f>
        <v>Cum.</v>
      </c>
      <c r="E85" s="694">
        <v>11000</v>
      </c>
      <c r="F85" s="694">
        <f t="shared" ref="F85:F91" si="0">E85*1.15</f>
        <v>12649.999999999998</v>
      </c>
    </row>
    <row r="86" spans="1:6" s="695" customFormat="1">
      <c r="A86" s="696"/>
      <c r="B86" s="691"/>
      <c r="C86" s="715" t="s">
        <v>1447</v>
      </c>
      <c r="D86" s="693" t="str">
        <f t="shared" ref="D86:D91" si="1">D85</f>
        <v>Cum.</v>
      </c>
      <c r="E86" s="694">
        <v>12000</v>
      </c>
      <c r="F86" s="694">
        <f t="shared" si="0"/>
        <v>13799.999999999998</v>
      </c>
    </row>
    <row r="87" spans="1:6" s="695" customFormat="1">
      <c r="A87" s="696"/>
      <c r="B87" s="691"/>
      <c r="C87" s="715" t="s">
        <v>1448</v>
      </c>
      <c r="D87" s="693" t="str">
        <f t="shared" si="1"/>
        <v>Cum.</v>
      </c>
      <c r="E87" s="694">
        <v>13000</v>
      </c>
      <c r="F87" s="694">
        <f t="shared" si="0"/>
        <v>14949.999999999998</v>
      </c>
    </row>
    <row r="88" spans="1:6" s="695" customFormat="1">
      <c r="A88" s="696"/>
      <c r="B88" s="691"/>
      <c r="C88" s="715" t="s">
        <v>1449</v>
      </c>
      <c r="D88" s="693" t="str">
        <f t="shared" si="1"/>
        <v>Cum.</v>
      </c>
      <c r="E88" s="694">
        <v>14000</v>
      </c>
      <c r="F88" s="694">
        <f t="shared" si="0"/>
        <v>16099.999999999998</v>
      </c>
    </row>
    <row r="89" spans="1:6" s="695" customFormat="1">
      <c r="A89" s="696"/>
      <c r="B89" s="691"/>
      <c r="C89" s="715" t="s">
        <v>1450</v>
      </c>
      <c r="D89" s="693" t="str">
        <f t="shared" si="1"/>
        <v>Cum.</v>
      </c>
      <c r="E89" s="694">
        <v>15000</v>
      </c>
      <c r="F89" s="694">
        <f t="shared" si="0"/>
        <v>17250</v>
      </c>
    </row>
    <row r="90" spans="1:6" s="695" customFormat="1">
      <c r="A90" s="696"/>
      <c r="B90" s="691"/>
      <c r="C90" s="715" t="s">
        <v>1451</v>
      </c>
      <c r="D90" s="693" t="str">
        <f t="shared" si="1"/>
        <v>Cum.</v>
      </c>
      <c r="E90" s="694">
        <v>17000</v>
      </c>
      <c r="F90" s="694">
        <f t="shared" si="0"/>
        <v>19550</v>
      </c>
    </row>
    <row r="91" spans="1:6" s="695" customFormat="1">
      <c r="A91" s="696"/>
      <c r="B91" s="691"/>
      <c r="C91" s="715" t="s">
        <v>1452</v>
      </c>
      <c r="D91" s="693" t="str">
        <f t="shared" si="1"/>
        <v>Cum.</v>
      </c>
      <c r="E91" s="694">
        <v>18000</v>
      </c>
      <c r="F91" s="694">
        <f t="shared" si="0"/>
        <v>20700</v>
      </c>
    </row>
    <row r="92" spans="1:6" s="695" customFormat="1" ht="67.2" customHeight="1">
      <c r="A92" s="696">
        <f>'Rate Analysis'!A888</f>
        <v>4.2300000000000004</v>
      </c>
      <c r="B92" s="691" t="str">
        <f>LOOKUP(A92,'Rate Analysis'!$A$3:$A$4887,'Rate Analysis'!$B$3:$B$4887)</f>
        <v>D9(7-5)</v>
      </c>
      <c r="C92" s="711" t="s">
        <v>1466</v>
      </c>
      <c r="D92" s="693" t="str">
        <f>LOOKUP(A92,'Rate Analysis'!$A$3:$A$4887,'Rate Analysis'!$F$3:$F$4887)</f>
        <v>Kg.</v>
      </c>
      <c r="E92" s="694">
        <f>LOOKUP(A92,'Rate Analysis'!$A$3:$A$4887,'Rate Analysis'!$G$3:$G$4887)</f>
        <v>136.49</v>
      </c>
      <c r="F92" s="694">
        <f>LOOKUP(A92,'Rate Analysis'!$A$3:$A$4887,'Rate Analysis'!$H$3:$H$4887)</f>
        <v>156.96</v>
      </c>
    </row>
    <row r="93" spans="1:6" s="695" customFormat="1">
      <c r="B93" s="698"/>
      <c r="C93" s="699"/>
      <c r="D93" s="700"/>
      <c r="E93" s="701"/>
      <c r="F93" s="701"/>
    </row>
    <row r="94" spans="1:6" s="689" customFormat="1">
      <c r="B94" s="686"/>
      <c r="C94" s="685" t="s">
        <v>432</v>
      </c>
      <c r="D94" s="716"/>
      <c r="E94" s="717"/>
      <c r="F94" s="717"/>
    </row>
    <row r="95" spans="1:6" s="695" customFormat="1" ht="93.6">
      <c r="A95" s="696">
        <f>'Rate Analysis'!A899</f>
        <v>5.01</v>
      </c>
      <c r="B95" s="691" t="str">
        <f>LOOKUP(A95,'Rate Analysis'!$A$3:$A$4887,'Rate Analysis'!$B$3:$B$4887)</f>
        <v>E1(8-3A)</v>
      </c>
      <c r="C95" s="692" t="s">
        <v>1639</v>
      </c>
      <c r="D95" s="693" t="str">
        <f>LOOKUP(A95,'Rate Analysis'!$A$3:$A$4887,'Rate Analysis'!$F$3:$F$4887)</f>
        <v>Sqm.</v>
      </c>
      <c r="E95" s="694">
        <f>LOOKUP(A95,'Rate Analysis'!$A$3:$A$4887,'Rate Analysis'!$G$3:$G$4887)</f>
        <v>1688.07</v>
      </c>
      <c r="F95" s="694">
        <f>LOOKUP(A95,'Rate Analysis'!$A$3:$A$4887,'Rate Analysis'!$H$3:$H$4887)</f>
        <v>1941.28</v>
      </c>
    </row>
    <row r="96" spans="1:6" s="695" customFormat="1" ht="113.4" customHeight="1">
      <c r="A96" s="696">
        <f>'Rate Analysis'!A910</f>
        <v>5.0199999999999996</v>
      </c>
      <c r="B96" s="691" t="str">
        <f>LOOKUP(A96,'Rate Analysis'!$A$3:$A$4887,'Rate Analysis'!$B$3:$B$4887)</f>
        <v>E2(51B)</v>
      </c>
      <c r="C96" s="718" t="s">
        <v>1640</v>
      </c>
      <c r="D96" s="693" t="str">
        <f>LOOKUP(A96,'Rate Analysis'!$A$3:$A$4887,'Rate Analysis'!$F$3:$F$4887)</f>
        <v>Sqm.</v>
      </c>
      <c r="E96" s="694">
        <f>LOOKUP(A96,'Rate Analysis'!$A$3:$A$4887,'Rate Analysis'!$G$3:$G$4887)</f>
        <v>843.93</v>
      </c>
      <c r="F96" s="694">
        <f>LOOKUP(A96,'Rate Analysis'!$A$3:$A$4887,'Rate Analysis'!$H$3:$H$4887)</f>
        <v>970.52</v>
      </c>
    </row>
    <row r="97" spans="1:6" s="695" customFormat="1" ht="31.2">
      <c r="A97" s="696">
        <f>'Rate Analysis'!A922</f>
        <v>5.03</v>
      </c>
      <c r="B97" s="706" t="str">
        <f>LOOKUP(A97,'Rate Analysis'!$A$3:$A$4887,'Rate Analysis'!$B$3:$B$4887)</f>
        <v>E3(8-4A)</v>
      </c>
      <c r="C97" s="719" t="s">
        <v>1054</v>
      </c>
      <c r="D97" s="693" t="str">
        <f>LOOKUP(A97,'Rate Analysis'!$A$3:$A$4887,'Rate Analysis'!$F$3:$F$4887)</f>
        <v>Sqm.</v>
      </c>
      <c r="E97" s="694">
        <f>LOOKUP(A97,'Rate Analysis'!$A$3:$A$4887,'Rate Analysis'!$G$3:$G$4887)</f>
        <v>1751.2</v>
      </c>
      <c r="F97" s="694">
        <f>LOOKUP(A97,'Rate Analysis'!$A$3:$A$4887,'Rate Analysis'!$H$3:$H$4887)</f>
        <v>2013.88</v>
      </c>
    </row>
    <row r="98" spans="1:6" s="695" customFormat="1" ht="31.2">
      <c r="A98" s="696">
        <f>'Rate Analysis'!A932</f>
        <v>5.04</v>
      </c>
      <c r="B98" s="706" t="str">
        <f>LOOKUP(A98,'Rate Analysis'!$A$3:$A$4887,'Rate Analysis'!$B$3:$B$4887)</f>
        <v>E4(8-4B)</v>
      </c>
      <c r="C98" s="719" t="s">
        <v>1055</v>
      </c>
      <c r="D98" s="693" t="str">
        <f>LOOKUP(A98,'Rate Analysis'!$A$3:$A$4887,'Rate Analysis'!$F$3:$F$4887)</f>
        <v>Sqm.</v>
      </c>
      <c r="E98" s="694">
        <f>LOOKUP(A98,'Rate Analysis'!$A$3:$A$4887,'Rate Analysis'!$G$3:$G$4887)</f>
        <v>1417.6</v>
      </c>
      <c r="F98" s="694">
        <f>LOOKUP(A98,'Rate Analysis'!$A$3:$A$4887,'Rate Analysis'!$H$3:$H$4887)</f>
        <v>1630.24</v>
      </c>
    </row>
    <row r="99" spans="1:6" s="695" customFormat="1" ht="124.8" customHeight="1">
      <c r="A99" s="696">
        <f>'Rate Analysis'!A942</f>
        <v>5.05</v>
      </c>
      <c r="B99" s="706" t="str">
        <f>LOOKUP(A99,'Rate Analysis'!$A$3:$A$4887,'Rate Analysis'!$B$3:$B$4887)</f>
        <v>E5(51A)</v>
      </c>
      <c r="C99" s="711" t="s">
        <v>1641</v>
      </c>
      <c r="D99" s="693" t="str">
        <f>LOOKUP(A99,'Rate Analysis'!$A$3:$A$4887,'Rate Analysis'!$F$3:$F$4887)</f>
        <v>Sqm.</v>
      </c>
      <c r="E99" s="694">
        <f>LOOKUP(A99,'Rate Analysis'!$A$3:$A$4887,'Rate Analysis'!$G$3:$G$4887)</f>
        <v>1433.8</v>
      </c>
      <c r="F99" s="694">
        <f>LOOKUP(A99,'Rate Analysis'!$A$3:$A$4887,'Rate Analysis'!$H$3:$H$4887)</f>
        <v>1648.87</v>
      </c>
    </row>
    <row r="100" spans="1:6" s="695" customFormat="1" ht="109.2">
      <c r="A100" s="696">
        <f>'Rate Analysis'!A954</f>
        <v>5.0599999999999996</v>
      </c>
      <c r="B100" s="706" t="str">
        <f>LOOKUP(A100,'Rate Analysis'!$A$3:$A$4887,'Rate Analysis'!$B$3:$B$4887)</f>
        <v>E6(8-4A)</v>
      </c>
      <c r="C100" s="692" t="s">
        <v>1642</v>
      </c>
      <c r="D100" s="693" t="str">
        <f>LOOKUP(A100,'Rate Analysis'!$A$3:$A$4887,'Rate Analysis'!$F$3:$F$4887)</f>
        <v>Sqm.</v>
      </c>
      <c r="E100" s="694">
        <f>LOOKUP(A100,'Rate Analysis'!$A$3:$A$4887,'Rate Analysis'!$G$3:$G$4887)</f>
        <v>1033.07</v>
      </c>
      <c r="F100" s="694">
        <f>LOOKUP(A100,'Rate Analysis'!$A$3:$A$4887,'Rate Analysis'!$H$3:$H$4887)</f>
        <v>1188.04</v>
      </c>
    </row>
    <row r="101" spans="1:6" s="695" customFormat="1" ht="116.55" customHeight="1">
      <c r="A101" s="690" t="str">
        <f>'Rate Analysis'!A983</f>
        <v>5.06(A)</v>
      </c>
      <c r="B101" s="706" t="str">
        <f>'Rate Analysis'!B983</f>
        <v>E6(8-4A)</v>
      </c>
      <c r="C101" s="692" t="s">
        <v>1643</v>
      </c>
      <c r="D101" s="704" t="str">
        <f>'Rate Analysis'!F983</f>
        <v>Sqm.</v>
      </c>
      <c r="E101" s="694">
        <f>'Rate Analysis'!G983</f>
        <v>948.14</v>
      </c>
      <c r="F101" s="694">
        <f>'Rate Analysis'!H983</f>
        <v>1090.3599999999999</v>
      </c>
    </row>
    <row r="102" spans="1:6" s="695" customFormat="1" ht="36.6" customHeight="1">
      <c r="A102" s="702">
        <f>'Rate Analysis'!A1001</f>
        <v>5.07</v>
      </c>
      <c r="B102" s="706" t="str">
        <f>LOOKUP(A102,'Rate Analysis'!$A$3:$A$4887,'Rate Analysis'!$B$3:$B$4887)</f>
        <v>E12(8-13A)</v>
      </c>
      <c r="C102" s="692" t="s">
        <v>29</v>
      </c>
      <c r="D102" s="693" t="str">
        <f>LOOKUP(A102,'Rate Analysis'!$A$3:$A$4887,'Rate Analysis'!$F$3:$F$4887)</f>
        <v>Sqm.</v>
      </c>
      <c r="E102" s="694">
        <f>LOOKUP(A102,'Rate Analysis'!$A$3:$A$4887,'Rate Analysis'!$G$3:$G$4887)</f>
        <v>371.45</v>
      </c>
      <c r="F102" s="694">
        <f>LOOKUP(A102,'Rate Analysis'!$A$3:$A$4887,'Rate Analysis'!$H$3:$H$4887)</f>
        <v>427.17</v>
      </c>
    </row>
    <row r="103" spans="1:6" s="695" customFormat="1" ht="37.200000000000003" customHeight="1">
      <c r="A103" s="696">
        <f>'Rate Analysis'!A1011</f>
        <v>5.08</v>
      </c>
      <c r="B103" s="706" t="str">
        <f>LOOKUP(A103,'Rate Analysis'!$A$3:$A$4887,'Rate Analysis'!$B$3:$B$4887)</f>
        <v>E12(8-13B)</v>
      </c>
      <c r="C103" s="692" t="s">
        <v>30</v>
      </c>
      <c r="D103" s="693" t="str">
        <f>LOOKUP(A103,'Rate Analysis'!$A$3:$A$4887,'Rate Analysis'!$F$3:$F$4887)</f>
        <v>Sqm.</v>
      </c>
      <c r="E103" s="694">
        <f>LOOKUP(A103,'Rate Analysis'!$A$3:$A$4887,'Rate Analysis'!$G$3:$G$4887)</f>
        <v>380.98</v>
      </c>
      <c r="F103" s="694">
        <f>LOOKUP(A103,'Rate Analysis'!$A$3:$A$4887,'Rate Analysis'!$H$3:$H$4887)</f>
        <v>438.13</v>
      </c>
    </row>
    <row r="104" spans="1:6" s="695" customFormat="1" ht="36.6" customHeight="1">
      <c r="A104" s="696">
        <f>'Rate Analysis'!A1021</f>
        <v>5.09</v>
      </c>
      <c r="B104" s="706" t="str">
        <f>LOOKUP(A104,'Rate Analysis'!$A$3:$A$4887,'Rate Analysis'!$B$3:$B$4887)</f>
        <v>E13(8-13C)</v>
      </c>
      <c r="C104" s="692" t="s">
        <v>31</v>
      </c>
      <c r="D104" s="693" t="str">
        <f>LOOKUP(A104,'Rate Analysis'!$A$3:$A$4887,'Rate Analysis'!$F$3:$F$4887)</f>
        <v>Sqm.</v>
      </c>
      <c r="E104" s="694">
        <f>LOOKUP(A104,'Rate Analysis'!$A$3:$A$4887,'Rate Analysis'!$G$3:$G$4887)</f>
        <v>393.5</v>
      </c>
      <c r="F104" s="694">
        <f>LOOKUP(A104,'Rate Analysis'!$A$3:$A$4887,'Rate Analysis'!$H$3:$H$4887)</f>
        <v>452.53</v>
      </c>
    </row>
    <row r="105" spans="1:6" s="695" customFormat="1">
      <c r="B105" s="698"/>
      <c r="C105" s="699"/>
      <c r="D105" s="700"/>
      <c r="E105" s="701"/>
      <c r="F105" s="701"/>
    </row>
    <row r="106" spans="1:6" s="689" customFormat="1">
      <c r="B106" s="686"/>
      <c r="C106" s="685" t="s">
        <v>433</v>
      </c>
      <c r="D106" s="685"/>
      <c r="E106" s="688"/>
      <c r="F106" s="688"/>
    </row>
    <row r="107" spans="1:6" s="695" customFormat="1" ht="27" customHeight="1">
      <c r="A107" s="696">
        <f>'Rate Analysis'!A1034</f>
        <v>6.01</v>
      </c>
      <c r="B107" s="706" t="str">
        <f>LOOKUP(A107,'Rate Analysis'!$A$3:$A$4887,'Rate Analysis'!$B$3:$B$4887)</f>
        <v>F1( 9-1)</v>
      </c>
      <c r="C107" s="692" t="str">
        <f>LOOKUP(A107,'Rate Analysis'!$A$3:$A$4887,'Rate Analysis'!$C$3:$C$4887)</f>
        <v xml:space="preserve">26 (H) 0.41 mm thick colored C.G.I. sheet roofing work </v>
      </c>
      <c r="D107" s="693" t="str">
        <f>LOOKUP(A107,'Rate Analysis'!$A$3:$A$4887,'Rate Analysis'!$F$3:$F$4887)</f>
        <v>Sqm.</v>
      </c>
      <c r="E107" s="694">
        <f>LOOKUP(A107,'Rate Analysis'!$A$3:$A$4887,'Rate Analysis'!$G$3:$G$4887)</f>
        <v>1235.3399999999999</v>
      </c>
      <c r="F107" s="694">
        <f>LOOKUP(A107,'Rate Analysis'!$A$3:$A$4887,'Rate Analysis'!$H$3:$H$4887)</f>
        <v>1420.64</v>
      </c>
    </row>
    <row r="108" spans="1:6" s="695" customFormat="1" ht="27" customHeight="1">
      <c r="A108" s="696">
        <f>'Rate Analysis'!A1047</f>
        <v>6.02</v>
      </c>
      <c r="B108" s="706" t="str">
        <f>LOOKUP(A108,'Rate Analysis'!$A$3:$A$4887,'Rate Analysis'!$B$3:$B$4887)</f>
        <v>F1( 9-1)</v>
      </c>
      <c r="C108" s="692" t="str">
        <f>LOOKUP(A108,'Rate Analysis'!$A$3:$A$4887,'Rate Analysis'!$C$3:$C$4887)</f>
        <v xml:space="preserve">26 (H) 0.41mm thick plane C.G.I. sheet roofing work </v>
      </c>
      <c r="D108" s="693" t="str">
        <f>LOOKUP(A108,'Rate Analysis'!$A$3:$A$4887,'Rate Analysis'!$F$3:$F$4887)</f>
        <v>Sqm.</v>
      </c>
      <c r="E108" s="694">
        <f>LOOKUP(A108,'Rate Analysis'!$A$3:$A$4887,'Rate Analysis'!$G$3:$G$4887)</f>
        <v>1168.7</v>
      </c>
      <c r="F108" s="694">
        <f>LOOKUP(A108,'Rate Analysis'!$A$3:$A$4887,'Rate Analysis'!$H$3:$H$4887)</f>
        <v>1344.01</v>
      </c>
    </row>
    <row r="109" spans="1:6" s="695" customFormat="1" ht="26.25" customHeight="1">
      <c r="A109" s="696">
        <f>'Rate Analysis'!A1060</f>
        <v>6.03</v>
      </c>
      <c r="B109" s="706" t="str">
        <f>LOOKUP(A109,'Rate Analysis'!$A$3:$A$4887,'Rate Analysis'!$B$3:$B$4887)</f>
        <v>F1( 9-1)</v>
      </c>
      <c r="C109" s="692" t="str">
        <f>LOOKUP(A109,'Rate Analysis'!$A$3:$A$4887,'Rate Analysis'!$C$3:$C$4887)</f>
        <v xml:space="preserve">26 (L) 0.37mm thick  plane C.G.I. sheet roofing work </v>
      </c>
      <c r="D109" s="693" t="str">
        <f>LOOKUP(A109,'Rate Analysis'!$A$3:$A$4887,'Rate Analysis'!$F$3:$F$4887)</f>
        <v>Sqm.</v>
      </c>
      <c r="E109" s="694">
        <f>LOOKUP(A109,'Rate Analysis'!$A$3:$A$4887,'Rate Analysis'!$G$3:$G$4887)</f>
        <v>1015.71</v>
      </c>
      <c r="F109" s="694">
        <f>LOOKUP(A109,'Rate Analysis'!$A$3:$A$4887,'Rate Analysis'!$H$3:$H$4887)</f>
        <v>1168.06</v>
      </c>
    </row>
    <row r="110" spans="1:6" s="695" customFormat="1" ht="27" customHeight="1">
      <c r="A110" s="696">
        <f>'Rate Analysis'!A1073</f>
        <v>6.04</v>
      </c>
      <c r="B110" s="706" t="str">
        <f>LOOKUP(A110,'Rate Analysis'!$A$3:$A$4887,'Rate Analysis'!$B$3:$B$4887)</f>
        <v>F3( 9-1)</v>
      </c>
      <c r="C110" s="692" t="str">
        <f>LOOKUP(A110,'Rate Analysis'!$A$3:$A$4887,'Rate Analysis'!$C$3:$C$4887)</f>
        <v xml:space="preserve">26 (M) 0.37 mm thick  colour C.G.I. sheet roofing work </v>
      </c>
      <c r="D110" s="693" t="str">
        <f>LOOKUP(A110,'Rate Analysis'!$A$3:$A$4887,'Rate Analysis'!$F$3:$F$4887)</f>
        <v>Sqm.</v>
      </c>
      <c r="E110" s="694">
        <f>LOOKUP(A110,'Rate Analysis'!$A$3:$A$4887,'Rate Analysis'!$G$3:$G$4887)</f>
        <v>1059.79</v>
      </c>
      <c r="F110" s="694">
        <f>LOOKUP(A110,'Rate Analysis'!$A$3:$A$4887,'Rate Analysis'!$H$3:$H$4887)</f>
        <v>1218.76</v>
      </c>
    </row>
    <row r="111" spans="1:6" s="695" customFormat="1">
      <c r="A111" s="696">
        <f>'Rate Analysis'!A1097</f>
        <v>6.08</v>
      </c>
      <c r="B111" s="706" t="str">
        <f>LOOKUP(A111,'Rate Analysis'!$A$3:$A$4887,'Rate Analysis'!$B$3:$B$4887)</f>
        <v>F2( 9-2)</v>
      </c>
      <c r="C111" s="692" t="str">
        <f>LOOKUP(A111,'Rate Analysis'!$A$3:$A$4887,'Rate Analysis'!$C$3:$C$4887)</f>
        <v xml:space="preserve">28 (H)  G.I. plane ridge  cover </v>
      </c>
      <c r="D111" s="693" t="str">
        <f>LOOKUP(A111,'Rate Analysis'!$A$3:$A$4887,'Rate Analysis'!$F$3:$F$4887)</f>
        <v>Rmtr.</v>
      </c>
      <c r="E111" s="694">
        <f>LOOKUP(A111,'Rate Analysis'!$A$3:$A$4887,'Rate Analysis'!$G$3:$G$4887)</f>
        <v>743.39</v>
      </c>
      <c r="F111" s="694">
        <f>LOOKUP(A111,'Rate Analysis'!$A$3:$A$4887,'Rate Analysis'!$H$3:$H$4887)</f>
        <v>854.9</v>
      </c>
    </row>
    <row r="112" spans="1:6" s="695" customFormat="1" ht="18" customHeight="1">
      <c r="A112" s="696">
        <f>'Rate Analysis'!A1107</f>
        <v>6.09</v>
      </c>
      <c r="B112" s="706" t="str">
        <f>LOOKUP(A112,'Rate Analysis'!$A$3:$A$4887,'Rate Analysis'!$B$3:$B$4887)</f>
        <v>F4( 9-2)</v>
      </c>
      <c r="C112" s="692" t="str">
        <f>LOOKUP(A112,'Rate Analysis'!$A$3:$A$4887,'Rate Analysis'!$C$3:$C$4887)</f>
        <v xml:space="preserve">26 (L)  C.G.I. colour ridge  cover </v>
      </c>
      <c r="D112" s="693" t="str">
        <f>LOOKUP(A112,'Rate Analysis'!$A$3:$A$4887,'Rate Analysis'!$F$3:$F$4887)</f>
        <v>Rmtr.</v>
      </c>
      <c r="E112" s="694">
        <f>LOOKUP(A112,'Rate Analysis'!$A$3:$A$4887,'Rate Analysis'!$G$3:$G$4887)</f>
        <v>722.91</v>
      </c>
      <c r="F112" s="694">
        <f>LOOKUP(A112,'Rate Analysis'!$A$3:$A$4887,'Rate Analysis'!$H$3:$H$4887)</f>
        <v>831.35</v>
      </c>
    </row>
    <row r="113" spans="1:6" s="695" customFormat="1" ht="18" hidden="1" customHeight="1">
      <c r="A113" s="696">
        <f>'Rate Analysis'!A1118</f>
        <v>6.11</v>
      </c>
      <c r="B113" s="706" t="str">
        <f>LOOKUP(A113,'Rate Analysis'!$A$3:$A$4887,'Rate Analysis'!$B$3:$B$4887)</f>
        <v>F5</v>
      </c>
      <c r="C113" s="692" t="str">
        <f>LOOKUP(A113,'Rate Analysis'!$A$3:$A$4887,'Rate Analysis'!$C$3:$C$4887)</f>
        <v xml:space="preserve">26 (H) 0.41 mm thick plane G.I. sheet roofing work </v>
      </c>
      <c r="D113" s="693" t="str">
        <f>LOOKUP(A113,'Rate Analysis'!$A$3:$A$4887,'Rate Analysis'!$F$3:$F$4887)</f>
        <v>Sqm.</v>
      </c>
      <c r="E113" s="694">
        <f>LOOKUP(A113,'Rate Analysis'!$A$3:$A$4887,'Rate Analysis'!$G$3:$G$4887)</f>
        <v>1170.44</v>
      </c>
      <c r="F113" s="694">
        <f>LOOKUP(A113,'Rate Analysis'!$A$3:$A$4887,'Rate Analysis'!$H$3:$H$4887)</f>
        <v>1346.01</v>
      </c>
    </row>
    <row r="114" spans="1:6" s="695" customFormat="1" ht="18" hidden="1" customHeight="1">
      <c r="A114" s="696">
        <f>'Rate Analysis'!A1131</f>
        <v>6.12</v>
      </c>
      <c r="B114" s="706" t="str">
        <f>LOOKUP(A114,'Rate Analysis'!$A$3:$A$4887,'Rate Analysis'!$B$3:$B$4887)</f>
        <v>F5</v>
      </c>
      <c r="C114" s="692" t="str">
        <f>LOOKUP(A114,'Rate Analysis'!$A$3:$A$4887,'Rate Analysis'!$C$3:$C$4887)</f>
        <v xml:space="preserve">26 (M) 0.37 mm thick plane G.I. sheet roofing work </v>
      </c>
      <c r="D114" s="693" t="str">
        <f>LOOKUP(A114,'Rate Analysis'!$A$3:$A$4887,'Rate Analysis'!$F$3:$F$4887)</f>
        <v>Sqm.</v>
      </c>
      <c r="E114" s="694">
        <f>LOOKUP(A114,'Rate Analysis'!$A$3:$A$4887,'Rate Analysis'!$G$3:$G$4887)</f>
        <v>1017.44</v>
      </c>
      <c r="F114" s="694">
        <f>LOOKUP(A114,'Rate Analysis'!$A$3:$A$4887,'Rate Analysis'!$H$3:$H$4887)</f>
        <v>1170.06</v>
      </c>
    </row>
    <row r="115" spans="1:6" s="695" customFormat="1" ht="18" hidden="1" customHeight="1">
      <c r="A115" s="702">
        <f>'Rate Analysis'!A1144</f>
        <v>6.13</v>
      </c>
      <c r="B115" s="706" t="str">
        <f>LOOKUP(A115,'Rate Analysis'!$A$3:$A$4887,'Rate Analysis'!$B$3:$B$4887)</f>
        <v>F6</v>
      </c>
      <c r="C115" s="692" t="str">
        <f>LOOKUP(A115,'Rate Analysis'!$A$3:$A$4887,'Rate Analysis'!$C$3:$C$4887)</f>
        <v xml:space="preserve">24 (H) 0.50 mm thick Colour G.I. sheet roofing work </v>
      </c>
      <c r="D115" s="693" t="str">
        <f>LOOKUP(A115,'Rate Analysis'!$A$3:$A$4887,'Rate Analysis'!$F$3:$F$4887)</f>
        <v>Sqm.</v>
      </c>
      <c r="E115" s="694">
        <f>LOOKUP(A115,'Rate Analysis'!$A$3:$A$4887,'Rate Analysis'!$G$3:$G$4887)</f>
        <v>0</v>
      </c>
      <c r="F115" s="694">
        <f>LOOKUP(A115,'Rate Analysis'!$A$3:$A$4887,'Rate Analysis'!$H$3:$H$4887)</f>
        <v>0</v>
      </c>
    </row>
    <row r="116" spans="1:6" s="695" customFormat="1" ht="18" hidden="1" customHeight="1">
      <c r="A116" s="696">
        <f>'Rate Analysis'!A1157</f>
        <v>6.14</v>
      </c>
      <c r="B116" s="706" t="str">
        <f>LOOKUP(A116,'Rate Analysis'!$A$3:$A$4887,'Rate Analysis'!$B$3:$B$4887)</f>
        <v>F6</v>
      </c>
      <c r="C116" s="692" t="str">
        <f>LOOKUP(A116,'Rate Analysis'!$A$3:$A$4887,'Rate Analysis'!$C$3:$C$4887)</f>
        <v xml:space="preserve">26 (M) 0.41 mm thick Colour G.I. sheet roofing work </v>
      </c>
      <c r="D116" s="693" t="str">
        <f>LOOKUP(A116,'Rate Analysis'!$A$3:$A$4887,'Rate Analysis'!$F$3:$F$4887)</f>
        <v>Rmtr.</v>
      </c>
      <c r="E116" s="694">
        <f>LOOKUP(A116,'Rate Analysis'!$A$3:$A$4887,'Rate Analysis'!$G$3:$G$4887)</f>
        <v>0</v>
      </c>
      <c r="F116" s="694">
        <f>LOOKUP(A116,'Rate Analysis'!$A$3:$A$4887,'Rate Analysis'!$H$3:$H$4887)</f>
        <v>0</v>
      </c>
    </row>
    <row r="117" spans="1:6" s="695" customFormat="1" ht="46.8" hidden="1">
      <c r="A117" s="696">
        <f>'Rate Analysis'!A1170</f>
        <v>6.16</v>
      </c>
      <c r="B117" s="706" t="str">
        <f>LOOKUP(A117,'Rate Analysis'!$A$3:$A$4887,'Rate Analysis'!$B$3:$B$4887)</f>
        <v>F7</v>
      </c>
      <c r="C117" s="692" t="str">
        <f>LOOKUP(A117,'Rate Analysis'!$A$3:$A$4887,'Rate Analysis'!$C$3:$C$4887)</f>
        <v xml:space="preserve">150 mm breadth upto 450 mm C. G. I. plane sheet Gutter fixing work with 3x40 mm  M.S. bracke,t nut bolt &amp;  washer . </v>
      </c>
      <c r="D117" s="693" t="str">
        <f>LOOKUP(A117,'Rate Analysis'!$A$3:$A$4887,'Rate Analysis'!$F$3:$F$4887)</f>
        <v>Rmtr.</v>
      </c>
      <c r="E117" s="694">
        <f>LOOKUP(A117,'Rate Analysis'!$A$3:$A$4887,'Rate Analysis'!$G$3:$G$4887)</f>
        <v>0</v>
      </c>
      <c r="F117" s="694">
        <f>LOOKUP(A117,'Rate Analysis'!$A$3:$A$4887,'Rate Analysis'!$H$3:$H$4887)</f>
        <v>0</v>
      </c>
    </row>
    <row r="118" spans="1:6" s="695" customFormat="1" ht="46.8" hidden="1">
      <c r="A118" s="696">
        <f>'Rate Analysis'!A1183</f>
        <v>6.17</v>
      </c>
      <c r="B118" s="706" t="str">
        <f>LOOKUP(A118,'Rate Analysis'!$A$3:$A$4887,'Rate Analysis'!$B$3:$B$4887)</f>
        <v>F7</v>
      </c>
      <c r="C118" s="692" t="str">
        <f>LOOKUP(A118,'Rate Analysis'!$A$3:$A$4887,'Rate Analysis'!$C$3:$C$4887)</f>
        <v xml:space="preserve">150 mm breadth upto 450 mm C. G. I. colour sheet Gutter fixing work with 3x40 mm  M.S. bracke,t nut bolt &amp;  washer . </v>
      </c>
      <c r="D118" s="693" t="str">
        <f>LOOKUP(A118,'Rate Analysis'!$A$3:$A$4887,'Rate Analysis'!$F$3:$F$4887)</f>
        <v>Rmtr.</v>
      </c>
      <c r="E118" s="694">
        <f>LOOKUP(A118,'Rate Analysis'!$A$3:$A$4887,'Rate Analysis'!$G$3:$G$4887)</f>
        <v>0</v>
      </c>
      <c r="F118" s="694">
        <f>LOOKUP(A118,'Rate Analysis'!$A$3:$A$4887,'Rate Analysis'!$H$3:$H$4887)</f>
        <v>0</v>
      </c>
    </row>
    <row r="119" spans="1:6" s="695" customFormat="1" ht="17.25" customHeight="1">
      <c r="A119" s="702">
        <f>'Rate Analysis'!A1196</f>
        <v>6.18</v>
      </c>
      <c r="B119" s="706" t="str">
        <f>LOOKUP(A119,'Rate Analysis'!$A$3:$A$4887,'Rate Analysis'!$B$3:$B$4887)</f>
        <v>F10( 9-6)</v>
      </c>
      <c r="C119" s="692" t="str">
        <f>LOOKUP(A119,'Rate Analysis'!$A$3:$A$4887,'Rate Analysis'!$C$3:$C$4887)</f>
        <v xml:space="preserve">Clay tile roofing work </v>
      </c>
      <c r="D119" s="693" t="str">
        <f>LOOKUP(A119,'Rate Analysis'!$A$3:$A$4887,'Rate Analysis'!$F$3:$F$4887)</f>
        <v>Rmtr.</v>
      </c>
      <c r="E119" s="694">
        <f>LOOKUP(A119,'Rate Analysis'!$A$3:$A$4887,'Rate Analysis'!$G$3:$G$4887)</f>
        <v>220.58</v>
      </c>
      <c r="F119" s="694">
        <f>LOOKUP(A119,'Rate Analysis'!$A$3:$A$4887,'Rate Analysis'!$H$3:$H$4887)</f>
        <v>253.67</v>
      </c>
    </row>
    <row r="120" spans="1:6" s="695" customFormat="1" ht="17.25" customHeight="1">
      <c r="A120" s="696">
        <f>'Rate Analysis'!A1205</f>
        <v>6.19</v>
      </c>
      <c r="B120" s="706" t="str">
        <f>LOOKUP(A120,'Rate Analysis'!$A$3:$A$4887,'Rate Analysis'!$B$3:$B$4887)</f>
        <v>F11( 9-7)</v>
      </c>
      <c r="C120" s="692" t="str">
        <f>LOOKUP(A120,'Rate Analysis'!$A$3:$A$4887,'Rate Analysis'!$C$3:$C$4887)</f>
        <v xml:space="preserve">Clay tile  ridge  cover  </v>
      </c>
      <c r="D120" s="693" t="str">
        <f>LOOKUP(A120,'Rate Analysis'!$A$3:$A$4887,'Rate Analysis'!$F$3:$F$4887)</f>
        <v>Rmtr.</v>
      </c>
      <c r="E120" s="694">
        <f>LOOKUP(A120,'Rate Analysis'!$A$3:$A$4887,'Rate Analysis'!$G$3:$G$4887)</f>
        <v>142.01</v>
      </c>
      <c r="F120" s="694">
        <f>LOOKUP(A120,'Rate Analysis'!$A$3:$A$4887,'Rate Analysis'!$H$3:$H$4887)</f>
        <v>163.31</v>
      </c>
    </row>
    <row r="121" spans="1:6" s="695" customFormat="1" ht="17.25" customHeight="1">
      <c r="A121" s="702">
        <f>'Rate Analysis'!A1215</f>
        <v>6.2</v>
      </c>
      <c r="B121" s="706" t="str">
        <f>LOOKUP(A121,'Rate Analysis'!$A$3:$A$4887,'Rate Analysis'!$B$3:$B$4887)</f>
        <v>F12( 9-8)</v>
      </c>
      <c r="C121" s="692" t="str">
        <f>LOOKUP(A121,'Rate Analysis'!$A$3:$A$4887,'Rate Analysis'!$C$3:$C$4887)</f>
        <v xml:space="preserve">100 mm lime concrete (1:1:3) work </v>
      </c>
      <c r="D121" s="693" t="str">
        <f>LOOKUP(A121,'Rate Analysis'!$A$3:$A$4887,'Rate Analysis'!$F$3:$F$4887)</f>
        <v>Sqm.</v>
      </c>
      <c r="E121" s="694">
        <f>LOOKUP(A121,'Rate Analysis'!$A$3:$A$4887,'Rate Analysis'!$G$3:$G$4887)</f>
        <v>1612.15</v>
      </c>
      <c r="F121" s="694">
        <f>LOOKUP(A121,'Rate Analysis'!$A$3:$A$4887,'Rate Analysis'!$H$3:$H$4887)</f>
        <v>1853.97</v>
      </c>
    </row>
    <row r="122" spans="1:6" s="695" customFormat="1" ht="16.2" customHeight="1">
      <c r="A122" s="702">
        <f>'Rate Analysis'!A1226</f>
        <v>6.21</v>
      </c>
      <c r="B122" s="706" t="str">
        <f>LOOKUP(A122,'Rate Analysis'!$A$3:$A$4887,'Rate Analysis'!$B$3:$B$4887)</f>
        <v>F13( 9-9A)</v>
      </c>
      <c r="C122" s="692" t="str">
        <f>LOOKUP(A122,'Rate Analysis'!$A$3:$A$4887,'Rate Analysis'!$C$3:$C$4887)</f>
        <v>80 mm thick khar roof with bamboo frame</v>
      </c>
      <c r="D122" s="693" t="str">
        <f>LOOKUP(A122,'Rate Analysis'!$A$3:$A$4887,'Rate Analysis'!$F$3:$F$4887)</f>
        <v>Sqm.</v>
      </c>
      <c r="E122" s="694">
        <f>LOOKUP(A122,'Rate Analysis'!$A$3:$A$4887,'Rate Analysis'!$G$3:$G$4887)</f>
        <v>2507.4499999999998</v>
      </c>
      <c r="F122" s="694">
        <f>LOOKUP(A122,'Rate Analysis'!$A$3:$A$4887,'Rate Analysis'!$H$3:$H$4887)</f>
        <v>2883.56</v>
      </c>
    </row>
    <row r="123" spans="1:6" s="695" customFormat="1" ht="17.25" customHeight="1">
      <c r="A123" s="702">
        <f>'Rate Analysis'!A1238</f>
        <v>6.22</v>
      </c>
      <c r="B123" s="706" t="str">
        <f>LOOKUP(A123,'Rate Analysis'!$A$3:$A$4887,'Rate Analysis'!$B$3:$B$4887)</f>
        <v>F13( 9-9B)</v>
      </c>
      <c r="C123" s="692" t="str">
        <f>LOOKUP(A123,'Rate Analysis'!$A$3:$A$4887,'Rate Analysis'!$C$3:$C$4887)</f>
        <v>150 mm thick khar roof with bamboo frame</v>
      </c>
      <c r="D123" s="693" t="str">
        <f>LOOKUP(A123,'Rate Analysis'!$A$3:$A$4887,'Rate Analysis'!$F$3:$F$4887)</f>
        <v>Sqm.</v>
      </c>
      <c r="E123" s="694">
        <f>LOOKUP(A123,'Rate Analysis'!$A$3:$A$4887,'Rate Analysis'!$G$3:$G$4887)</f>
        <v>3983.8</v>
      </c>
      <c r="F123" s="694">
        <f>LOOKUP(A123,'Rate Analysis'!$A$3:$A$4887,'Rate Analysis'!$H$3:$H$4887)</f>
        <v>4581.37</v>
      </c>
    </row>
    <row r="124" spans="1:6" s="695" customFormat="1" ht="17.25" customHeight="1">
      <c r="A124" s="696">
        <f>'Rate Analysis'!A1250</f>
        <v>6.23</v>
      </c>
      <c r="B124" s="706" t="str">
        <f>LOOKUP(A124,'Rate Analysis'!$A$3:$A$4887,'Rate Analysis'!$B$3:$B$4887)</f>
        <v xml:space="preserve">F14 </v>
      </c>
      <c r="C124" s="692" t="str">
        <f>'Rate Analysis'!C1250:E1250</f>
        <v xml:space="preserve">2.0 mm thick fiber glass corgated sheet roofing work </v>
      </c>
      <c r="D124" s="693" t="str">
        <f>LOOKUP(A124,'Rate Analysis'!$A$3:$A$4887,'Rate Analysis'!$F$3:$F$4887)</f>
        <v>Sqm.</v>
      </c>
      <c r="E124" s="694">
        <f>LOOKUP(A124,'Rate Analysis'!$A$3:$A$4887,'Rate Analysis'!$G$3:$G$4887)</f>
        <v>2860.1</v>
      </c>
      <c r="F124" s="694">
        <f>LOOKUP(A124,'Rate Analysis'!$A$3:$A$4887,'Rate Analysis'!$H$3:$H$4887)</f>
        <v>3289.11</v>
      </c>
    </row>
    <row r="125" spans="1:6" s="695" customFormat="1" ht="17.25" customHeight="1">
      <c r="A125" s="696">
        <f>'Rate Analysis'!A1262</f>
        <v>6.24</v>
      </c>
      <c r="B125" s="706" t="str">
        <f>LOOKUP(A125,'Rate Analysis'!$A$3:$A$4887,'Rate Analysis'!$B$3:$B$4887)</f>
        <v>F15</v>
      </c>
      <c r="C125" s="692" t="str">
        <f>LOOKUP(A125,'Rate Analysis'!$A$3:$A$4887,'Rate Analysis'!$C$3:$C$4887)</f>
        <v xml:space="preserve">1.20 mm thick fiber glass ridge  cover </v>
      </c>
      <c r="D125" s="693" t="str">
        <f>LOOKUP(A125,'Rate Analysis'!$A$3:$A$4887,'Rate Analysis'!$F$3:$F$4887)</f>
        <v>Rmtr.</v>
      </c>
      <c r="E125" s="694">
        <f>LOOKUP(A125,'Rate Analysis'!$A$3:$A$4887,'Rate Analysis'!$G$3:$G$4887)</f>
        <v>3497.28</v>
      </c>
      <c r="F125" s="694">
        <f>LOOKUP(A125,'Rate Analysis'!$A$3:$A$4887,'Rate Analysis'!$H$3:$H$4887)</f>
        <v>4021.87</v>
      </c>
    </row>
    <row r="126" spans="1:6" s="695" customFormat="1" ht="31.2">
      <c r="A126" s="696">
        <f>'Rate Analysis'!A1272</f>
        <v>6.25</v>
      </c>
      <c r="B126" s="706" t="str">
        <f>LOOKUP(A126,'Rate Analysis'!$A$3:$A$4887,'Rate Analysis'!$B$3:$B$4887)</f>
        <v>F18</v>
      </c>
      <c r="C126" s="692" t="str">
        <f>LOOKUP(A126,'Rate Analysis'!$A$3:$A$4887,'Rate Analysis'!$C$3:$C$4887)</f>
        <v xml:space="preserve">Readymade colour concrete tile laying work on cement sand (1:4) screeding </v>
      </c>
      <c r="D126" s="693" t="str">
        <f>LOOKUP(A126,'Rate Analysis'!$A$3:$A$4887,'Rate Analysis'!$F$3:$F$4887)</f>
        <v>Sqm.</v>
      </c>
      <c r="E126" s="694">
        <f>LOOKUP(A126,'Rate Analysis'!$A$3:$A$4887,'Rate Analysis'!$G$3:$G$4887)</f>
        <v>347.4</v>
      </c>
      <c r="F126" s="694">
        <f>LOOKUP(A126,'Rate Analysis'!$A$3:$A$4887,'Rate Analysis'!$H$3:$H$4887)</f>
        <v>399.51</v>
      </c>
    </row>
    <row r="127" spans="1:6" s="695" customFormat="1" ht="18" customHeight="1">
      <c r="A127" s="696">
        <f>'Rate Analysis'!A1284</f>
        <v>6.26</v>
      </c>
      <c r="B127" s="706" t="str">
        <f>LOOKUP(A127,'Rate Analysis'!$A$3:$A$4887,'Rate Analysis'!$B$3:$B$4887)</f>
        <v>F19( 10-17)</v>
      </c>
      <c r="C127" s="692" t="str">
        <f>LOOKUP(A127,'Rate Analysis'!$A$3:$A$4887,'Rate Analysis'!$C$3:$C$4887)</f>
        <v>Making and fixing of Sal wood beam, lintel, etc</v>
      </c>
      <c r="D127" s="693" t="str">
        <f>LOOKUP(A127,'Rate Analysis'!$A$3:$A$4887,'Rate Analysis'!$F$3:$F$4887)</f>
        <v>Cum.</v>
      </c>
      <c r="E127" s="694">
        <f>LOOKUP(A127,'Rate Analysis'!$A$3:$A$4887,'Rate Analysis'!$G$3:$G$4887)</f>
        <v>245075.20000000001</v>
      </c>
      <c r="F127" s="694">
        <f>LOOKUP(A127,'Rate Analysis'!$A$3:$A$4887,'Rate Analysis'!$H$3:$H$4887)</f>
        <v>281836.48</v>
      </c>
    </row>
    <row r="128" spans="1:6" s="695" customFormat="1" ht="18" customHeight="1">
      <c r="A128" s="696">
        <f>'Rate Analysis'!A1294</f>
        <v>6.27</v>
      </c>
      <c r="B128" s="706" t="str">
        <f>LOOKUP(A128,'Rate Analysis'!$A$3:$A$4887,'Rate Analysis'!$B$3:$B$4887)</f>
        <v xml:space="preserve"> F20(10-19)</v>
      </c>
      <c r="C128" s="692" t="str">
        <f>LOOKUP(A128,'Rate Analysis'!$A$3:$A$4887,'Rate Analysis'!$C$3:$C$4887)</f>
        <v>Making and fixing of 25 mm sal wood eaves board</v>
      </c>
      <c r="D128" s="693" t="str">
        <f>LOOKUP(A128,'Rate Analysis'!$A$3:$A$4887,'Rate Analysis'!$F$3:$F$4887)</f>
        <v>Sqm.</v>
      </c>
      <c r="E128" s="694">
        <f>LOOKUP(A128,'Rate Analysis'!$A$3:$A$4887,'Rate Analysis'!$G$3:$G$4887)</f>
        <v>6015.24</v>
      </c>
      <c r="F128" s="694">
        <f>LOOKUP(A128,'Rate Analysis'!$A$3:$A$4887,'Rate Analysis'!$H$3:$H$4887)</f>
        <v>6917.52</v>
      </c>
    </row>
    <row r="129" spans="1:6" s="695" customFormat="1" ht="18" customHeight="1">
      <c r="A129" s="696">
        <f>'Rate Analysis'!A1304</f>
        <v>6.28</v>
      </c>
      <c r="B129" s="706" t="str">
        <f>LOOKUP(A129,'Rate Analysis'!$A$3:$A$4887,'Rate Analysis'!$B$3:$B$4887)</f>
        <v>F22</v>
      </c>
      <c r="C129" s="692" t="str">
        <f>LOOKUP(A129,'Rate Analysis'!$A$3:$A$4887,'Rate Analysis'!$C$3:$C$4887)</f>
        <v xml:space="preserve">2 mm thick UPVC roofing sheet roofing work </v>
      </c>
      <c r="D129" s="693" t="str">
        <f>LOOKUP(A129,'Rate Analysis'!$A$3:$A$4887,'Rate Analysis'!$F$3:$F$4887)</f>
        <v>Sqm.</v>
      </c>
      <c r="E129" s="694">
        <f>LOOKUP(A129,'Rate Analysis'!$A$3:$A$4887,'Rate Analysis'!$G$3:$G$4887)</f>
        <v>12044.4</v>
      </c>
      <c r="F129" s="694">
        <f>LOOKUP(A129,'Rate Analysis'!$A$3:$A$4887,'Rate Analysis'!$H$3:$H$4887)</f>
        <v>13851.06</v>
      </c>
    </row>
    <row r="130" spans="1:6" s="695" customFormat="1" ht="18" customHeight="1">
      <c r="A130" s="696">
        <f>'Rate Analysis'!A1315</f>
        <v>6.29</v>
      </c>
      <c r="B130" s="706" t="str">
        <f>LOOKUP(A130,'Rate Analysis'!$A$3:$A$4887,'Rate Analysis'!$B$3:$B$4887)</f>
        <v>F23</v>
      </c>
      <c r="C130" s="692" t="str">
        <f>LOOKUP(A130,'Rate Analysis'!$A$3:$A$4887,'Rate Analysis'!$C$3:$C$4887)</f>
        <v xml:space="preserve">3 mm thick UPVC roofing sheet roofing work </v>
      </c>
      <c r="D130" s="693" t="str">
        <f>LOOKUP(A130,'Rate Analysis'!$A$3:$A$4887,'Rate Analysis'!$F$3:$F$4887)</f>
        <v>Sqm.</v>
      </c>
      <c r="E130" s="694">
        <f>LOOKUP(A130,'Rate Analysis'!$A$3:$A$4887,'Rate Analysis'!$G$3:$G$4887)</f>
        <v>2340.6</v>
      </c>
      <c r="F130" s="694">
        <f>LOOKUP(A130,'Rate Analysis'!$A$3:$A$4887,'Rate Analysis'!$H$3:$H$4887)</f>
        <v>2691.69</v>
      </c>
    </row>
    <row r="131" spans="1:6" s="695" customFormat="1">
      <c r="B131" s="698"/>
      <c r="C131" s="699"/>
      <c r="D131" s="700"/>
      <c r="E131" s="701"/>
      <c r="F131" s="701"/>
    </row>
    <row r="132" spans="1:6" s="689" customFormat="1">
      <c r="B132" s="686"/>
      <c r="C132" s="685" t="s">
        <v>434</v>
      </c>
      <c r="D132" s="685"/>
      <c r="E132" s="688"/>
      <c r="F132" s="688"/>
    </row>
    <row r="133" spans="1:6" s="695" customFormat="1" ht="19.5" customHeight="1">
      <c r="A133" s="720">
        <f>'Rate Analysis'!A1328</f>
        <v>7.01</v>
      </c>
      <c r="B133" s="706" t="str">
        <f>LOOKUP(A133,'Rate Analysis'!$A$3:$A$4887,'Rate Analysis'!$B$3:$B$4887)</f>
        <v xml:space="preserve"> G1(10-1)</v>
      </c>
      <c r="C133" s="692" t="str">
        <f>LOOKUP(A133,'Rate Analysis'!$A$3:$A$4887,'Rate Analysis'!$C$3:$C$4887)</f>
        <v>Sal wood works for chaukhats with all complete.</v>
      </c>
      <c r="D133" s="693" t="str">
        <f>LOOKUP(A133,'Rate Analysis'!$A$3:$A$4887,'Rate Analysis'!$F$3:$F$4887)</f>
        <v>Cum.</v>
      </c>
      <c r="E133" s="694">
        <f>LOOKUP(A133,'Rate Analysis'!$A$3:$A$4887,'Rate Analysis'!$G$3:$G$4887)</f>
        <v>279212.05</v>
      </c>
      <c r="F133" s="694">
        <f>LOOKUP(A133,'Rate Analysis'!$A$3:$A$4887,'Rate Analysis'!$H$3:$H$4887)</f>
        <v>321093.84999999998</v>
      </c>
    </row>
    <row r="134" spans="1:6" s="695" customFormat="1" ht="19.5" customHeight="1">
      <c r="A134" s="720">
        <f>'Rate Analysis'!A1340</f>
        <v>7.02</v>
      </c>
      <c r="B134" s="706" t="str">
        <f>LOOKUP(A134,'Rate Analysis'!$A$3:$A$4887,'Rate Analysis'!$B$3:$B$4887)</f>
        <v>G1(10-1)</v>
      </c>
      <c r="C134" s="692" t="str">
        <f>LOOKUP(A134,'Rate Analysis'!$A$3:$A$4887,'Rate Analysis'!$C$3:$C$4887)</f>
        <v>Local wood works for chaukhats with all complete.</v>
      </c>
      <c r="D134" s="693" t="str">
        <f>LOOKUP(A134,'Rate Analysis'!$A$3:$A$4887,'Rate Analysis'!$F$3:$F$4887)</f>
        <v>Cum.</v>
      </c>
      <c r="E134" s="694">
        <f>LOOKUP(A134,'Rate Analysis'!$A$3:$A$4887,'Rate Analysis'!$G$3:$G$4887)</f>
        <v>158674.4</v>
      </c>
      <c r="F134" s="694">
        <f>LOOKUP(A134,'Rate Analysis'!$A$3:$A$4887,'Rate Analysis'!$H$3:$H$4887)</f>
        <v>182475.56</v>
      </c>
    </row>
    <row r="135" spans="1:6" s="695" customFormat="1" ht="50.25" customHeight="1">
      <c r="A135" s="720">
        <f>'Rate Analysis'!A1352</f>
        <v>7.03</v>
      </c>
      <c r="B135" s="691" t="str">
        <f>LOOKUP(A135,'Rate Analysis'!$A$3:$A$4887,'Rate Analysis'!$B$3:$B$4887)</f>
        <v>G2(10-2)</v>
      </c>
      <c r="C135" s="692" t="str">
        <f>LOOKUP(A135,'Rate Analysis'!$A$3:$A$4887,'Rate Analysis'!$C$3:$C$4887)</f>
        <v>32 mm thick sal wood fully paneled shutter fixing work with all complete. Size of shutter  1.07 x 1.982 =2.114 Sqm.</v>
      </c>
      <c r="D135" s="693" t="str">
        <f>LOOKUP(A135,'Rate Analysis'!$A$3:$A$4887,'Rate Analysis'!$F$3:$F$4887)</f>
        <v>Sqm.</v>
      </c>
      <c r="E135" s="694">
        <f>LOOKUP(A135,'Rate Analysis'!$A$3:$A$4887,'Rate Analysis'!$G$3:$G$4887)</f>
        <v>13757.46</v>
      </c>
      <c r="F135" s="694">
        <f>LOOKUP(A135,'Rate Analysis'!$A$3:$A$4887,'Rate Analysis'!$H$3:$H$4887)</f>
        <v>15821.08</v>
      </c>
    </row>
    <row r="136" spans="1:6" s="695" customFormat="1" ht="53.25" customHeight="1">
      <c r="A136" s="720">
        <f>'Rate Analysis'!A1367</f>
        <v>7.04</v>
      </c>
      <c r="B136" s="691" t="s">
        <v>377</v>
      </c>
      <c r="C136" s="692" t="str">
        <f>LOOKUP(A136,'Rate Analysis'!$A$3:$A$4887,'Rate Analysis'!$C$3:$C$4887)</f>
        <v>32 x 75 mm thick sal wood frame with 4 mm thick fully glazed shutter fixing work with all complete. Size of shutter  1.829 x 1.22 =2.23 Sqm.</v>
      </c>
      <c r="D136" s="693" t="str">
        <f>LOOKUP(A136,'Rate Analysis'!$A$3:$A$4887,'Rate Analysis'!$F$3:$F$4887)</f>
        <v>Sqm.</v>
      </c>
      <c r="E136" s="694">
        <f>LOOKUP(A136,'Rate Analysis'!$A$3:$A$4887,'Rate Analysis'!$G$3:$G$4887)</f>
        <v>10135.43</v>
      </c>
      <c r="F136" s="694">
        <f>LOOKUP(A136,'Rate Analysis'!$A$3:$A$4887,'Rate Analysis'!$H$3:$H$4887)</f>
        <v>11655.74</v>
      </c>
    </row>
    <row r="137" spans="1:6" s="695" customFormat="1" ht="51.75" customHeight="1">
      <c r="A137" s="720" t="str">
        <f>'Rate Analysis'!A1381</f>
        <v>7.04a</v>
      </c>
      <c r="B137" s="691" t="s">
        <v>377</v>
      </c>
      <c r="C137" s="692" t="str">
        <f>'Rate Analysis'!C1381</f>
        <v>32 x 75 mm thick sal wood frame with 3 mm thick fully glazed shutter fixing work with all complete. Size of shutter  1.829 x 1.22 =2.23 Sqm.</v>
      </c>
      <c r="D137" s="704" t="str">
        <f>'Rate Analysis'!F1381</f>
        <v>Sqm.</v>
      </c>
      <c r="E137" s="694">
        <f>'Rate Analysis'!G1381</f>
        <v>10055.14</v>
      </c>
      <c r="F137" s="694">
        <f>'Rate Analysis'!H1381</f>
        <v>11563.41</v>
      </c>
    </row>
    <row r="138" spans="1:6" s="695" customFormat="1" ht="46.8">
      <c r="A138" s="720">
        <f>'Rate Analysis'!A1395</f>
        <v>7.05</v>
      </c>
      <c r="B138" s="691" t="str">
        <f>LOOKUP(A138,'Rate Analysis'!$A$3:$A$4887,'Rate Analysis'!$B$3:$B$4887)</f>
        <v xml:space="preserve"> G3(10-4)</v>
      </c>
      <c r="C138" s="692" t="str">
        <f>LOOKUP(A138,'Rate Analysis'!$A$3:$A$4887,'Rate Analysis'!$C$3:$C$4887)</f>
        <v>32 x 75 mm thick Gamhair wood frame with 4 mm thick fully glazed shutter fixing work with all complete. Size of shutter  1.829 x 1.22 =2.23 Sqm.</v>
      </c>
      <c r="D138" s="693" t="str">
        <f>LOOKUP(A138,'Rate Analysis'!$A$3:$A$4887,'Rate Analysis'!$F$3:$F$4887)</f>
        <v>Sqm.</v>
      </c>
      <c r="E138" s="694">
        <f>LOOKUP(A138,'Rate Analysis'!$A$3:$A$4887,'Rate Analysis'!$G$3:$G$4887)</f>
        <v>7520.08</v>
      </c>
      <c r="F138" s="694">
        <f>LOOKUP(A138,'Rate Analysis'!$A$3:$A$4887,'Rate Analysis'!$H$3:$H$4887)</f>
        <v>8648.1</v>
      </c>
    </row>
    <row r="139" spans="1:6" s="695" customFormat="1" ht="62.4">
      <c r="A139" s="720">
        <f>'Rate Analysis'!A1409</f>
        <v>7.06</v>
      </c>
      <c r="B139" s="691" t="str">
        <f>LOOKUP(A139,'Rate Analysis'!$A$3:$A$4887,'Rate Analysis'!$B$3:$B$4887)</f>
        <v xml:space="preserve"> G4(10-7)</v>
      </c>
      <c r="C139" s="692" t="str">
        <f>LOOKUP(A139,'Rate Analysis'!$A$3:$A$4887,'Rate Analysis'!$C$3:$C$4887)</f>
        <v>32 mm thick sal wood frame with 4 mm thick commercial plywood (bothside)  flush shutter fixing with all complete. Size of shutter  1.092 x 2.058 =2.245 Sqm.</v>
      </c>
      <c r="D139" s="693" t="str">
        <f>LOOKUP(A139,'Rate Analysis'!$A$3:$A$4887,'Rate Analysis'!$F$3:$F$4887)</f>
        <v>Sqm.</v>
      </c>
      <c r="E139" s="694">
        <f>LOOKUP(A139,'Rate Analysis'!$A$3:$A$4887,'Rate Analysis'!$G$3:$G$4887)</f>
        <v>8226</v>
      </c>
      <c r="F139" s="694">
        <f>LOOKUP(A139,'Rate Analysis'!$A$3:$A$4887,'Rate Analysis'!$H$3:$H$4887)</f>
        <v>9459.9</v>
      </c>
    </row>
    <row r="140" spans="1:6" s="695" customFormat="1" ht="46.8">
      <c r="A140" s="720">
        <f>'Rate Analysis'!A1423</f>
        <v>7.07</v>
      </c>
      <c r="B140" s="691" t="str">
        <f>LOOKUP(A140,'Rate Analysis'!$A$3:$A$4887,'Rate Analysis'!$B$3:$B$4887)</f>
        <v xml:space="preserve"> G4(10-8)</v>
      </c>
      <c r="C140" s="692" t="str">
        <f>LOOKUP(A140,'Rate Analysis'!$A$3:$A$4887,'Rate Analysis'!$C$3:$C$4887)</f>
        <v>32 mm thick sal wood frame with 3 mm thick TEAK plywood (Both side ) flush shutter fixing with all complete. Size of shutter  1.092 x 2.058 =2.245 Sqm.</v>
      </c>
      <c r="D140" s="693" t="str">
        <f>LOOKUP(A140,'Rate Analysis'!$A$3:$A$4887,'Rate Analysis'!$F$3:$F$4887)</f>
        <v>Sqm.</v>
      </c>
      <c r="E140" s="694">
        <f>LOOKUP(A140,'Rate Analysis'!$A$3:$A$4887,'Rate Analysis'!$G$3:$G$4887)</f>
        <v>7625.33</v>
      </c>
      <c r="F140" s="694">
        <f>LOOKUP(A140,'Rate Analysis'!$A$3:$A$4887,'Rate Analysis'!$H$3:$H$4887)</f>
        <v>8769.1299999999992</v>
      </c>
    </row>
    <row r="141" spans="1:6" s="695" customFormat="1" ht="46.8">
      <c r="A141" s="720">
        <f>'Rate Analysis'!A1437</f>
        <v>7.08</v>
      </c>
      <c r="B141" s="691" t="str">
        <f>LOOKUP(A141,'Rate Analysis'!$A$3:$A$4887,'Rate Analysis'!$B$3:$B$4887)</f>
        <v xml:space="preserve"> G4(10-9)</v>
      </c>
      <c r="C141" s="692" t="str">
        <f>LOOKUP(A141,'Rate Analysis'!$A$3:$A$4887,'Rate Analysis'!$C$3:$C$4887)</f>
        <v>32 mm thick sal wood frame with 26 Bwg G.I. plane sheet  (bothside)  shutter fixing with all complete. Size of shutter  1.092 x 2.058 =2.245 Sqm.</v>
      </c>
      <c r="D141" s="693" t="str">
        <f>LOOKUP(A141,'Rate Analysis'!$A$3:$A$4887,'Rate Analysis'!$F$3:$F$4887)</f>
        <v>Sqm.</v>
      </c>
      <c r="E141" s="694">
        <f>LOOKUP(A141,'Rate Analysis'!$A$3:$A$4887,'Rate Analysis'!$G$3:$G$4887)</f>
        <v>7119.76</v>
      </c>
      <c r="F141" s="694">
        <f>LOOKUP(A141,'Rate Analysis'!$A$3:$A$4887,'Rate Analysis'!$H$3:$H$4887)</f>
        <v>8187.73</v>
      </c>
    </row>
    <row r="142" spans="1:6" s="695" customFormat="1" ht="62.4" hidden="1">
      <c r="A142" s="720">
        <f>'Rate Analysis'!A1452</f>
        <v>7.09</v>
      </c>
      <c r="B142" s="691" t="str">
        <f>LOOKUP(A142,'Rate Analysis'!$A$3:$A$4887,'Rate Analysis'!$B$3:$B$4887)</f>
        <v xml:space="preserve"> G4(10-10)</v>
      </c>
      <c r="C142" s="692" t="str">
        <f>LOOKUP(A142,'Rate Analysis'!$A$3:$A$4887,'Rate Analysis'!$C$3:$C$4887)</f>
        <v>38 mm thick sal wood frame with 24 Bwg G.I. mosquito proof &amp; Expanded metal net net shutter fixing with all complete. Size of shutter  1.092 x 2.058 =2.245 Sqm.</v>
      </c>
      <c r="D142" s="693" t="str">
        <f>LOOKUP(A142,'Rate Analysis'!$A$3:$A$4887,'Rate Analysis'!$F$3:$F$4887)</f>
        <v>Sqm.</v>
      </c>
      <c r="E142" s="694" t="e">
        <f>LOOKUP(A142,'Rate Analysis'!$A$3:$A$4887,'Rate Analysis'!$G$3:$G$4887)</f>
        <v>#VALUE!</v>
      </c>
      <c r="F142" s="694" t="e">
        <f>LOOKUP(A142,'Rate Analysis'!$A$3:$A$4887,'Rate Analysis'!$H$3:$H$4887)</f>
        <v>#VALUE!</v>
      </c>
    </row>
    <row r="143" spans="1:6" s="695" customFormat="1" ht="46.8">
      <c r="A143" s="720">
        <f>'Rate Analysis'!A1468</f>
        <v>7.1</v>
      </c>
      <c r="B143" s="691" t="str">
        <f>LOOKUP(A143,'Rate Analysis'!$A$3:$A$4887,'Rate Analysis'!$B$3:$B$4887)</f>
        <v xml:space="preserve"> G4(10-10)</v>
      </c>
      <c r="C143" s="692" t="str">
        <f>LOOKUP(A143,'Rate Analysis'!$A$3:$A$4887,'Rate Analysis'!$C$3:$C$4887)</f>
        <v>32 mm thick sal wood frame with 24 Bwg G.I. mosquito proof net shutter fixing with all complete. Size of shutter  1.092 x 2.058 =2.245 Sqm.</v>
      </c>
      <c r="D143" s="693" t="str">
        <f>LOOKUP(A143,'Rate Analysis'!$A$3:$A$4887,'Rate Analysis'!$F$3:$F$4887)</f>
        <v>Sqm.</v>
      </c>
      <c r="E143" s="694">
        <f>LOOKUP(A143,'Rate Analysis'!$A$3:$A$4887,'Rate Analysis'!$G$3:$G$4887)</f>
        <v>5590.83</v>
      </c>
      <c r="F143" s="694">
        <f>LOOKUP(A143,'Rate Analysis'!$A$3:$A$4887,'Rate Analysis'!$H$3:$H$4887)</f>
        <v>6429.45</v>
      </c>
    </row>
    <row r="144" spans="1:6" s="695" customFormat="1" ht="31.2">
      <c r="A144" s="720">
        <f>'Rate Analysis'!A1483</f>
        <v>7.11</v>
      </c>
      <c r="B144" s="691" t="str">
        <f>LOOKUP(A144,'Rate Analysis'!$A$3:$A$4887,'Rate Analysis'!$B$3:$B$4887)</f>
        <v xml:space="preserve"> G5(10-11B)</v>
      </c>
      <c r="C144" s="692" t="str">
        <f>LOOKUP(A144,'Rate Analysis'!$A$3:$A$4887,'Rate Analysis'!$C$3:$C$4887)</f>
        <v>4 mm thick plane glass fixing work with wooden listies.</v>
      </c>
      <c r="D144" s="693" t="str">
        <f>LOOKUP(A144,'Rate Analysis'!$A$3:$A$4887,'Rate Analysis'!$F$3:$F$4887)</f>
        <v>Sqm.</v>
      </c>
      <c r="E144" s="694">
        <f>LOOKUP(A144,'Rate Analysis'!$A$3:$A$4887,'Rate Analysis'!$G$3:$G$4887)</f>
        <v>1522.8700000000001</v>
      </c>
      <c r="F144" s="694">
        <f>LOOKUP(A144,'Rate Analysis'!$A$3:$A$4887,'Rate Analysis'!$H$3:$H$4887)</f>
        <v>1751.3000000000002</v>
      </c>
    </row>
    <row r="145" spans="1:6" s="695" customFormat="1" ht="31.2">
      <c r="A145" s="720">
        <f>'Rate Analysis'!A1495</f>
        <v>7.12</v>
      </c>
      <c r="B145" s="691" t="str">
        <f>LOOKUP(A145,'Rate Analysis'!$A$3:$A$4887,'Rate Analysis'!$B$3:$B$4887)</f>
        <v xml:space="preserve"> G5(10-11B)</v>
      </c>
      <c r="C145" s="692" t="str">
        <f>LOOKUP(A145,'Rate Analysis'!$A$3:$A$4887,'Rate Analysis'!$C$3:$C$4887)</f>
        <v>26 Bwg plane sheet fixing work with wooden listies.</v>
      </c>
      <c r="D145" s="693" t="str">
        <f>LOOKUP(A145,'Rate Analysis'!$A$3:$A$4887,'Rate Analysis'!$F$3:$F$4887)</f>
        <v>Sqm.</v>
      </c>
      <c r="E145" s="694">
        <f>LOOKUP(A145,'Rate Analysis'!$A$3:$A$4887,'Rate Analysis'!$G$3:$G$4887)</f>
        <v>144.87</v>
      </c>
      <c r="F145" s="694">
        <f>LOOKUP(A145,'Rate Analysis'!$A$3:$A$4887,'Rate Analysis'!$H$3:$H$4887)</f>
        <v>166.6</v>
      </c>
    </row>
    <row r="146" spans="1:6" s="695" customFormat="1" ht="20.25" customHeight="1">
      <c r="A146" s="720">
        <f>'Rate Analysis'!A1506</f>
        <v>7.13</v>
      </c>
      <c r="B146" s="691" t="str">
        <f>LOOKUP(A146,'Rate Analysis'!$A$3:$A$4887,'Rate Analysis'!$B$3:$B$4887)</f>
        <v xml:space="preserve"> G6(10-12)</v>
      </c>
      <c r="C146" s="692" t="str">
        <f>LOOKUP(A146,'Rate Analysis'!$A$3:$A$4887,'Rate Analysis'!$C$3:$C$4887)</f>
        <v>4 mm thick ply wood fixing work with wooden listies.</v>
      </c>
      <c r="D146" s="693" t="str">
        <f>LOOKUP(A146,'Rate Analysis'!$A$3:$A$4887,'Rate Analysis'!$F$3:$F$4887)</f>
        <v>Sqm.</v>
      </c>
      <c r="E146" s="694">
        <f>LOOKUP(A146,'Rate Analysis'!$A$3:$A$4887,'Rate Analysis'!$G$3:$G$4887)</f>
        <v>449.37</v>
      </c>
      <c r="F146" s="694">
        <f>LOOKUP(A146,'Rate Analysis'!$A$3:$A$4887,'Rate Analysis'!$H$3:$H$4887)</f>
        <v>516.77</v>
      </c>
    </row>
    <row r="147" spans="1:6" s="695" customFormat="1" ht="31.2">
      <c r="A147" s="720">
        <f>'Rate Analysis'!A1517</f>
        <v>7.14</v>
      </c>
      <c r="B147" s="691" t="str">
        <f>LOOKUP(A147,'Rate Analysis'!$A$3:$A$4887,'Rate Analysis'!$B$3:$B$4887)</f>
        <v>G5(10-11B)</v>
      </c>
      <c r="C147" s="692" t="str">
        <f>LOOKUP(A147,'Rate Analysis'!$A$3:$A$4887,'Rate Analysis'!$C$3:$C$4887)</f>
        <v>Mosquito proof net fixing work with wooden listies.</v>
      </c>
      <c r="D147" s="693" t="str">
        <f>LOOKUP(A147,'Rate Analysis'!$A$3:$A$4887,'Rate Analysis'!$F$3:$F$4887)</f>
        <v>Sqm.</v>
      </c>
      <c r="E147" s="694">
        <f>LOOKUP(A147,'Rate Analysis'!$A$3:$A$4887,'Rate Analysis'!$G$3:$G$4887)</f>
        <v>435.39</v>
      </c>
      <c r="F147" s="694">
        <f>LOOKUP(A147,'Rate Analysis'!$A$3:$A$4887,'Rate Analysis'!$H$3:$H$4887)</f>
        <v>500.69</v>
      </c>
    </row>
    <row r="148" spans="1:6" s="695" customFormat="1" ht="31.2" hidden="1">
      <c r="A148" s="720">
        <f>'Rate Analysis'!A1528</f>
        <v>7.15</v>
      </c>
      <c r="B148" s="691" t="str">
        <f>LOOKUP(A148,'Rate Analysis'!$A$3:$A$4887,'Rate Analysis'!$B$3:$B$4887)</f>
        <v>G5(10-11B)</v>
      </c>
      <c r="C148" s="692" t="str">
        <f>LOOKUP(A148,'Rate Analysis'!$A$3:$A$4887,'Rate Analysis'!$C$3:$C$4887)</f>
        <v>Mosquito proof  &amp; Expanded metal net fixing work with wooden listies.</v>
      </c>
      <c r="D148" s="693" t="str">
        <f>LOOKUP(A148,'Rate Analysis'!$A$3:$A$4887,'Rate Analysis'!$F$3:$F$4887)</f>
        <v>Sqm.</v>
      </c>
      <c r="E148" s="694">
        <f>LOOKUP(A148,'Rate Analysis'!$A$3:$A$4887,'Rate Analysis'!$G$3:$G$4887)</f>
        <v>521.39</v>
      </c>
      <c r="F148" s="694">
        <f>LOOKUP(A148,'Rate Analysis'!$A$3:$A$4887,'Rate Analysis'!$H$3:$H$4887)</f>
        <v>599.59</v>
      </c>
    </row>
    <row r="149" spans="1:6" s="695" customFormat="1" ht="31.2">
      <c r="A149" s="720">
        <v>7.15</v>
      </c>
      <c r="B149" s="691" t="str">
        <f>LOOKUP(A149,'Rate Analysis'!$A$3:$A$4887,'Rate Analysis'!$B$3:$B$4887)</f>
        <v>G5(10-11B)</v>
      </c>
      <c r="C149" s="692" t="str">
        <f>LOOKUP(A149,'Rate Analysis'!$A$3:$A$4887,'Rate Analysis'!$C$3:$C$4887)</f>
        <v>Mosquito proof  &amp; Expanded metal net fixing work with wooden listies.</v>
      </c>
      <c r="D149" s="693" t="str">
        <f>LOOKUP(A149,'Rate Analysis'!$A$3:$A$4887,'Rate Analysis'!$F$3:$F$4887)</f>
        <v>Sqm.</v>
      </c>
      <c r="E149" s="694">
        <f>LOOKUP(A149,'Rate Analysis'!$A$3:$A$4887,'Rate Analysis'!$G$3:$G$4887)</f>
        <v>521.39</v>
      </c>
      <c r="F149" s="694">
        <f>LOOKUP(A149,'Rate Analysis'!$A$3:$A$4887,'Rate Analysis'!$H$3:$H$4887)</f>
        <v>599.59</v>
      </c>
    </row>
    <row r="150" spans="1:6" s="695" customFormat="1" ht="46.8">
      <c r="A150" s="720">
        <f>'Rate Analysis'!A1540</f>
        <v>7.16</v>
      </c>
      <c r="B150" s="691" t="str">
        <f>LOOKUP(A150,'Rate Analysis'!$A$3:$A$4887,'Rate Analysis'!$B$3:$B$4887)</f>
        <v>10-16-A</v>
      </c>
      <c r="C150" s="692" t="str">
        <f>LOOKUP(A150,'Rate Analysis'!$A$3:$A$4887,'Rate Analysis'!$C$3:$C$4887)</f>
        <v>False ceiling of 6 mm thick commerical plywood  with 50 mm x 75 mm size local wood frame of box size 0.600 x 0.900 m and fixing of wooden listy in joints</v>
      </c>
      <c r="D150" s="693" t="str">
        <f>LOOKUP(A150,'Rate Analysis'!$A$3:$A$4887,'Rate Analysis'!$F$3:$F$4887)</f>
        <v>Sqm.</v>
      </c>
      <c r="E150" s="694">
        <f>LOOKUP(A150,'Rate Analysis'!$A$3:$A$4887,'Rate Analysis'!$G$3:$G$4887)</f>
        <v>2667.23</v>
      </c>
      <c r="F150" s="694">
        <f>LOOKUP(A150,'Rate Analysis'!$A$3:$A$4887,'Rate Analysis'!$H$3:$H$4887)</f>
        <v>3067.31</v>
      </c>
    </row>
    <row r="151" spans="1:6" s="695" customFormat="1" ht="31.2">
      <c r="A151" s="720">
        <f>'Rate Analysis'!A1553</f>
        <v>7.17</v>
      </c>
      <c r="B151" s="691" t="str">
        <f>LOOKUP(A151,'Rate Analysis'!$A$3:$A$4887,'Rate Analysis'!$B$3:$B$4887)</f>
        <v xml:space="preserve"> G7(10-21)</v>
      </c>
      <c r="C151" s="692" t="str">
        <f>LOOKUP(A151,'Rate Analysis'!$A$3:$A$4887,'Rate Analysis'!$C$3:$C$4887)</f>
        <v>Torsteel reinforcement bar fixing work in window frame with all complete,</v>
      </c>
      <c r="D151" s="693" t="str">
        <f>LOOKUP(A151,'Rate Analysis'!$A$3:$A$4887,'Rate Analysis'!$F$3:$F$4887)</f>
        <v>Kg.</v>
      </c>
      <c r="E151" s="694">
        <f>LOOKUP(A151,'Rate Analysis'!$A$3:$A$4887,'Rate Analysis'!$G$3:$G$4887)</f>
        <v>151.65</v>
      </c>
      <c r="F151" s="694">
        <f>LOOKUP(A151,'Rate Analysis'!$A$3:$A$4887,'Rate Analysis'!$H$3:$H$4887)</f>
        <v>174.39</v>
      </c>
    </row>
    <row r="152" spans="1:6" s="695" customFormat="1" ht="62.4">
      <c r="A152" s="720">
        <f>'Rate Analysis'!A1562</f>
        <v>7.18</v>
      </c>
      <c r="B152" s="691" t="str">
        <f>LOOKUP(A152,'Rate Analysis'!$A$3:$A$4887,'Rate Analysis'!$B$3:$B$4887)</f>
        <v xml:space="preserve"> G8(10-3 &amp; 10-7)</v>
      </c>
      <c r="C152" s="692" t="str">
        <f>LOOKUP(A152,'Rate Analysis'!$A$3:$A$4887,'Rate Analysis'!$C$3:$C$4887)</f>
        <v>32 x100mm thick sal wood frame with 12 mm thick commercial plywood paneled &amp; one side 4 mm thick Teak plywood paneled shutter fixing with all complete. Size of shutter  1.092 x 2.058 =2.245 Sqm.</v>
      </c>
      <c r="D152" s="693" t="str">
        <f>LOOKUP(A152,'Rate Analysis'!$A$3:$A$4887,'Rate Analysis'!$F$3:$F$4887)</f>
        <v>Sqm.</v>
      </c>
      <c r="E152" s="694">
        <f>LOOKUP(A152,'Rate Analysis'!$A$3:$A$4887,'Rate Analysis'!$G$3:$G$4887)</f>
        <v>9758.69</v>
      </c>
      <c r="F152" s="694">
        <f>LOOKUP(A152,'Rate Analysis'!$A$3:$A$4887,'Rate Analysis'!$H$3:$H$4887)</f>
        <v>11222.49</v>
      </c>
    </row>
    <row r="153" spans="1:6" s="695" customFormat="1" ht="62.4">
      <c r="A153" s="720">
        <f>'Rate Analysis'!A1579</f>
        <v>7.19</v>
      </c>
      <c r="B153" s="691" t="str">
        <f>LOOKUP(A153,'Rate Analysis'!$A$3:$A$4887,'Rate Analysis'!$B$3:$B$4887)</f>
        <v xml:space="preserve"> G9(10-3 &amp; 10-7)</v>
      </c>
      <c r="C153" s="692" t="str">
        <f>LOOKUP(A153,'Rate Analysis'!$A$3:$A$4887,'Rate Analysis'!$C$3:$C$4887)</f>
        <v>32 x100mm thick sal wood frame with 12 mm thick commercial plywood paneled &amp; both side 4 mm thick Teak plywood paneled shutter fixing with all complete. Size of shutter  1.092 x 2.058 =2.245 Sqm.</v>
      </c>
      <c r="D153" s="693" t="str">
        <f>LOOKUP(A153,'Rate Analysis'!$A$3:$A$4887,'Rate Analysis'!$F$3:$F$4887)</f>
        <v>Sqm.</v>
      </c>
      <c r="E153" s="694">
        <f>LOOKUP(A153,'Rate Analysis'!$A$3:$A$4887,'Rate Analysis'!$G$3:$G$4887)</f>
        <v>11219</v>
      </c>
      <c r="F153" s="694">
        <f>LOOKUP(A153,'Rate Analysis'!$A$3:$A$4887,'Rate Analysis'!$H$3:$H$4887)</f>
        <v>12901.84</v>
      </c>
    </row>
    <row r="154" spans="1:6" s="695" customFormat="1" ht="73.2" customHeight="1">
      <c r="A154" s="720">
        <f>'Rate Analysis'!A1596</f>
        <v>7.2</v>
      </c>
      <c r="B154" s="691" t="str">
        <f>'Rate Analysis'!B1596</f>
        <v xml:space="preserve"> G10(10-3 &amp; 10-7)</v>
      </c>
      <c r="C154" s="692" t="str">
        <f>'Rate Analysis'!C1596</f>
        <v>32 x100mm thick sal wood frame with 12 mm thick water proof plywood paneled &amp; one side 4 mm thick Teak plywood paneled shutter fixing with all complete. Size of shutter  1.092 x 2.058 =2.245 Sqm.</v>
      </c>
      <c r="D154" s="704" t="str">
        <f>'Rate Analysis'!F1596</f>
        <v>Sqm.</v>
      </c>
      <c r="E154" s="694">
        <f>'Rate Analysis'!G1596</f>
        <v>9758.69</v>
      </c>
      <c r="F154" s="694">
        <f>'Rate Analysis'!H1596</f>
        <v>11222.49</v>
      </c>
    </row>
    <row r="155" spans="1:6" s="689" customFormat="1">
      <c r="A155" s="721"/>
      <c r="B155" s="686"/>
      <c r="C155" s="685" t="s">
        <v>435</v>
      </c>
      <c r="D155" s="716"/>
      <c r="E155" s="717"/>
      <c r="F155" s="717"/>
    </row>
    <row r="156" spans="1:6" s="695" customFormat="1" ht="93.6">
      <c r="A156" s="702">
        <f>'Rate Analysis'!A1614</f>
        <v>8.01</v>
      </c>
      <c r="B156" s="691" t="str">
        <f>LOOKUP(A156,'Rate Analysis'!$A$3:$A$4887,'Rate Analysis'!$B$3:$B$4887)</f>
        <v xml:space="preserve">H1(11-1A) </v>
      </c>
      <c r="C156" s="692" t="s">
        <v>1467</v>
      </c>
      <c r="D156" s="693" t="str">
        <f>LOOKUP(A156,'Rate Analysis'!$A$3:$A$4887,'Rate Analysis'!$F$3:$F$4887)</f>
        <v>Sqm.</v>
      </c>
      <c r="E156" s="694">
        <f>LOOKUP(A156,'Rate Analysis'!$A$3:$A$4887,'Rate Analysis'!$G$3:$G$4887)</f>
        <v>456.99</v>
      </c>
      <c r="F156" s="694">
        <f>LOOKUP(A156,'Rate Analysis'!$A$3:$A$4887,'Rate Analysis'!$H$3:$H$4887)</f>
        <v>525.53</v>
      </c>
    </row>
    <row r="157" spans="1:6" s="695" customFormat="1" ht="93.6">
      <c r="A157" s="702">
        <f>'Rate Analysis'!A1625</f>
        <v>8.02</v>
      </c>
      <c r="B157" s="691" t="str">
        <f>LOOKUP(A157,'Rate Analysis'!$A$3:$A$4887,'Rate Analysis'!$B$3:$B$4887)</f>
        <v xml:space="preserve">H1(11-1B) </v>
      </c>
      <c r="C157" s="692" t="s">
        <v>1468</v>
      </c>
      <c r="D157" s="693" t="str">
        <f>LOOKUP(A157,'Rate Analysis'!$A$3:$A$4887,'Rate Analysis'!$F$3:$F$4887)</f>
        <v>Sqm.</v>
      </c>
      <c r="E157" s="694">
        <f>LOOKUP(A157,'Rate Analysis'!$A$3:$A$4887,'Rate Analysis'!$G$3:$G$4887)</f>
        <v>611.48</v>
      </c>
      <c r="F157" s="694">
        <f>LOOKUP(A157,'Rate Analysis'!$A$3:$A$4887,'Rate Analysis'!$H$3:$H$4887)</f>
        <v>703.2</v>
      </c>
    </row>
    <row r="158" spans="1:6" s="695" customFormat="1" ht="93.6">
      <c r="A158" s="702">
        <f>'Rate Analysis'!A1636</f>
        <v>8.0299999999999994</v>
      </c>
      <c r="B158" s="691" t="str">
        <f>LOOKUP(A158,'Rate Analysis'!$A$3:$A$4887,'Rate Analysis'!$B$3:$B$4887)</f>
        <v xml:space="preserve">H1(11-1C) </v>
      </c>
      <c r="C158" s="692" t="s">
        <v>1469</v>
      </c>
      <c r="D158" s="693" t="str">
        <f>LOOKUP(A158,'Rate Analysis'!$A$3:$A$4887,'Rate Analysis'!$F$3:$F$4887)</f>
        <v>Sqm.</v>
      </c>
      <c r="E158" s="694">
        <f>LOOKUP(A158,'Rate Analysis'!$A$3:$A$4887,'Rate Analysis'!$G$3:$G$4887)</f>
        <v>740.28</v>
      </c>
      <c r="F158" s="694">
        <f>LOOKUP(A158,'Rate Analysis'!$A$3:$A$4887,'Rate Analysis'!$H$3:$H$4887)</f>
        <v>851.32</v>
      </c>
    </row>
    <row r="159" spans="1:6" s="695" customFormat="1" ht="93.6">
      <c r="A159" s="702">
        <f>'Rate Analysis'!A1648</f>
        <v>8.0399999999999991</v>
      </c>
      <c r="B159" s="691" t="str">
        <f>LOOKUP(A159,'Rate Analysis'!$A$3:$A$4887,'Rate Analysis'!$B$3:$B$4887)</f>
        <v xml:space="preserve">H1(11-1D) </v>
      </c>
      <c r="C159" s="692" t="s">
        <v>1470</v>
      </c>
      <c r="D159" s="693" t="str">
        <f>LOOKUP(A159,'Rate Analysis'!$A$3:$A$4887,'Rate Analysis'!$F$3:$F$4887)</f>
        <v>Sqm.</v>
      </c>
      <c r="E159" s="694">
        <f>LOOKUP(A159,'Rate Analysis'!$A$3:$A$4887,'Rate Analysis'!$G$3:$G$4887)</f>
        <v>974.24</v>
      </c>
      <c r="F159" s="694">
        <f>LOOKUP(A159,'Rate Analysis'!$A$3:$A$4887,'Rate Analysis'!$H$3:$H$4887)</f>
        <v>1120.3699999999999</v>
      </c>
    </row>
    <row r="160" spans="1:6" s="695" customFormat="1" ht="46.8">
      <c r="A160" s="702">
        <f>'Rate Analysis'!A1660</f>
        <v>8.0500000000000007</v>
      </c>
      <c r="B160" s="691" t="str">
        <f>LOOKUP(A160,'Rate Analysis'!$A$3:$A$4887,'Rate Analysis'!$B$3:$B$4887)</f>
        <v xml:space="preserve"> H2(11-2)</v>
      </c>
      <c r="C160" s="692" t="s">
        <v>32</v>
      </c>
      <c r="D160" s="693" t="str">
        <f>LOOKUP(A160,'Rate Analysis'!$A$3:$A$4887,'Rate Analysis'!$F$3:$F$4887)</f>
        <v>Sqm.</v>
      </c>
      <c r="E160" s="694">
        <f>LOOKUP(A160,'Rate Analysis'!$A$3:$A$4887,'Rate Analysis'!$G$3:$G$4887)</f>
        <v>2467.2800000000002</v>
      </c>
      <c r="F160" s="694">
        <f>LOOKUP(A160,'Rate Analysis'!$A$3:$A$4887,'Rate Analysis'!$H$3:$H$4887)</f>
        <v>2837.37</v>
      </c>
    </row>
    <row r="161" spans="1:6" s="695" customFormat="1" ht="46.8">
      <c r="A161" s="702">
        <f>'Rate Analysis'!A1677</f>
        <v>8.06</v>
      </c>
      <c r="B161" s="691" t="str">
        <f>LOOKUP(A161,'Rate Analysis'!$A$3:$A$4887,'Rate Analysis'!$B$3:$B$4887)</f>
        <v xml:space="preserve"> H3(11-3)</v>
      </c>
      <c r="C161" s="692" t="s">
        <v>396</v>
      </c>
      <c r="D161" s="693" t="str">
        <f>LOOKUP(A161,'Rate Analysis'!$A$3:$A$4887,'Rate Analysis'!$F$3:$F$4887)</f>
        <v>Sqm.</v>
      </c>
      <c r="E161" s="694">
        <f>LOOKUP(A161,'Rate Analysis'!$A$3:$A$4887,'Rate Analysis'!$G$3:$G$4887)</f>
        <v>4318.82</v>
      </c>
      <c r="F161" s="694">
        <f>LOOKUP(A161,'Rate Analysis'!$A$3:$A$4887,'Rate Analysis'!$H$3:$H$4887)</f>
        <v>4966.6400000000003</v>
      </c>
    </row>
    <row r="162" spans="1:6" s="695" customFormat="1" ht="46.8">
      <c r="A162" s="702">
        <f>'Rate Analysis'!A1694</f>
        <v>8.07</v>
      </c>
      <c r="B162" s="691" t="str">
        <f>LOOKUP(A162,'Rate Analysis'!$A$3:$A$4887,'Rate Analysis'!$B$3:$B$4887)</f>
        <v xml:space="preserve"> H4(11-4)</v>
      </c>
      <c r="C162" s="692" t="s">
        <v>33</v>
      </c>
      <c r="D162" s="693" t="str">
        <f>LOOKUP(A162,'Rate Analysis'!$A$3:$A$4887,'Rate Analysis'!$F$3:$F$4887)</f>
        <v>Sqm.</v>
      </c>
      <c r="E162" s="694">
        <f>LOOKUP(A162,'Rate Analysis'!$A$3:$A$4887,'Rate Analysis'!$G$3:$G$4887)</f>
        <v>4410.16</v>
      </c>
      <c r="F162" s="694">
        <f>LOOKUP(A162,'Rate Analysis'!$A$3:$A$4887,'Rate Analysis'!$H$3:$H$4887)</f>
        <v>5071.6899999999996</v>
      </c>
    </row>
    <row r="163" spans="1:6" s="695" customFormat="1" ht="46.8">
      <c r="A163" s="702">
        <f>'Rate Analysis'!A1711</f>
        <v>8.08</v>
      </c>
      <c r="B163" s="691" t="str">
        <f>LOOKUP(A163,'Rate Analysis'!$A$3:$A$4887,'Rate Analysis'!$B$3:$B$4887)</f>
        <v xml:space="preserve"> H5(11-5)</v>
      </c>
      <c r="C163" s="692" t="s">
        <v>1151</v>
      </c>
      <c r="D163" s="693" t="str">
        <f>LOOKUP(A163,'Rate Analysis'!$A$3:$A$4887,'Rate Analysis'!$F$3:$F$4887)</f>
        <v>Sqm.</v>
      </c>
      <c r="E163" s="694">
        <f>LOOKUP(A163,'Rate Analysis'!$A$3:$A$4887,'Rate Analysis'!$G$3:$G$4887)</f>
        <v>3476.51</v>
      </c>
      <c r="F163" s="694">
        <f>LOOKUP(A163,'Rate Analysis'!$A$3:$A$4887,'Rate Analysis'!$H$3:$H$4887)</f>
        <v>3997.99</v>
      </c>
    </row>
    <row r="164" spans="1:6" s="695" customFormat="1" ht="46.8">
      <c r="A164" s="702">
        <f>'Rate Analysis'!A1727</f>
        <v>8.09</v>
      </c>
      <c r="B164" s="691" t="str">
        <f>LOOKUP(A164,'Rate Analysis'!$A$3:$A$4887,'Rate Analysis'!$B$3:$B$4887)</f>
        <v xml:space="preserve"> 11-6</v>
      </c>
      <c r="C164" s="692" t="s">
        <v>1074</v>
      </c>
      <c r="D164" s="693" t="str">
        <f>LOOKUP(A164,'Rate Analysis'!$A$3:$A$4887,'Rate Analysis'!$F$3:$F$4887)</f>
        <v>Sqm.</v>
      </c>
      <c r="E164" s="694">
        <f>LOOKUP(A164,'Rate Analysis'!$A$3:$A$4887,'Rate Analysis'!$G$3:$G$4887)</f>
        <v>4691.87</v>
      </c>
      <c r="F164" s="694">
        <f>LOOKUP(A164,'Rate Analysis'!$A$3:$A$4887,'Rate Analysis'!$H$3:$H$4887)</f>
        <v>5395.66</v>
      </c>
    </row>
    <row r="165" spans="1:6" s="695" customFormat="1" ht="31.2">
      <c r="A165" s="702">
        <f>'Rate Analysis'!A1744</f>
        <v>8.1</v>
      </c>
      <c r="B165" s="691" t="str">
        <f>LOOKUP(A165,'Rate Analysis'!$A$3:$A$4887,'Rate Analysis'!$B$3:$B$4887)</f>
        <v>H6(11-7)</v>
      </c>
      <c r="C165" s="692" t="s">
        <v>222</v>
      </c>
      <c r="D165" s="693" t="str">
        <f>LOOKUP(A165,'Rate Analysis'!$A$3:$A$4887,'Rate Analysis'!$F$3:$F$4887)</f>
        <v>Sqm.</v>
      </c>
      <c r="E165" s="694">
        <f>LOOKUP(A165,'Rate Analysis'!$A$3:$A$4887,'Rate Analysis'!$G$3:$G$4887)</f>
        <v>3978.16</v>
      </c>
      <c r="F165" s="694">
        <f>LOOKUP(A165,'Rate Analysis'!$A$3:$A$4887,'Rate Analysis'!$H$3:$H$4887)</f>
        <v>4574.88</v>
      </c>
    </row>
    <row r="166" spans="1:6" s="695" customFormat="1" ht="31.2" hidden="1">
      <c r="A166" s="702">
        <f>'Rate Analysis'!A1756</f>
        <v>8.11</v>
      </c>
      <c r="B166" s="691" t="str">
        <f>LOOKUP(A166,'Rate Analysis'!$A$3:$A$4887,'Rate Analysis'!$B$3:$B$4887)</f>
        <v>H6(11-7)</v>
      </c>
      <c r="C166" s="692" t="s">
        <v>219</v>
      </c>
      <c r="D166" s="693" t="str">
        <f>LOOKUP(A166,'Rate Analysis'!$A$3:$A$4887,'Rate Analysis'!$F$3:$F$4887)</f>
        <v>Sqm.</v>
      </c>
      <c r="E166" s="694" t="e">
        <f>LOOKUP(A166,'Rate Analysis'!$A$3:$A$4887,'Rate Analysis'!$G$3:$G$4887)</f>
        <v>#VALUE!</v>
      </c>
      <c r="F166" s="694" t="e">
        <f>LOOKUP(A166,'Rate Analysis'!$A$3:$A$4887,'Rate Analysis'!$H$3:$H$4887)</f>
        <v>#VALUE!</v>
      </c>
    </row>
    <row r="167" spans="1:6" s="695" customFormat="1" ht="31.2">
      <c r="A167" s="702">
        <f>'Rate Analysis'!A1769</f>
        <v>8.1199999999999992</v>
      </c>
      <c r="B167" s="691" t="str">
        <f>LOOKUP(A167,'Rate Analysis'!$A$3:$A$4887,'Rate Analysis'!$B$3:$B$4887)</f>
        <v>H12(11-12)</v>
      </c>
      <c r="C167" s="692" t="s">
        <v>170</v>
      </c>
      <c r="D167" s="693" t="str">
        <f>LOOKUP(A167,'Rate Analysis'!$A$3:$A$4887,'Rate Analysis'!$F$3:$F$4887)</f>
        <v>Sqm.</v>
      </c>
      <c r="E167" s="694">
        <f>LOOKUP(A167,'Rate Analysis'!$A$3:$A$4887,'Rate Analysis'!$G$3:$G$4887)</f>
        <v>1440.33</v>
      </c>
      <c r="F167" s="694">
        <f>LOOKUP(A167,'Rate Analysis'!$A$3:$A$4887,'Rate Analysis'!$H$3:$H$4887)</f>
        <v>1656.37</v>
      </c>
    </row>
    <row r="168" spans="1:6" s="695" customFormat="1" ht="31.2">
      <c r="A168" s="702">
        <f>'Rate Analysis'!A1781</f>
        <v>8.1300000000000008</v>
      </c>
      <c r="B168" s="691" t="str">
        <f>LOOKUP(A168,'Rate Analysis'!$A$3:$A$4887,'Rate Analysis'!$B$3:$B$4887)</f>
        <v>H13(11-13)</v>
      </c>
      <c r="C168" s="692" t="s">
        <v>403</v>
      </c>
      <c r="D168" s="693" t="str">
        <f>LOOKUP(A168,'Rate Analysis'!$A$3:$A$4887,'Rate Analysis'!$F$3:$F$4887)</f>
        <v>Sqm.</v>
      </c>
      <c r="E168" s="694">
        <f>LOOKUP(A168,'Rate Analysis'!$A$3:$A$4887,'Rate Analysis'!$G$3:$G$4887)</f>
        <v>1280.82</v>
      </c>
      <c r="F168" s="694">
        <f>LOOKUP(A168,'Rate Analysis'!$A$3:$A$4887,'Rate Analysis'!$H$3:$H$4887)</f>
        <v>1472.94</v>
      </c>
    </row>
    <row r="169" spans="1:6" s="695" customFormat="1" ht="31.2">
      <c r="A169" s="702">
        <f>'Rate Analysis'!A1793</f>
        <v>8.14</v>
      </c>
      <c r="B169" s="691" t="str">
        <f>LOOKUP(A169,'Rate Analysis'!$A$3:$A$4887,'Rate Analysis'!$B$3:$B$4887)</f>
        <v xml:space="preserve"> H15(11-15A)</v>
      </c>
      <c r="C169" s="692" t="s">
        <v>169</v>
      </c>
      <c r="D169" s="693" t="str">
        <f>LOOKUP(A169,'Rate Analysis'!$A$3:$A$4887,'Rate Analysis'!$F$3:$F$4887)</f>
        <v>Sqm.</v>
      </c>
      <c r="E169" s="694">
        <f>LOOKUP(A169,'Rate Analysis'!$A$3:$A$4887,'Rate Analysis'!$G$3:$G$4887)</f>
        <v>769.25</v>
      </c>
      <c r="F169" s="694">
        <f>LOOKUP(A169,'Rate Analysis'!$A$3:$A$4887,'Rate Analysis'!$H$3:$H$4887)</f>
        <v>884.63</v>
      </c>
    </row>
    <row r="170" spans="1:6" s="695" customFormat="1" ht="31.2">
      <c r="A170" s="702">
        <f>'Rate Analysis'!A1804</f>
        <v>8.15</v>
      </c>
      <c r="B170" s="691" t="str">
        <f>LOOKUP(A170,'Rate Analysis'!$A$3:$A$4887,'Rate Analysis'!$B$3:$B$4887)</f>
        <v xml:space="preserve"> H15(11-15A)</v>
      </c>
      <c r="C170" s="692" t="s">
        <v>256</v>
      </c>
      <c r="D170" s="693" t="str">
        <f>LOOKUP(A170,'Rate Analysis'!$A$3:$A$4887,'Rate Analysis'!$F$3:$F$4887)</f>
        <v>Sqm.</v>
      </c>
      <c r="E170" s="694">
        <f>LOOKUP(A170,'Rate Analysis'!$A$3:$A$4887,'Rate Analysis'!$G$3:$G$4887)</f>
        <v>536.22</v>
      </c>
      <c r="F170" s="694">
        <f>LOOKUP(A170,'Rate Analysis'!$A$3:$A$4887,'Rate Analysis'!$H$3:$H$4887)</f>
        <v>616.65</v>
      </c>
    </row>
    <row r="171" spans="1:6" s="695" customFormat="1" ht="31.2">
      <c r="A171" s="702">
        <f>'Rate Analysis'!A1815</f>
        <v>8.16</v>
      </c>
      <c r="B171" s="691" t="str">
        <f>LOOKUP(A171,'Rate Analysis'!$A$3:$A$4887,'Rate Analysis'!$B$3:$B$4887)</f>
        <v xml:space="preserve"> H15(11-15B)</v>
      </c>
      <c r="C171" s="692" t="s">
        <v>1153</v>
      </c>
      <c r="D171" s="693" t="str">
        <f>LOOKUP(A171,'Rate Analysis'!$A$3:$A$4887,'Rate Analysis'!$F$3:$F$4887)</f>
        <v>Sqm.</v>
      </c>
      <c r="E171" s="694">
        <f>LOOKUP(A171,'Rate Analysis'!$A$3:$A$4887,'Rate Analysis'!$G$3:$G$4887)</f>
        <v>1286.95</v>
      </c>
      <c r="F171" s="694">
        <f>LOOKUP(A171,'Rate Analysis'!$A$3:$A$4887,'Rate Analysis'!$H$3:$H$4887)</f>
        <v>1479.99</v>
      </c>
    </row>
    <row r="172" spans="1:6" s="695" customFormat="1" ht="31.2">
      <c r="A172" s="702">
        <f>'Rate Analysis'!A1826</f>
        <v>8.17</v>
      </c>
      <c r="B172" s="691" t="str">
        <f>LOOKUP(A172,'Rate Analysis'!$A$3:$A$4887,'Rate Analysis'!$B$3:$B$4887)</f>
        <v xml:space="preserve"> H15(11-15B)</v>
      </c>
      <c r="C172" s="692" t="s">
        <v>257</v>
      </c>
      <c r="D172" s="693" t="str">
        <f>LOOKUP(A172,'Rate Analysis'!$A$3:$A$4887,'Rate Analysis'!$F$3:$F$4887)</f>
        <v>Sqm.</v>
      </c>
      <c r="E172" s="694">
        <f>LOOKUP(A172,'Rate Analysis'!$A$3:$A$4887,'Rate Analysis'!$G$3:$G$4887)</f>
        <v>916.45</v>
      </c>
      <c r="F172" s="694">
        <f>LOOKUP(A172,'Rate Analysis'!$A$3:$A$4887,'Rate Analysis'!$H$3:$H$4887)</f>
        <v>1053.9100000000001</v>
      </c>
    </row>
    <row r="173" spans="1:6" s="695" customFormat="1" ht="37.200000000000003" customHeight="1">
      <c r="A173" s="702">
        <f>'Rate Analysis'!A1836</f>
        <v>8.18</v>
      </c>
      <c r="B173" s="691" t="str">
        <f>LOOKUP(A173,'Rate Analysis'!$A$3:$A$4887,'Rate Analysis'!$B$3:$B$4887)</f>
        <v>H16( 11-16)</v>
      </c>
      <c r="C173" s="692" t="s">
        <v>184</v>
      </c>
      <c r="D173" s="693" t="str">
        <f>LOOKUP(A173,'Rate Analysis'!$A$3:$A$4887,'Rate Analysis'!$F$3:$F$4887)</f>
        <v>Cum.</v>
      </c>
      <c r="E173" s="694">
        <f>LOOKUP(A173,'Rate Analysis'!$A$3:$A$4887,'Rate Analysis'!$G$3:$G$4887)</f>
        <v>7908</v>
      </c>
      <c r="F173" s="694">
        <f>LOOKUP(A173,'Rate Analysis'!$A$3:$A$4887,'Rate Analysis'!$H$3:$H$4887)</f>
        <v>9094.2000000000007</v>
      </c>
    </row>
    <row r="174" spans="1:6" s="695" customFormat="1" ht="33.6" customHeight="1">
      <c r="A174" s="702">
        <f>'Rate Analysis'!A1846</f>
        <v>8.19</v>
      </c>
      <c r="B174" s="691" t="str">
        <f>LOOKUP(A174,'Rate Analysis'!$A$3:$A$4887,'Rate Analysis'!$B$3:$B$4887)</f>
        <v>H17( 11-17)</v>
      </c>
      <c r="C174" s="692" t="s">
        <v>192</v>
      </c>
      <c r="D174" s="693" t="str">
        <f>LOOKUP(A174,'Rate Analysis'!$A$3:$A$4887,'Rate Analysis'!$F$3:$F$4887)</f>
        <v>Sqm.</v>
      </c>
      <c r="E174" s="694">
        <f>LOOKUP(A174,'Rate Analysis'!$A$3:$A$4887,'Rate Analysis'!$G$3:$G$4887)</f>
        <v>1353</v>
      </c>
      <c r="F174" s="694">
        <f>LOOKUP(A174,'Rate Analysis'!$A$3:$A$4887,'Rate Analysis'!$H$3:$H$4887)</f>
        <v>1555.95</v>
      </c>
    </row>
    <row r="175" spans="1:6" s="695" customFormat="1" ht="31.2">
      <c r="A175" s="702">
        <f>'Rate Analysis'!A1858</f>
        <v>8.1999999999999993</v>
      </c>
      <c r="B175" s="691" t="str">
        <f>LOOKUP(A175,'Rate Analysis'!$A$3:$A$4887,'Rate Analysis'!$B$3:$B$4887)</f>
        <v>H19( 11-19A)</v>
      </c>
      <c r="C175" s="692" t="s">
        <v>110</v>
      </c>
      <c r="D175" s="693" t="str">
        <f>LOOKUP(A175,'Rate Analysis'!$A$3:$A$4887,'Rate Analysis'!$F$3:$F$4887)</f>
        <v>Cum.</v>
      </c>
      <c r="E175" s="694">
        <f>LOOKUP(A175,'Rate Analysis'!$A$3:$A$4887,'Rate Analysis'!$G$3:$G$4887)</f>
        <v>3200</v>
      </c>
      <c r="F175" s="694">
        <f>LOOKUP(A175,'Rate Analysis'!$A$3:$A$4887,'Rate Analysis'!$H$3:$H$4887)</f>
        <v>3680</v>
      </c>
    </row>
    <row r="176" spans="1:6" s="695" customFormat="1" ht="31.2">
      <c r="A176" s="702">
        <f>'Rate Analysis'!A1866</f>
        <v>8.2100000000000009</v>
      </c>
      <c r="B176" s="691" t="str">
        <f>LOOKUP(A176,'Rate Analysis'!$A$3:$A$4887,'Rate Analysis'!$B$3:$B$4887)</f>
        <v>H19( 11-19B)</v>
      </c>
      <c r="C176" s="692" t="s">
        <v>180</v>
      </c>
      <c r="D176" s="693" t="str">
        <f>LOOKUP(A176,'Rate Analysis'!$A$3:$A$4887,'Rate Analysis'!$F$3:$F$4887)</f>
        <v>Cum.</v>
      </c>
      <c r="E176" s="694">
        <f>LOOKUP(A176,'Rate Analysis'!$A$3:$A$4887,'Rate Analysis'!$G$3:$G$4887)</f>
        <v>1207.1500000000001</v>
      </c>
      <c r="F176" s="694">
        <f>LOOKUP(A176,'Rate Analysis'!$A$3:$A$4887,'Rate Analysis'!$H$3:$H$4887)</f>
        <v>1388.22</v>
      </c>
    </row>
    <row r="177" spans="1:6" s="695" customFormat="1" ht="36.6" customHeight="1">
      <c r="A177" s="702">
        <f>'Rate Analysis'!A1875</f>
        <v>8.2200000000000006</v>
      </c>
      <c r="B177" s="691" t="str">
        <f>LOOKUP(A177,'Rate Analysis'!$A$3:$A$4887,'Rate Analysis'!$B$3:$B$4887)</f>
        <v>H20( 11-20)</v>
      </c>
      <c r="C177" s="692" t="s">
        <v>112</v>
      </c>
      <c r="D177" s="693" t="str">
        <f>LOOKUP(A177,'Rate Analysis'!$A$3:$A$4887,'Rate Analysis'!$F$3:$F$4887)</f>
        <v>Sqm.</v>
      </c>
      <c r="E177" s="694">
        <f>LOOKUP(A177,'Rate Analysis'!$A$3:$A$4887,'Rate Analysis'!$G$3:$G$4887)</f>
        <v>281.48</v>
      </c>
      <c r="F177" s="694">
        <f>LOOKUP(A177,'Rate Analysis'!$A$3:$A$4887,'Rate Analysis'!$H$3:$H$4887)</f>
        <v>323.7</v>
      </c>
    </row>
    <row r="178" spans="1:6" s="695" customFormat="1" ht="31.2">
      <c r="A178" s="702">
        <f>'Rate Analysis'!A1885</f>
        <v>8.23</v>
      </c>
      <c r="B178" s="691" t="str">
        <f>LOOKUP(A178,'Rate Analysis'!$A$3:$A$4887,'Rate Analysis'!$B$3:$B$4887)</f>
        <v xml:space="preserve"> H21(11-21)</v>
      </c>
      <c r="C178" s="692" t="s">
        <v>195</v>
      </c>
      <c r="D178" s="693" t="str">
        <f>LOOKUP(A178,'Rate Analysis'!$A$3:$A$4887,'Rate Analysis'!$F$3:$F$4887)</f>
        <v>Sqm.</v>
      </c>
      <c r="E178" s="694">
        <f>LOOKUP(A178,'Rate Analysis'!$A$3:$A$4887,'Rate Analysis'!$G$3:$G$4887)</f>
        <v>9768.27</v>
      </c>
      <c r="F178" s="694">
        <f>LOOKUP(A178,'Rate Analysis'!$A$3:$A$4887,'Rate Analysis'!$H$3:$H$4887)</f>
        <v>11233.51</v>
      </c>
    </row>
    <row r="179" spans="1:6" s="695" customFormat="1" ht="33.6" customHeight="1">
      <c r="A179" s="702">
        <f>'Rate Analysis'!A1896</f>
        <v>8.24</v>
      </c>
      <c r="B179" s="691" t="str">
        <f>LOOKUP(A179,'Rate Analysis'!$A$3:$A$4887,'Rate Analysis'!$B$3:$B$4887)</f>
        <v>H24( 11-20)</v>
      </c>
      <c r="C179" s="692" t="s">
        <v>726</v>
      </c>
      <c r="D179" s="693" t="str">
        <f>LOOKUP(A179,'Rate Analysis'!$A$3:$A$4887,'Rate Analysis'!$F$3:$F$4887)</f>
        <v>Sqm.</v>
      </c>
      <c r="E179" s="694">
        <f>LOOKUP(A179,'Rate Analysis'!$A$3:$A$4887,'Rate Analysis'!$G$3:$G$4887)</f>
        <v>526.20000000000005</v>
      </c>
      <c r="F179" s="694">
        <f>LOOKUP(A179,'Rate Analysis'!$A$3:$A$4887,'Rate Analysis'!$H$3:$H$4887)</f>
        <v>605.13</v>
      </c>
    </row>
    <row r="180" spans="1:6" s="695" customFormat="1" ht="31.2">
      <c r="A180" s="702">
        <f>'Rate Analysis'!A1906</f>
        <v>8.25</v>
      </c>
      <c r="B180" s="691" t="str">
        <f>LOOKUP(A180,'Rate Analysis'!$A$3:$A$4887,'Rate Analysis'!$B$3:$B$4887)</f>
        <v>H25(11-7)</v>
      </c>
      <c r="C180" s="692" t="s">
        <v>413</v>
      </c>
      <c r="D180" s="693" t="str">
        <f>LOOKUP(A180,'Rate Analysis'!$A$3:$A$4887,'Rate Analysis'!$F$3:$F$4887)</f>
        <v>Sqm.</v>
      </c>
      <c r="E180" s="694">
        <f>LOOKUP(A180,'Rate Analysis'!$A$3:$A$4887,'Rate Analysis'!$G$3:$G$4887)</f>
        <v>2065.98</v>
      </c>
      <c r="F180" s="694">
        <f>LOOKUP(A180,'Rate Analysis'!$A$3:$A$4887,'Rate Analysis'!$H$3:$H$4887)</f>
        <v>2375.88</v>
      </c>
    </row>
    <row r="181" spans="1:6" s="695" customFormat="1" ht="46.8">
      <c r="A181" s="702">
        <f>'Rate Analysis'!A1918</f>
        <v>8.26</v>
      </c>
      <c r="B181" s="691" t="str">
        <f>'Rate Analysis'!B1918</f>
        <v>H26(11-6)</v>
      </c>
      <c r="C181" s="692" t="s">
        <v>1058</v>
      </c>
      <c r="D181" s="704" t="str">
        <f>'Rate Analysis'!F1918</f>
        <v>Sqm.</v>
      </c>
      <c r="E181" s="694">
        <f>'Rate Analysis'!G1918</f>
        <v>2404.9699999999998</v>
      </c>
      <c r="F181" s="694">
        <f>'Rate Analysis'!H1918</f>
        <v>2765.72</v>
      </c>
    </row>
    <row r="182" spans="1:6" s="695" customFormat="1" ht="46.8">
      <c r="A182" s="702">
        <v>8.27</v>
      </c>
      <c r="B182" s="706"/>
      <c r="C182" s="692" t="s">
        <v>1063</v>
      </c>
      <c r="D182" s="704" t="str">
        <f>'Rate Analysis'!F1934</f>
        <v>Sqm.</v>
      </c>
      <c r="E182" s="694">
        <f>'Rate Analysis'!G1934</f>
        <v>2220.35</v>
      </c>
      <c r="F182" s="694">
        <f>'Rate Analysis'!H1934</f>
        <v>2553.4</v>
      </c>
    </row>
    <row r="183" spans="1:6" s="695" customFormat="1" ht="46.8">
      <c r="A183" s="702">
        <v>8.2799999999999994</v>
      </c>
      <c r="B183" s="706"/>
      <c r="C183" s="692" t="s">
        <v>1064</v>
      </c>
      <c r="D183" s="704" t="str">
        <f>'Rate Analysis'!F1946</f>
        <v>Sqm.</v>
      </c>
      <c r="E183" s="694">
        <f>'Rate Analysis'!G1946</f>
        <v>2366.36</v>
      </c>
      <c r="F183" s="694">
        <f>'Rate Analysis'!H1946</f>
        <v>2721.32</v>
      </c>
    </row>
    <row r="184" spans="1:6" s="695" customFormat="1" ht="46.8">
      <c r="A184" s="702">
        <v>8.2899999999999991</v>
      </c>
      <c r="B184" s="706"/>
      <c r="C184" s="692" t="s">
        <v>1082</v>
      </c>
      <c r="D184" s="704" t="str">
        <f>'Rate Analysis'!F1957</f>
        <v>Sqm.</v>
      </c>
      <c r="E184" s="694">
        <f>'Rate Analysis'!G1957</f>
        <v>2561.0500000000002</v>
      </c>
      <c r="F184" s="694">
        <f>'Rate Analysis'!H1957</f>
        <v>2945.21</v>
      </c>
    </row>
    <row r="185" spans="1:6" s="695" customFormat="1" ht="31.2" hidden="1" customHeight="1">
      <c r="A185" s="702">
        <v>8.3000000000000007</v>
      </c>
      <c r="B185" s="691"/>
      <c r="C185" s="692" t="s">
        <v>971</v>
      </c>
      <c r="D185" s="704" t="str">
        <f>'Rate Analysis'!F1968</f>
        <v>Sqm.</v>
      </c>
      <c r="E185" s="694">
        <f>'Rate Analysis'!G1968</f>
        <v>1152.25</v>
      </c>
      <c r="F185" s="694">
        <f>'Rate Analysis'!H1968</f>
        <v>1325.08</v>
      </c>
    </row>
    <row r="186" spans="1:6" s="695" customFormat="1" ht="93.6" hidden="1">
      <c r="A186" s="702">
        <v>8.31</v>
      </c>
      <c r="B186" s="691" t="str">
        <f>'Rate Analysis'!B1981</f>
        <v>H6</v>
      </c>
      <c r="C186" s="692" t="str">
        <f>'Rate Analysis'!C1981:E1981</f>
        <v>Virtrified tiles of 600x600mm approximately of different colour, pattern,design with straight close joints. The area of existing floor slab shall be cleaned before laying the tiles, the tiles shall be laid with required bedding materials of cement sand mortar (1:1).</v>
      </c>
      <c r="D186" s="704" t="s">
        <v>204</v>
      </c>
      <c r="E186" s="694" t="e">
        <f>'Rate Analysis'!G1981</f>
        <v>#VALUE!</v>
      </c>
      <c r="F186" s="694" t="e">
        <f>'Rate Analysis'!H1981</f>
        <v>#VALUE!</v>
      </c>
    </row>
    <row r="187" spans="1:6" s="695" customFormat="1" ht="93.6" hidden="1">
      <c r="A187" s="702">
        <v>8.32</v>
      </c>
      <c r="B187" s="691" t="str">
        <f>B186</f>
        <v>H6</v>
      </c>
      <c r="C187" s="692" t="str">
        <f>'Rate Analysis'!C1993:E1993</f>
        <v>Virtrified parking tiles of 600x600mm approximately of different colour, pattern,design with straight close joints. The area of existing floor slab shall be cleaned before laying the tiles, the tiles shall be laid with required bedding materials of cement sand mortar (1:1).</v>
      </c>
      <c r="D187" s="704" t="s">
        <v>204</v>
      </c>
      <c r="E187" s="694" t="e">
        <f>'Rate Analysis'!G1993</f>
        <v>#VALUE!</v>
      </c>
      <c r="F187" s="694" t="e">
        <f>'Rate Analysis'!H1993</f>
        <v>#VALUE!</v>
      </c>
    </row>
    <row r="188" spans="1:6" s="695" customFormat="1" ht="15" customHeight="1">
      <c r="A188" s="722"/>
      <c r="B188" s="698"/>
      <c r="C188" s="699"/>
      <c r="D188" s="723"/>
      <c r="E188" s="724"/>
      <c r="F188" s="725"/>
    </row>
    <row r="189" spans="1:6" s="689" customFormat="1">
      <c r="B189" s="686"/>
      <c r="C189" s="685" t="s">
        <v>436</v>
      </c>
      <c r="D189" s="716"/>
      <c r="E189" s="717"/>
      <c r="F189" s="717"/>
    </row>
    <row r="190" spans="1:6" s="695" customFormat="1" ht="36" customHeight="1">
      <c r="A190" s="702">
        <f>'Rate Analysis'!A2006</f>
        <v>9.01</v>
      </c>
      <c r="B190" s="691" t="str">
        <f>LOOKUP(A190,'Rate Analysis'!$A$3:$A$4887,'Rate Analysis'!$B$3:$B$4887)</f>
        <v>I1(12-1B)</v>
      </c>
      <c r="C190" s="711" t="str">
        <f>LOOKUP(A190,'Rate Analysis'!$A$3:$A$4887,'Rate Analysis'!$C$3:$C$4887)</f>
        <v>12.5 mm. thick cement sand plaster work 1:3 on wall.</v>
      </c>
      <c r="D190" s="693" t="str">
        <f>LOOKUP(A190,'Rate Analysis'!$A$3:$A$4887,'Rate Analysis'!$F$3:$F$4887)</f>
        <v>Sqm.</v>
      </c>
      <c r="E190" s="726">
        <f>LOOKUP(A190,'Rate Analysis'!$A$3:$A$4887,'Rate Analysis'!$G$3:$G$4887)</f>
        <v>398.86</v>
      </c>
      <c r="F190" s="726">
        <f>LOOKUP(A190,'Rate Analysis'!$A$3:$A$4887,'Rate Analysis'!$H$3:$H$4887)</f>
        <v>458.68</v>
      </c>
    </row>
    <row r="191" spans="1:6" s="695" customFormat="1" ht="33.6" customHeight="1">
      <c r="A191" s="702">
        <f>'Rate Analysis'!A2016</f>
        <v>9.02</v>
      </c>
      <c r="B191" s="691" t="str">
        <f>LOOKUP(A191,'Rate Analysis'!$A$3:$A$4887,'Rate Analysis'!$B$3:$B$4887)</f>
        <v>I1(12-1C)</v>
      </c>
      <c r="C191" s="711" t="str">
        <f>LOOKUP(A191,'Rate Analysis'!$A$3:$A$4887,'Rate Analysis'!$C$3:$C$4887)</f>
        <v>12.5 mm. thick cement sand plaster work 1:4 on wall.</v>
      </c>
      <c r="D191" s="693" t="str">
        <f>LOOKUP(A191,'Rate Analysis'!$A$3:$A$4887,'Rate Analysis'!$F$3:$F$4887)</f>
        <v>Sqm.</v>
      </c>
      <c r="E191" s="726">
        <f>LOOKUP(A191,'Rate Analysis'!$A$3:$A$4887,'Rate Analysis'!$G$3:$G$4887)</f>
        <v>390.64</v>
      </c>
      <c r="F191" s="726">
        <f>LOOKUP(A191,'Rate Analysis'!$A$3:$A$4887,'Rate Analysis'!$H$3:$H$4887)</f>
        <v>449.23</v>
      </c>
    </row>
    <row r="192" spans="1:6" s="695" customFormat="1" ht="29.4" customHeight="1">
      <c r="A192" s="702">
        <f>'Rate Analysis'!A2027</f>
        <v>9.0299999999999994</v>
      </c>
      <c r="B192" s="691" t="str">
        <f>LOOKUP(A192,'Rate Analysis'!$A$3:$A$4887,'Rate Analysis'!$B$3:$B$4887)</f>
        <v>I1(12-1D)</v>
      </c>
      <c r="C192" s="711" t="str">
        <f>LOOKUP(A192,'Rate Analysis'!$A$3:$A$4887,'Rate Analysis'!$C$3:$C$4887)</f>
        <v>12.5 mm. thick cement sand plaster work 1:6 on wall.</v>
      </c>
      <c r="D192" s="693" t="str">
        <f>LOOKUP(A192,'Rate Analysis'!$A$3:$A$4887,'Rate Analysis'!$F$3:$F$4887)</f>
        <v>Sqm.</v>
      </c>
      <c r="E192" s="726">
        <f>LOOKUP(A192,'Rate Analysis'!$A$3:$A$4887,'Rate Analysis'!$G$3:$G$4887)</f>
        <v>371.22</v>
      </c>
      <c r="F192" s="726">
        <f>LOOKUP(A192,'Rate Analysis'!$A$3:$A$4887,'Rate Analysis'!$H$3:$H$4887)</f>
        <v>426.9</v>
      </c>
    </row>
    <row r="193" spans="1:6" s="695" customFormat="1" ht="28.8" customHeight="1">
      <c r="A193" s="702">
        <f>'Rate Analysis'!A2038</f>
        <v>9.0399999999999991</v>
      </c>
      <c r="B193" s="691" t="str">
        <f>LOOKUP(A193,'Rate Analysis'!$A$3:$A$4887,'Rate Analysis'!$B$3:$B$4887)</f>
        <v>I4(12-4A)</v>
      </c>
      <c r="C193" s="711" t="str">
        <f>LOOKUP(A193,'Rate Analysis'!$A$3:$A$4887,'Rate Analysis'!$C$3:$C$4887)</f>
        <v>20 mm. thick cement sand plaster work 1:3 on wall etc.</v>
      </c>
      <c r="D193" s="693" t="str">
        <f>LOOKUP(A193,'Rate Analysis'!$A$3:$A$4887,'Rate Analysis'!$F$3:$F$4887)</f>
        <v>Sqm.</v>
      </c>
      <c r="E193" s="726">
        <f>LOOKUP(A193,'Rate Analysis'!$A$3:$A$4887,'Rate Analysis'!$G$3:$G$4887)</f>
        <v>510.6</v>
      </c>
      <c r="F193" s="726">
        <f>LOOKUP(A193,'Rate Analysis'!$A$3:$A$4887,'Rate Analysis'!$H$3:$H$4887)</f>
        <v>587.19000000000005</v>
      </c>
    </row>
    <row r="194" spans="1:6" s="695" customFormat="1" ht="28.8" customHeight="1">
      <c r="A194" s="702">
        <f>'Rate Analysis'!A2048</f>
        <v>9.0500000000000007</v>
      </c>
      <c r="B194" s="691" t="str">
        <f>LOOKUP(A194,'Rate Analysis'!$A$3:$A$4887,'Rate Analysis'!$B$3:$B$4887)</f>
        <v>I4(12-4B)</v>
      </c>
      <c r="C194" s="711" t="str">
        <f>LOOKUP(A194,'Rate Analysis'!$A$3:$A$4887,'Rate Analysis'!$C$3:$C$4887)</f>
        <v>20 mm. thick cement sand plaster work 1:4 on wall etc.</v>
      </c>
      <c r="D194" s="693" t="str">
        <f>LOOKUP(A194,'Rate Analysis'!$A$3:$A$4887,'Rate Analysis'!$F$3:$F$4887)</f>
        <v>Sqm.</v>
      </c>
      <c r="E194" s="726">
        <f>LOOKUP(A194,'Rate Analysis'!$A$3:$A$4887,'Rate Analysis'!$G$3:$G$4887)</f>
        <v>495.1</v>
      </c>
      <c r="F194" s="726">
        <f>LOOKUP(A194,'Rate Analysis'!$A$3:$A$4887,'Rate Analysis'!$H$3:$H$4887)</f>
        <v>569.36</v>
      </c>
    </row>
    <row r="195" spans="1:6" s="695" customFormat="1" ht="35.549999999999997" customHeight="1">
      <c r="A195" s="702">
        <f>'Rate Analysis'!A2058</f>
        <v>9.06</v>
      </c>
      <c r="B195" s="691" t="str">
        <f>LOOKUP(A195,'Rate Analysis'!$A$3:$A$4887,'Rate Analysis'!$B$3:$B$4887)</f>
        <v>I4(12-4C)</v>
      </c>
      <c r="C195" s="711" t="str">
        <f>LOOKUP(A195,'Rate Analysis'!$A$3:$A$4887,'Rate Analysis'!$C$3:$C$4887)</f>
        <v>20 mm. thick cement sand plaster work1:6 on wall etc.</v>
      </c>
      <c r="D195" s="693" t="str">
        <f>LOOKUP(A195,'Rate Analysis'!$A$3:$A$4887,'Rate Analysis'!$F$3:$F$4887)</f>
        <v>Sqm.</v>
      </c>
      <c r="E195" s="726">
        <f>LOOKUP(A195,'Rate Analysis'!$A$3:$A$4887,'Rate Analysis'!$G$3:$G$4887)</f>
        <v>464.8</v>
      </c>
      <c r="F195" s="726">
        <f>LOOKUP(A195,'Rate Analysis'!$A$3:$A$4887,'Rate Analysis'!$H$3:$H$4887)</f>
        <v>534.52</v>
      </c>
    </row>
    <row r="196" spans="1:6" s="695" customFormat="1" ht="31.8" customHeight="1">
      <c r="A196" s="702">
        <f>'Rate Analysis'!A2069</f>
        <v>9.07</v>
      </c>
      <c r="B196" s="691" t="str">
        <f>LOOKUP(A196,'Rate Analysis'!$A$3:$A$4887,'Rate Analysis'!$B$3:$B$4887)</f>
        <v>I5(12-5)</v>
      </c>
      <c r="C196" s="711" t="str">
        <f>LOOKUP(A196,'Rate Analysis'!$A$3:$A$4887,'Rate Analysis'!$C$3:$C$4887)</f>
        <v>25 mm. thick mud plaster on wall etc.</v>
      </c>
      <c r="D196" s="693" t="str">
        <f>LOOKUP(A196,'Rate Analysis'!$A$3:$A$4887,'Rate Analysis'!$F$3:$F$4887)</f>
        <v>Sqm.</v>
      </c>
      <c r="E196" s="726">
        <f>LOOKUP(A196,'Rate Analysis'!$A$3:$A$4887,'Rate Analysis'!$G$3:$G$4887)</f>
        <v>471.9</v>
      </c>
      <c r="F196" s="726">
        <f>LOOKUP(A196,'Rate Analysis'!$A$3:$A$4887,'Rate Analysis'!$H$3:$H$4887)</f>
        <v>542.67999999999995</v>
      </c>
    </row>
    <row r="197" spans="1:6" s="695" customFormat="1" ht="30.6" customHeight="1">
      <c r="A197" s="702">
        <f>'Rate Analysis'!A2081</f>
        <v>9.08</v>
      </c>
      <c r="B197" s="691" t="str">
        <f>LOOKUP(A197,'Rate Analysis'!$A$3:$A$4887,'Rate Analysis'!$B$3:$B$4887)</f>
        <v>I5(12-6)</v>
      </c>
      <c r="C197" s="711" t="str">
        <f>LOOKUP(A197,'Rate Analysis'!$A$3:$A$4887,'Rate Analysis'!$C$3:$C$4887)</f>
        <v>12.5 mm. thick mud plaster on wall etc.</v>
      </c>
      <c r="D197" s="693" t="str">
        <f>LOOKUP(A197,'Rate Analysis'!$A$3:$A$4887,'Rate Analysis'!$F$3:$F$4887)</f>
        <v>Sqm.</v>
      </c>
      <c r="E197" s="726">
        <f>LOOKUP(A197,'Rate Analysis'!$A$3:$A$4887,'Rate Analysis'!$G$3:$G$4887)</f>
        <v>361.2</v>
      </c>
      <c r="F197" s="726">
        <f>LOOKUP(A197,'Rate Analysis'!$A$3:$A$4887,'Rate Analysis'!$H$3:$H$4887)</f>
        <v>415.38</v>
      </c>
    </row>
    <row r="198" spans="1:6" s="695" customFormat="1" ht="37.200000000000003" customHeight="1">
      <c r="A198" s="702">
        <f>'Rate Analysis'!A2093</f>
        <v>9.09</v>
      </c>
      <c r="B198" s="691" t="str">
        <f>LOOKUP(A198,'Rate Analysis'!$A$3:$A$4887,'Rate Analysis'!$B$3:$B$4887)</f>
        <v>I7(12-1B)</v>
      </c>
      <c r="C198" s="711" t="str">
        <f>LOOKUP(A198,'Rate Analysis'!$A$3:$A$4887,'Rate Analysis'!$C$3:$C$4887)</f>
        <v>12.5 mm. thick cement sand plaster work (1:3 ) on ceiling</v>
      </c>
      <c r="D198" s="693" t="str">
        <f>LOOKUP(A198,'Rate Analysis'!$A$3:$A$4887,'Rate Analysis'!$F$3:$F$4887)</f>
        <v>Sqm.</v>
      </c>
      <c r="E198" s="726">
        <f>LOOKUP(A198,'Rate Analysis'!$A$3:$A$4887,'Rate Analysis'!$G$3:$G$4887)</f>
        <v>469.66</v>
      </c>
      <c r="F198" s="726">
        <f>LOOKUP(A198,'Rate Analysis'!$A$3:$A$4887,'Rate Analysis'!$H$3:$H$4887)</f>
        <v>540.1</v>
      </c>
    </row>
    <row r="199" spans="1:6" s="695" customFormat="1" ht="32.4" customHeight="1">
      <c r="A199" s="702">
        <f>'Rate Analysis'!A2103</f>
        <v>9.1</v>
      </c>
      <c r="B199" s="691" t="str">
        <f>LOOKUP(A199,'Rate Analysis'!$A$3:$A$4887,'Rate Analysis'!$B$3:$B$4887)</f>
        <v>I7(12-1C)</v>
      </c>
      <c r="C199" s="711" t="str">
        <f>LOOKUP(A199,'Rate Analysis'!$A$3:$A$4887,'Rate Analysis'!$C$3:$C$4887)</f>
        <v>12.5 mm. thick cement sand plaster work 1:4 on ceiling</v>
      </c>
      <c r="D199" s="693" t="str">
        <f>LOOKUP(A199,'Rate Analysis'!$A$3:$A$4887,'Rate Analysis'!$F$3:$F$4887)</f>
        <v>Sqm.</v>
      </c>
      <c r="E199" s="726">
        <f>LOOKUP(A199,'Rate Analysis'!$A$3:$A$4887,'Rate Analysis'!$G$3:$G$4887)</f>
        <v>461.44</v>
      </c>
      <c r="F199" s="726">
        <f>LOOKUP(A199,'Rate Analysis'!$A$3:$A$4887,'Rate Analysis'!$H$3:$H$4887)</f>
        <v>530.65</v>
      </c>
    </row>
    <row r="200" spans="1:6" s="695" customFormat="1" ht="31.2">
      <c r="A200" s="702">
        <f>'Rate Analysis'!A2113</f>
        <v>9.11</v>
      </c>
      <c r="B200" s="691" t="str">
        <f>LOOKUP(A200,'Rate Analysis'!$A$3:$A$4887,'Rate Analysis'!$B$3:$B$4887)</f>
        <v>I8(14-1A)</v>
      </c>
      <c r="C200" s="692" t="str">
        <f>LOOKUP(A200,'Rate Analysis'!$A$3:$A$4887,'Rate Analysis'!$C$3:$C$4887)</f>
        <v xml:space="preserve">Flush  pointing works in 1:1 Cement   sand mortar on Brick masonry wall </v>
      </c>
      <c r="D200" s="693" t="str">
        <f>LOOKUP(A200,'Rate Analysis'!$A$3:$A$4887,'Rate Analysis'!$F$3:$F$4887)</f>
        <v>Sqm.</v>
      </c>
      <c r="E200" s="726">
        <f>LOOKUP(A200,'Rate Analysis'!$A$3:$A$4887,'Rate Analysis'!$G$3:$G$4887)</f>
        <v>279.48</v>
      </c>
      <c r="F200" s="726">
        <f>LOOKUP(A200,'Rate Analysis'!$A$3:$A$4887,'Rate Analysis'!$H$3:$H$4887)</f>
        <v>321.39999999999998</v>
      </c>
    </row>
    <row r="201" spans="1:6" s="695" customFormat="1" ht="31.2">
      <c r="A201" s="702">
        <f>'Rate Analysis'!A2123</f>
        <v>9.1199999999999992</v>
      </c>
      <c r="B201" s="691" t="str">
        <f>LOOKUP(A201,'Rate Analysis'!$A$3:$A$4887,'Rate Analysis'!$B$3:$B$4887)</f>
        <v>I8(14-1B)</v>
      </c>
      <c r="C201" s="692" t="str">
        <f>LOOKUP(A201,'Rate Analysis'!$A$3:$A$4887,'Rate Analysis'!$C$3:$C$4887)</f>
        <v xml:space="preserve">Flush  pointing works in 1:2 Cement   sand mortar on Brick masonry work </v>
      </c>
      <c r="D201" s="693" t="str">
        <f>LOOKUP(A201,'Rate Analysis'!$A$3:$A$4887,'Rate Analysis'!$F$3:$F$4887)</f>
        <v>Sqm.</v>
      </c>
      <c r="E201" s="726">
        <f>LOOKUP(A201,'Rate Analysis'!$A$3:$A$4887,'Rate Analysis'!$G$3:$G$4887)</f>
        <v>266.18</v>
      </c>
      <c r="F201" s="726">
        <f>LOOKUP(A201,'Rate Analysis'!$A$3:$A$4887,'Rate Analysis'!$H$3:$H$4887)</f>
        <v>306.10000000000002</v>
      </c>
    </row>
    <row r="202" spans="1:6" s="695" customFormat="1" ht="31.2">
      <c r="A202" s="702">
        <f>'Rate Analysis'!A2133</f>
        <v>9.1300000000000008</v>
      </c>
      <c r="B202" s="691" t="str">
        <f>LOOKUP(A202,'Rate Analysis'!$A$3:$A$4887,'Rate Analysis'!$B$3:$B$4887)</f>
        <v>I8(14-1C)</v>
      </c>
      <c r="C202" s="692" t="str">
        <f>LOOKUP(A202,'Rate Analysis'!$A$3:$A$4887,'Rate Analysis'!$C$3:$C$4887)</f>
        <v>Flush  pointing works in 1:3 Cement   sand mortar on Brick masonry wall</v>
      </c>
      <c r="D202" s="693" t="str">
        <f>LOOKUP(A202,'Rate Analysis'!$A$3:$A$4887,'Rate Analysis'!$F$3:$F$4887)</f>
        <v>Sqm.</v>
      </c>
      <c r="E202" s="726">
        <f>LOOKUP(A202,'Rate Analysis'!$A$3:$A$4887,'Rate Analysis'!$G$3:$G$4887)</f>
        <v>259.14</v>
      </c>
      <c r="F202" s="726">
        <f>LOOKUP(A202,'Rate Analysis'!$A$3:$A$4887,'Rate Analysis'!$H$3:$H$4887)</f>
        <v>298.01</v>
      </c>
    </row>
    <row r="203" spans="1:6" s="695" customFormat="1" ht="31.2">
      <c r="A203" s="702">
        <f>'Rate Analysis'!A2143</f>
        <v>9.14</v>
      </c>
      <c r="B203" s="691" t="str">
        <f>LOOKUP(A203,'Rate Analysis'!$A$3:$A$4887,'Rate Analysis'!$B$3:$B$4887)</f>
        <v>I8(14-1A)</v>
      </c>
      <c r="C203" s="692" t="str">
        <f>LOOKUP(A203,'Rate Analysis'!$A$3:$A$4887,'Rate Analysis'!$C$3:$C$4887)</f>
        <v>Rulled  pointing works in 1:1 Cement   sand mortar on Brick masonry wall</v>
      </c>
      <c r="D203" s="693" t="str">
        <f>LOOKUP(A203,'Rate Analysis'!$A$3:$A$4887,'Rate Analysis'!$F$3:$F$4887)</f>
        <v>Sqm.</v>
      </c>
      <c r="E203" s="726">
        <f>LOOKUP(A203,'Rate Analysis'!$A$3:$A$4887,'Rate Analysis'!$G$3:$G$4887)</f>
        <v>394.68</v>
      </c>
      <c r="F203" s="726">
        <f>LOOKUP(A203,'Rate Analysis'!$A$3:$A$4887,'Rate Analysis'!$H$3:$H$4887)</f>
        <v>453.88</v>
      </c>
    </row>
    <row r="204" spans="1:6" s="695" customFormat="1" ht="31.2">
      <c r="A204" s="702">
        <f>'Rate Analysis'!A2153</f>
        <v>9.15</v>
      </c>
      <c r="B204" s="691" t="str">
        <f>LOOKUP(A204,'Rate Analysis'!$A$3:$A$4887,'Rate Analysis'!$B$3:$B$4887)</f>
        <v>I8(14-1B)</v>
      </c>
      <c r="C204" s="692" t="str">
        <f>LOOKUP(A204,'Rate Analysis'!$A$3:$A$4887,'Rate Analysis'!$C$3:$C$4887)</f>
        <v xml:space="preserve">Ruled pointing works in 1:2 Cement   sand mortar on Brick masonry work </v>
      </c>
      <c r="D204" s="693" t="str">
        <f>LOOKUP(A204,'Rate Analysis'!$A$3:$A$4887,'Rate Analysis'!$F$3:$F$4887)</f>
        <v>Sqm.</v>
      </c>
      <c r="E204" s="726">
        <f>LOOKUP(A204,'Rate Analysis'!$A$3:$A$4887,'Rate Analysis'!$G$3:$G$4887)</f>
        <v>381.38</v>
      </c>
      <c r="F204" s="726">
        <f>LOOKUP(A204,'Rate Analysis'!$A$3:$A$4887,'Rate Analysis'!$H$3:$H$4887)</f>
        <v>438.58</v>
      </c>
    </row>
    <row r="205" spans="1:6" s="695" customFormat="1" ht="31.2">
      <c r="A205" s="702">
        <f>'Rate Analysis'!A2164</f>
        <v>9.16</v>
      </c>
      <c r="B205" s="691" t="str">
        <f>LOOKUP(A205,'Rate Analysis'!$A$3:$A$4887,'Rate Analysis'!$B$3:$B$4887)</f>
        <v>I8(14-1C)</v>
      </c>
      <c r="C205" s="692" t="str">
        <f>LOOKUP(A205,'Rate Analysis'!$A$3:$A$4887,'Rate Analysis'!$C$3:$C$4887)</f>
        <v>Ruled  pointing works in 1:3 Cement   sand mortar on Brick masonry wall</v>
      </c>
      <c r="D205" s="693" t="str">
        <f>LOOKUP(A205,'Rate Analysis'!$A$3:$A$4887,'Rate Analysis'!$F$3:$F$4887)</f>
        <v>Sqm.</v>
      </c>
      <c r="E205" s="726">
        <f>LOOKUP(A205,'Rate Analysis'!$A$3:$A$4887,'Rate Analysis'!$G$3:$G$4887)</f>
        <v>374.34</v>
      </c>
      <c r="F205" s="726">
        <f>LOOKUP(A205,'Rate Analysis'!$A$3:$A$4887,'Rate Analysis'!$H$3:$H$4887)</f>
        <v>430.49</v>
      </c>
    </row>
    <row r="206" spans="1:6" s="695" customFormat="1" ht="31.2">
      <c r="A206" s="702">
        <f>'Rate Analysis'!A2174</f>
        <v>9.17</v>
      </c>
      <c r="B206" s="691" t="str">
        <f>LOOKUP(A206,'Rate Analysis'!$A$3:$A$4887,'Rate Analysis'!$B$3:$B$4887)</f>
        <v>I9(14-2A)</v>
      </c>
      <c r="C206" s="692" t="str">
        <f>LOOKUP(A206,'Rate Analysis'!$A$3:$A$4887,'Rate Analysis'!$C$3:$C$4887)</f>
        <v>Flush/Rulled  pointing works in 1:1 Cement   sand mortar on Stone masonry wall</v>
      </c>
      <c r="D206" s="693" t="str">
        <f>LOOKUP(A206,'Rate Analysis'!$A$3:$A$4887,'Rate Analysis'!$F$3:$F$4887)</f>
        <v>Sqm.</v>
      </c>
      <c r="E206" s="726">
        <f>LOOKUP(A206,'Rate Analysis'!$A$3:$A$4887,'Rate Analysis'!$G$3:$G$4887)</f>
        <v>336.94</v>
      </c>
      <c r="F206" s="726">
        <f>LOOKUP(A206,'Rate Analysis'!$A$3:$A$4887,'Rate Analysis'!$H$3:$H$4887)</f>
        <v>387.48</v>
      </c>
    </row>
    <row r="207" spans="1:6" s="695" customFormat="1" ht="31.2">
      <c r="A207" s="702">
        <f>'Rate Analysis'!A2184</f>
        <v>9.18</v>
      </c>
      <c r="B207" s="691" t="str">
        <f>LOOKUP(A207,'Rate Analysis'!$A$3:$A$4887,'Rate Analysis'!$B$3:$B$4887)</f>
        <v>I9(14-2B)</v>
      </c>
      <c r="C207" s="692" t="str">
        <f>LOOKUP(A207,'Rate Analysis'!$A$3:$A$4887,'Rate Analysis'!$C$3:$C$4887)</f>
        <v xml:space="preserve">Flush/Rulled  pointing works in 1:2 Cement   sand mortar on Stone masonry work </v>
      </c>
      <c r="D207" s="693" t="str">
        <f>LOOKUP(A207,'Rate Analysis'!$A$3:$A$4887,'Rate Analysis'!$F$3:$F$4887)</f>
        <v>Sqm.</v>
      </c>
      <c r="E207" s="726">
        <f>LOOKUP(A207,'Rate Analysis'!$A$3:$A$4887,'Rate Analysis'!$G$3:$G$4887)</f>
        <v>311.45999999999998</v>
      </c>
      <c r="F207" s="726">
        <f>LOOKUP(A207,'Rate Analysis'!$A$3:$A$4887,'Rate Analysis'!$H$3:$H$4887)</f>
        <v>358.17</v>
      </c>
    </row>
    <row r="208" spans="1:6" s="695" customFormat="1" ht="31.2">
      <c r="A208" s="702">
        <f>'Rate Analysis'!A2195</f>
        <v>9.19</v>
      </c>
      <c r="B208" s="691" t="str">
        <f>LOOKUP(A208,'Rate Analysis'!$A$3:$A$4887,'Rate Analysis'!$B$3:$B$4887)</f>
        <v>(14-2C)</v>
      </c>
      <c r="C208" s="692" t="str">
        <f>LOOKUP(A208,'Rate Analysis'!$A$3:$A$4887,'Rate Analysis'!$C$3:$C$4887)</f>
        <v xml:space="preserve">Flush/Rulled  pointing works in 1:3 Cement   sand mortar on Stone masonry work </v>
      </c>
      <c r="D208" s="693" t="str">
        <f>LOOKUP(A208,'Rate Analysis'!$A$3:$A$4887,'Rate Analysis'!$F$3:$F$4887)</f>
        <v>Sqm.</v>
      </c>
      <c r="E208" s="726">
        <f>LOOKUP(A208,'Rate Analysis'!$A$3:$A$4887,'Rate Analysis'!$G$3:$G$4887)</f>
        <v>298.5</v>
      </c>
      <c r="F208" s="726">
        <f>LOOKUP(A208,'Rate Analysis'!$A$3:$A$4887,'Rate Analysis'!$H$3:$H$4887)</f>
        <v>343.27</v>
      </c>
    </row>
    <row r="209" spans="1:6" s="695" customFormat="1" ht="27.75" customHeight="1">
      <c r="A209" s="702">
        <f>'Rate Analysis'!A2205</f>
        <v>9.1999999999999993</v>
      </c>
      <c r="B209" s="691" t="str">
        <f>LOOKUP(A209,'Rate Analysis'!$A$3:$A$4887,'Rate Analysis'!$B$3:$B$4887)</f>
        <v>I10(14-3)</v>
      </c>
      <c r="C209" s="692" t="str">
        <f>LOOKUP(A209,'Rate Analysis'!$A$3:$A$4887,'Rate Analysis'!$C$3:$C$4887)</f>
        <v xml:space="preserve">Flush/Rulled  pointing works in 1:3 Cement   sand mortar on Aslar Stone masonry work </v>
      </c>
      <c r="D209" s="693" t="str">
        <f>LOOKUP(A209,'Rate Analysis'!$A$3:$A$4887,'Rate Analysis'!$F$3:$F$4887)</f>
        <v>Sqm.</v>
      </c>
      <c r="E209" s="726">
        <f>LOOKUP(A209,'Rate Analysis'!$A$3:$A$4887,'Rate Analysis'!$G$3:$G$4887)</f>
        <v>202.8</v>
      </c>
      <c r="F209" s="726">
        <f>LOOKUP(A209,'Rate Analysis'!$A$3:$A$4887,'Rate Analysis'!$H$3:$H$4887)</f>
        <v>233.22</v>
      </c>
    </row>
    <row r="210" spans="1:6" s="695" customFormat="1" ht="31.2">
      <c r="A210" s="702">
        <f>'Rate Analysis'!A2215</f>
        <v>9.2100000000000009</v>
      </c>
      <c r="B210" s="691" t="str">
        <f>LOOKUP(A210,'Rate Analysis'!$A$3:$A$4887,'Rate Analysis'!$B$3:$B$4887)</f>
        <v>I11(14-4)</v>
      </c>
      <c r="C210" s="692" t="str">
        <f>LOOKUP(A210,'Rate Analysis'!$A$3:$A$4887,'Rate Analysis'!$C$3:$C$4887)</f>
        <v>1:3 Cement   sand pointing on 450 mm x 450 mm flat stone paving joints.</v>
      </c>
      <c r="D210" s="693" t="str">
        <f>LOOKUP(A210,'Rate Analysis'!$A$3:$A$4887,'Rate Analysis'!$F$3:$F$4887)</f>
        <v>Sqm.</v>
      </c>
      <c r="E210" s="726">
        <f>LOOKUP(A210,'Rate Analysis'!$A$3:$A$4887,'Rate Analysis'!$G$3:$G$4887)</f>
        <v>110.04</v>
      </c>
      <c r="F210" s="726">
        <f>LOOKUP(A210,'Rate Analysis'!$A$3:$A$4887,'Rate Analysis'!$H$3:$H$4887)</f>
        <v>126.54</v>
      </c>
    </row>
    <row r="211" spans="1:6" s="695" customFormat="1" ht="17.25" customHeight="1">
      <c r="A211" s="702">
        <f>'Rate Analysis'!A2225</f>
        <v>9.2200000000000006</v>
      </c>
      <c r="B211" s="691" t="str">
        <f>LOOKUP(A211,'Rate Analysis'!$A$3:$A$4887,'Rate Analysis'!$B$3:$B$4887)</f>
        <v>I12(14-5)</v>
      </c>
      <c r="C211" s="711" t="str">
        <f>LOOKUP(A211,'Rate Analysis'!$A$3:$A$4887,'Rate Analysis'!$C$3:$C$4887)</f>
        <v>1:1 Cement   sand pointing on Teliya brick paving joints.</v>
      </c>
      <c r="D211" s="693" t="str">
        <f>LOOKUP(A211,'Rate Analysis'!$A$3:$A$4887,'Rate Analysis'!$F$3:$F$4887)</f>
        <v>Sqm.</v>
      </c>
      <c r="E211" s="726">
        <f>LOOKUP(A211,'Rate Analysis'!$A$3:$A$4887,'Rate Analysis'!$G$3:$G$4887)</f>
        <v>230.2</v>
      </c>
      <c r="F211" s="726">
        <f>LOOKUP(A211,'Rate Analysis'!$A$3:$A$4887,'Rate Analysis'!$H$3:$H$4887)</f>
        <v>264.73</v>
      </c>
    </row>
    <row r="212" spans="1:6" s="695" customFormat="1" ht="17.25" customHeight="1">
      <c r="A212" s="702">
        <f>'Rate Analysis'!A2236</f>
        <v>9.23</v>
      </c>
      <c r="B212" s="691" t="str">
        <f>LOOKUP(A212,'Rate Analysis'!$A$3:$A$4887,'Rate Analysis'!$B$3:$B$4887)</f>
        <v xml:space="preserve"> (14-6)</v>
      </c>
      <c r="C212" s="711" t="str">
        <f>LOOKUP(A212,'Rate Analysis'!$A$3:$A$4887,'Rate Analysis'!$C$3:$C$4887)</f>
        <v>3 mm thick Cement  sand 1:1 flushing plaster</v>
      </c>
      <c r="D212" s="693" t="str">
        <f>LOOKUP(A212,'Rate Analysis'!$A$3:$A$4887,'Rate Analysis'!$F$3:$F$4887)</f>
        <v>Sqm.</v>
      </c>
      <c r="E212" s="726">
        <f>LOOKUP(A212,'Rate Analysis'!$A$3:$A$4887,'Rate Analysis'!$G$3:$G$4887)</f>
        <v>259.10000000000002</v>
      </c>
      <c r="F212" s="726">
        <f>LOOKUP(A212,'Rate Analysis'!$A$3:$A$4887,'Rate Analysis'!$H$3:$H$4887)</f>
        <v>297.95999999999998</v>
      </c>
    </row>
    <row r="213" spans="1:6" s="695" customFormat="1" ht="17.25" customHeight="1">
      <c r="A213" s="702">
        <f>'Rate Analysis'!A2247</f>
        <v>9.24</v>
      </c>
      <c r="B213" s="691" t="str">
        <f>LOOKUP(A213,'Rate Analysis'!$A$3:$A$4887,'Rate Analysis'!$B$3:$B$4887)</f>
        <v>I13(14-7)</v>
      </c>
      <c r="C213" s="711" t="str">
        <f>LOOKUP(A213,'Rate Analysis'!$A$3:$A$4887,'Rate Analysis'!$C$3:$C$4887)</f>
        <v>3 mm thick lime flushing plaster</v>
      </c>
      <c r="D213" s="693" t="str">
        <f>LOOKUP(A213,'Rate Analysis'!$A$3:$A$4887,'Rate Analysis'!$F$3:$F$4887)</f>
        <v>Sqm.</v>
      </c>
      <c r="E213" s="726">
        <f>LOOKUP(A213,'Rate Analysis'!$A$3:$A$4887,'Rate Analysis'!$G$3:$G$4887)</f>
        <v>207.05</v>
      </c>
      <c r="F213" s="726">
        <f>LOOKUP(A213,'Rate Analysis'!$A$3:$A$4887,'Rate Analysis'!$H$3:$H$4887)</f>
        <v>238.11</v>
      </c>
    </row>
    <row r="214" spans="1:6" s="695" customFormat="1" ht="17.25" customHeight="1">
      <c r="A214" s="702">
        <f>'Rate Analysis'!A2257</f>
        <v>9.25</v>
      </c>
      <c r="B214" s="691" t="str">
        <f>LOOKUP(A214,'Rate Analysis'!$A$3:$A$4887,'Rate Analysis'!$B$3:$B$4887)</f>
        <v>I14(14-8)</v>
      </c>
      <c r="C214" s="711" t="str">
        <f>LOOKUP(A214,'Rate Analysis'!$A$3:$A$4887,'Rate Analysis'!$C$3:$C$4887)</f>
        <v>3 mm thick Cement   flushing plaster</v>
      </c>
      <c r="D214" s="693" t="str">
        <f>LOOKUP(A214,'Rate Analysis'!$A$3:$A$4887,'Rate Analysis'!$F$3:$F$4887)</f>
        <v>Sqm.</v>
      </c>
      <c r="E214" s="726">
        <f>LOOKUP(A214,'Rate Analysis'!$A$3:$A$4887,'Rate Analysis'!$G$3:$G$4887)</f>
        <v>279.52</v>
      </c>
      <c r="F214" s="726">
        <f>LOOKUP(A214,'Rate Analysis'!$A$3:$A$4887,'Rate Analysis'!$H$3:$H$4887)</f>
        <v>321.44</v>
      </c>
    </row>
    <row r="215" spans="1:6" s="695" customFormat="1" ht="17.25" customHeight="1">
      <c r="A215" s="702">
        <f>'Rate Analysis'!A2267</f>
        <v>9.26</v>
      </c>
      <c r="B215" s="691" t="str">
        <f>LOOKUP(A215,'Rate Analysis'!$A$3:$A$4887,'Rate Analysis'!$B$3:$B$4887)</f>
        <v>I15</v>
      </c>
      <c r="C215" s="711" t="str">
        <f>LOOKUP(A215,'Rate Analysis'!$A$3:$A$4887,'Rate Analysis'!$C$3:$C$4887)</f>
        <v>20 mm thick Jhalar/pani patti making over cement plaster</v>
      </c>
      <c r="D215" s="693" t="str">
        <f>LOOKUP(A215,'Rate Analysis'!$A$3:$A$4887,'Rate Analysis'!$F$3:$F$4887)</f>
        <v>Sqm.</v>
      </c>
      <c r="E215" s="726">
        <f>LOOKUP(A215,'Rate Analysis'!$A$3:$A$4887,'Rate Analysis'!$G$3:$G$4887)</f>
        <v>156.30000000000001</v>
      </c>
      <c r="F215" s="726">
        <f>LOOKUP(A215,'Rate Analysis'!$A$3:$A$4887,'Rate Analysis'!$H$3:$H$4887)</f>
        <v>179.74</v>
      </c>
    </row>
    <row r="216" spans="1:6" s="695" customFormat="1" ht="31.2" hidden="1">
      <c r="A216" s="702">
        <f>'Rate Analysis'!A2277</f>
        <v>9.27</v>
      </c>
      <c r="B216" s="691" t="str">
        <f>LOOKUP(A216,'Rate Analysis'!$A$3:$A$4887,'Rate Analysis'!$B$3:$B$4887)</f>
        <v>I16</v>
      </c>
      <c r="C216" s="711" t="str">
        <f>LOOKUP(A216,'Rate Analysis'!$A$3:$A$4887,'Rate Analysis'!$C$3:$C$4887)</f>
        <v>25 mm thick roofing tile butta plaster in cement sand (1:4) work</v>
      </c>
      <c r="D216" s="693" t="str">
        <f>LOOKUP(A216,'Rate Analysis'!$A$3:$A$4887,'Rate Analysis'!$F$3:$F$4887)</f>
        <v>Sqm.</v>
      </c>
      <c r="E216" s="727">
        <f>LOOKUP(A216,'Rate Analysis'!$A$3:$A$4887,'Rate Analysis'!$G$3:$G$4887)</f>
        <v>0</v>
      </c>
      <c r="F216" s="727">
        <f>LOOKUP(A216,'Rate Analysis'!$A$3:$A$4887,'Rate Analysis'!$H$3:$H$4887)</f>
        <v>0</v>
      </c>
    </row>
    <row r="217" spans="1:6" s="695" customFormat="1" ht="45" customHeight="1">
      <c r="A217" s="702">
        <f>'Rate Analysis'!A2286</f>
        <v>9.2799999999999994</v>
      </c>
      <c r="B217" s="691" t="str">
        <f>LOOKUP(A217,'Rate Analysis'!$A$3:$A$4887,'Rate Analysis'!$B$3:$B$4887)</f>
        <v>I17</v>
      </c>
      <c r="C217" s="711" t="str">
        <f>LOOKUP(A217,'Rate Analysis'!$A$3:$A$4887,'Rate Analysis'!$C$3:$C$4887)</f>
        <v>2 mm thick plane white putting  plaster work in wall &amp;ceiling</v>
      </c>
      <c r="D217" s="693" t="str">
        <f>LOOKUP(A217,'Rate Analysis'!$A$3:$A$4887,'Rate Analysis'!$F$3:$F$4887)</f>
        <v>Sqm.</v>
      </c>
      <c r="E217" s="727">
        <f>LOOKUP(A217,'Rate Analysis'!$A$3:$A$4887,'Rate Analysis'!$G$3:$G$4887)</f>
        <v>270.83999999999997</v>
      </c>
      <c r="F217" s="727">
        <f>LOOKUP(A217,'Rate Analysis'!$A$3:$A$4887,'Rate Analysis'!$H$3:$H$4887)</f>
        <v>311.45999999999998</v>
      </c>
    </row>
    <row r="218" spans="1:6" s="695" customFormat="1">
      <c r="B218" s="698"/>
      <c r="C218" s="699"/>
      <c r="D218" s="700"/>
      <c r="E218" s="701"/>
      <c r="F218" s="701"/>
    </row>
    <row r="219" spans="1:6" s="689" customFormat="1">
      <c r="B219" s="686"/>
      <c r="C219" s="685" t="s">
        <v>173</v>
      </c>
      <c r="D219" s="716"/>
      <c r="E219" s="717"/>
      <c r="F219" s="717"/>
    </row>
    <row r="220" spans="1:6" s="695" customFormat="1" ht="17.25" customHeight="1">
      <c r="A220" s="702">
        <f>'Rate Analysis'!A2296</f>
        <v>10.01</v>
      </c>
      <c r="B220" s="706" t="str">
        <f>LOOKUP(A220,'Rate Analysis'!$A$3:$A$4887,'Rate Analysis'!$B$3:$B$4887)</f>
        <v>J1(13-1B)</v>
      </c>
      <c r="C220" s="692" t="str">
        <f>LOOKUP(A220,'Rate Analysis'!$A$3:$A$4887,'Rate Analysis'!$C$3:$C$4887)</f>
        <v>Two coat white washing work on wall.</v>
      </c>
      <c r="D220" s="693" t="str">
        <f>LOOKUP(A220,'Rate Analysis'!$A$3:$A$4887,'Rate Analysis'!$F$3:$F$4887)</f>
        <v>Sqm.</v>
      </c>
      <c r="E220" s="726">
        <f>LOOKUP(A220,'Rate Analysis'!$A$3:$A$4887,'Rate Analysis'!$G$3:$G$4887)</f>
        <v>36.97</v>
      </c>
      <c r="F220" s="726">
        <f>LOOKUP(A220,'Rate Analysis'!$A$3:$A$4887,'Rate Analysis'!$H$3:$H$4887)</f>
        <v>42.52</v>
      </c>
    </row>
    <row r="221" spans="1:6" s="695" customFormat="1" ht="17.25" customHeight="1">
      <c r="A221" s="702">
        <f>'Rate Analysis'!A2305</f>
        <v>10.02</v>
      </c>
      <c r="B221" s="706" t="str">
        <f>LOOKUP(A221,'Rate Analysis'!$A$3:$A$4887,'Rate Analysis'!$B$3:$B$4887)</f>
        <v>J1(13-1B)</v>
      </c>
      <c r="C221" s="692" t="str">
        <f>LOOKUP(A221,'Rate Analysis'!$A$3:$A$4887,'Rate Analysis'!$C$3:$C$4887)</f>
        <v>Two coat white washing work on ceiling.</v>
      </c>
      <c r="D221" s="693" t="str">
        <f>LOOKUP(A221,'Rate Analysis'!$A$3:$A$4887,'Rate Analysis'!$F$3:$F$4887)</f>
        <v>Sqm.</v>
      </c>
      <c r="E221" s="726">
        <f>LOOKUP(A221,'Rate Analysis'!$A$3:$A$4887,'Rate Analysis'!$G$3:$G$4887)</f>
        <v>43.86</v>
      </c>
      <c r="F221" s="726">
        <f>LOOKUP(A221,'Rate Analysis'!$A$3:$A$4887,'Rate Analysis'!$H$3:$H$4887)</f>
        <v>50.45</v>
      </c>
    </row>
    <row r="222" spans="1:6" s="695" customFormat="1" ht="17.25" customHeight="1">
      <c r="A222" s="702">
        <f>'Rate Analysis'!A2316</f>
        <v>10.029999999999999</v>
      </c>
      <c r="B222" s="706" t="str">
        <f>LOOKUP(A222,'Rate Analysis'!$A$3:$A$4887,'Rate Analysis'!$B$3:$B$4887)</f>
        <v>J1(13-1C)</v>
      </c>
      <c r="C222" s="692" t="str">
        <f>LOOKUP(A222,'Rate Analysis'!$A$3:$A$4887,'Rate Analysis'!$C$3:$C$4887)</f>
        <v>Three coat white washing work on wall.</v>
      </c>
      <c r="D222" s="693" t="str">
        <f>LOOKUP(A222,'Rate Analysis'!$A$3:$A$4887,'Rate Analysis'!$F$3:$F$4887)</f>
        <v>Sqm.</v>
      </c>
      <c r="E222" s="726">
        <f>LOOKUP(A222,'Rate Analysis'!$A$3:$A$4887,'Rate Analysis'!$G$3:$G$4887)</f>
        <v>73.17</v>
      </c>
      <c r="F222" s="726">
        <f>LOOKUP(A222,'Rate Analysis'!$A$3:$A$4887,'Rate Analysis'!$H$3:$H$4887)</f>
        <v>84.14</v>
      </c>
    </row>
    <row r="223" spans="1:6" s="695" customFormat="1" ht="17.25" customHeight="1">
      <c r="A223" s="702">
        <f>'Rate Analysis'!A2326</f>
        <v>10.039999999999999</v>
      </c>
      <c r="B223" s="706" t="str">
        <f>LOOKUP(A223,'Rate Analysis'!$A$3:$A$4887,'Rate Analysis'!$B$3:$B$4887)</f>
        <v>J1(13-1C)</v>
      </c>
      <c r="C223" s="692" t="str">
        <f>LOOKUP(A223,'Rate Analysis'!$A$3:$A$4887,'Rate Analysis'!$C$3:$C$4887)</f>
        <v>Three coat white washing work on ceiling.</v>
      </c>
      <c r="D223" s="693" t="str">
        <f>LOOKUP(A223,'Rate Analysis'!$A$3:$A$4887,'Rate Analysis'!$F$3:$F$4887)</f>
        <v>Sqm.</v>
      </c>
      <c r="E223" s="726">
        <f>LOOKUP(A223,'Rate Analysis'!$A$3:$A$4887,'Rate Analysis'!$G$3:$G$4887)</f>
        <v>88.04</v>
      </c>
      <c r="F223" s="726">
        <f>LOOKUP(A223,'Rate Analysis'!$A$3:$A$4887,'Rate Analysis'!$H$3:$H$4887)</f>
        <v>101.25</v>
      </c>
    </row>
    <row r="224" spans="1:6" s="695" customFormat="1" ht="17.25" customHeight="1">
      <c r="A224" s="702">
        <f>'Rate Analysis'!A2336</f>
        <v>10.050000000000001</v>
      </c>
      <c r="B224" s="706" t="str">
        <f>LOOKUP(A224,'Rate Analysis'!$A$3:$A$4887,'Rate Analysis'!$B$3:$B$4887)</f>
        <v>J2(13-2)</v>
      </c>
      <c r="C224" s="692" t="str">
        <f>LOOKUP(A224,'Rate Analysis'!$A$3:$A$4887,'Rate Analysis'!$C$3:$C$4887)</f>
        <v>white washing work in old surface.</v>
      </c>
      <c r="D224" s="693" t="str">
        <f>LOOKUP(A224,'Rate Analysis'!$A$3:$A$4887,'Rate Analysis'!$F$3:$F$4887)</f>
        <v>Sqm.</v>
      </c>
      <c r="E224" s="726">
        <f>LOOKUP(A224,'Rate Analysis'!$A$3:$A$4887,'Rate Analysis'!$G$3:$G$4887)</f>
        <v>19.96</v>
      </c>
      <c r="F224" s="726">
        <f>LOOKUP(A224,'Rate Analysis'!$A$3:$A$4887,'Rate Analysis'!$H$3:$H$4887)</f>
        <v>22.96</v>
      </c>
    </row>
    <row r="225" spans="1:6" s="695" customFormat="1" ht="17.25" customHeight="1">
      <c r="A225" s="702">
        <f>'Rate Analysis'!A2346</f>
        <v>10.06</v>
      </c>
      <c r="B225" s="706" t="str">
        <f>LOOKUP(A225,'Rate Analysis'!$A$3:$A$4887,'Rate Analysis'!$B$3:$B$4887)</f>
        <v>J3(13-3AB)</v>
      </c>
      <c r="C225" s="692" t="str">
        <f>LOOKUP(A225,'Rate Analysis'!$A$3:$A$4887,'Rate Analysis'!$C$3:$C$4887)</f>
        <v>One coat distemper painting work over primer coat.</v>
      </c>
      <c r="D225" s="693" t="str">
        <f>LOOKUP(A225,'Rate Analysis'!$A$3:$A$4887,'Rate Analysis'!$F$3:$F$4887)</f>
        <v>Sqm.</v>
      </c>
      <c r="E225" s="726">
        <f>LOOKUP(A225,'Rate Analysis'!$A$3:$A$4887,'Rate Analysis'!$G$3:$G$4887)</f>
        <v>110.94</v>
      </c>
      <c r="F225" s="726">
        <f>LOOKUP(A225,'Rate Analysis'!$A$3:$A$4887,'Rate Analysis'!$H$3:$H$4887)</f>
        <v>127.58</v>
      </c>
    </row>
    <row r="226" spans="1:6" s="695" customFormat="1" ht="31.2">
      <c r="A226" s="702">
        <f>'Rate Analysis'!A2356</f>
        <v>10.07</v>
      </c>
      <c r="B226" s="706" t="str">
        <f>LOOKUP(A226,'Rate Analysis'!$A$3:$A$4887,'Rate Analysis'!$B$3:$B$4887)</f>
        <v>J3(13-3ABC)</v>
      </c>
      <c r="C226" s="692" t="str">
        <f>LOOKUP(A226,'Rate Analysis'!$A$3:$A$4887,'Rate Analysis'!$C$3:$C$4887)</f>
        <v>Two coat distemper painting work over primer coat.</v>
      </c>
      <c r="D226" s="693" t="str">
        <f>LOOKUP(A226,'Rate Analysis'!$A$3:$A$4887,'Rate Analysis'!$F$3:$F$4887)</f>
        <v>Sqm.</v>
      </c>
      <c r="E226" s="726">
        <f>LOOKUP(A226,'Rate Analysis'!$A$3:$A$4887,'Rate Analysis'!$G$3:$G$4887)</f>
        <v>159.19999999999999</v>
      </c>
      <c r="F226" s="726">
        <f>LOOKUP(A226,'Rate Analysis'!$A$3:$A$4887,'Rate Analysis'!$H$3:$H$4887)</f>
        <v>183.08</v>
      </c>
    </row>
    <row r="227" spans="1:6" s="695" customFormat="1" ht="15.75" customHeight="1">
      <c r="A227" s="702">
        <f>'Rate Analysis'!A2367</f>
        <v>10.08</v>
      </c>
      <c r="B227" s="706" t="str">
        <f>LOOKUP(A227,'Rate Analysis'!$A$3:$A$4887,'Rate Analysis'!$B$3:$B$4887)</f>
        <v>J3(13-3B)</v>
      </c>
      <c r="C227" s="692" t="str">
        <f>LOOKUP(A227,'Rate Analysis'!$A$3:$A$4887,'Rate Analysis'!$C$3:$C$4887)</f>
        <v>One coat distemper painting work without primer coat.</v>
      </c>
      <c r="D227" s="693" t="str">
        <f>LOOKUP(A227,'Rate Analysis'!$A$3:$A$4887,'Rate Analysis'!$F$3:$F$4887)</f>
        <v>Sqm.</v>
      </c>
      <c r="E227" s="726">
        <f>LOOKUP(A227,'Rate Analysis'!$A$3:$A$4887,'Rate Analysis'!$G$3:$G$4887)</f>
        <v>55.7</v>
      </c>
      <c r="F227" s="726">
        <f>LOOKUP(A227,'Rate Analysis'!$A$3:$A$4887,'Rate Analysis'!$H$3:$H$4887)</f>
        <v>64.05</v>
      </c>
    </row>
    <row r="228" spans="1:6" s="695" customFormat="1" ht="15.75" customHeight="1">
      <c r="A228" s="702">
        <f>'Rate Analysis'!A2376</f>
        <v>10.09</v>
      </c>
      <c r="B228" s="706" t="str">
        <f>LOOKUP(A228,'Rate Analysis'!$A$3:$A$4887,'Rate Analysis'!$B$3:$B$4887)</f>
        <v>J3(13-3BC)</v>
      </c>
      <c r="C228" s="692" t="str">
        <f>LOOKUP(A228,'Rate Analysis'!$A$3:$A$4887,'Rate Analysis'!$C$3:$C$4887)</f>
        <v>Two coat distemper painting work without primer coat.</v>
      </c>
      <c r="D228" s="693" t="str">
        <f>LOOKUP(A228,'Rate Analysis'!$A$3:$A$4887,'Rate Analysis'!$F$3:$F$4887)</f>
        <v>Sqm.</v>
      </c>
      <c r="E228" s="726">
        <f>LOOKUP(A228,'Rate Analysis'!$A$3:$A$4887,'Rate Analysis'!$G$3:$G$4887)</f>
        <v>103.96</v>
      </c>
      <c r="F228" s="726">
        <f>LOOKUP(A228,'Rate Analysis'!$A$3:$A$4887,'Rate Analysis'!$H$3:$H$4887)</f>
        <v>119.55</v>
      </c>
    </row>
    <row r="229" spans="1:6" ht="15.75" customHeight="1">
      <c r="A229" s="728">
        <f>'Rate Analysis'!A2385</f>
        <v>10.1</v>
      </c>
      <c r="B229" s="706" t="str">
        <f>LOOKUP(A229,'Rate Analysis'!$A$3:$A$4887,'Rate Analysis'!$B$3:$B$4887)</f>
        <v>J3(13-3AB)</v>
      </c>
      <c r="C229" s="729" t="str">
        <f>LOOKUP(A229,'Rate Analysis'!$A$3:$A$4887,'Rate Analysis'!$C$3:$C$4887)</f>
        <v>One coat weather proof painting work over primer coat.</v>
      </c>
      <c r="D229" s="730" t="str">
        <f>LOOKUP(A229,'Rate Analysis'!$A$3:$A$4887,'Rate Analysis'!$F$3:$F$4887)</f>
        <v>Sqm.</v>
      </c>
      <c r="E229" s="731">
        <f>LOOKUP(A229,'Rate Analysis'!$A$3:$A$4887,'Rate Analysis'!$G$3:$G$4887)</f>
        <v>82.8</v>
      </c>
      <c r="F229" s="731">
        <f>LOOKUP(A229,'Rate Analysis'!$A$3:$A$4887,'Rate Analysis'!$H$3:$H$4887)</f>
        <v>95.22</v>
      </c>
    </row>
    <row r="230" spans="1:6" ht="31.2">
      <c r="A230" s="728">
        <f>'Rate Analysis'!A2395</f>
        <v>10.11</v>
      </c>
      <c r="B230" s="706" t="str">
        <f>LOOKUP(A230,'Rate Analysis'!$A$3:$A$4887,'Rate Analysis'!$B$3:$B$4887)</f>
        <v>J3(13-3ABC)</v>
      </c>
      <c r="C230" s="729" t="str">
        <f>LOOKUP(A230,'Rate Analysis'!$A$3:$A$4887,'Rate Analysis'!$C$3:$C$4887)</f>
        <v>Two coat weather proof  painting work over primer coat.</v>
      </c>
      <c r="D230" s="730" t="str">
        <f>LOOKUP(A230,'Rate Analysis'!$A$3:$A$4887,'Rate Analysis'!$F$3:$F$4887)</f>
        <v>Sqm.</v>
      </c>
      <c r="E230" s="731">
        <f>LOOKUP(A230,'Rate Analysis'!$A$3:$A$4887,'Rate Analysis'!$G$3:$G$4887)</f>
        <v>213.6</v>
      </c>
      <c r="F230" s="731">
        <f>LOOKUP(A230,'Rate Analysis'!$A$3:$A$4887,'Rate Analysis'!$H$3:$H$4887)</f>
        <v>245.64</v>
      </c>
    </row>
    <row r="231" spans="1:6" ht="33.6" customHeight="1">
      <c r="A231" s="728">
        <f>'Rate Analysis'!A2406</f>
        <v>10.119999999999999</v>
      </c>
      <c r="B231" s="706" t="str">
        <f>LOOKUP(A231,'Rate Analysis'!$A$3:$A$4887,'Rate Analysis'!$B$3:$B$4887)</f>
        <v>J3(13-3B)</v>
      </c>
      <c r="C231" s="732" t="str">
        <f>LOOKUP(A231,'Rate Analysis'!$A$3:$A$4887,'Rate Analysis'!$C$3:$C$4887)</f>
        <v>One coat weather proof painting work without primer coat.</v>
      </c>
      <c r="D231" s="730" t="str">
        <f>LOOKUP(A231,'Rate Analysis'!$A$3:$A$4887,'Rate Analysis'!$F$3:$F$4887)</f>
        <v>Sqm.</v>
      </c>
      <c r="E231" s="731">
        <f>LOOKUP(A231,'Rate Analysis'!$A$3:$A$4887,'Rate Analysis'!$G$3:$G$4887)</f>
        <v>41.4</v>
      </c>
      <c r="F231" s="731">
        <f>LOOKUP(A231,'Rate Analysis'!$A$3:$A$4887,'Rate Analysis'!$H$3:$H$4887)</f>
        <v>47.61</v>
      </c>
    </row>
    <row r="232" spans="1:6" ht="39.6" customHeight="1">
      <c r="A232" s="728">
        <f>'Rate Analysis'!A2416</f>
        <v>10.130000000000001</v>
      </c>
      <c r="B232" s="706" t="str">
        <f>LOOKUP(A232,'Rate Analysis'!$A$3:$A$4887,'Rate Analysis'!$B$3:$B$4887)</f>
        <v>J3(13-3BC)</v>
      </c>
      <c r="C232" s="732" t="str">
        <f>LOOKUP(A232,'Rate Analysis'!$A$3:$A$4887,'Rate Analysis'!$C$3:$C$4887)</f>
        <v>Two coat weather proof  painting work without primer coat.</v>
      </c>
      <c r="D232" s="730" t="str">
        <f>LOOKUP(A232,'Rate Analysis'!$A$3:$A$4887,'Rate Analysis'!$F$3:$F$4887)</f>
        <v>Sqm.</v>
      </c>
      <c r="E232" s="731">
        <f>LOOKUP(A232,'Rate Analysis'!$A$3:$A$4887,'Rate Analysis'!$G$3:$G$4887)</f>
        <v>151.5</v>
      </c>
      <c r="F232" s="731">
        <f>LOOKUP(A232,'Rate Analysis'!$A$3:$A$4887,'Rate Analysis'!$H$3:$H$4887)</f>
        <v>174.22</v>
      </c>
    </row>
    <row r="233" spans="1:6" ht="31.2">
      <c r="A233" s="728">
        <f>'Rate Analysis'!A2426</f>
        <v>10.14</v>
      </c>
      <c r="B233" s="706" t="str">
        <f>LOOKUP(A233,'Rate Analysis'!$A$3:$A$4887,'Rate Analysis'!$B$3:$B$4887)</f>
        <v>J4(13-4A)</v>
      </c>
      <c r="C233" s="729" t="str">
        <f>LOOKUP(A233,'Rate Analysis'!$A$3:$A$4887,'Rate Analysis'!$C$3:$C$4887)</f>
        <v>One coat water proof cement paint painting work in old surface</v>
      </c>
      <c r="D233" s="730" t="str">
        <f>LOOKUP(A233,'Rate Analysis'!$A$3:$A$4887,'Rate Analysis'!$F$3:$F$4887)</f>
        <v>Sqm.</v>
      </c>
      <c r="E233" s="731">
        <f>LOOKUP(A233,'Rate Analysis'!$A$3:$A$4887,'Rate Analysis'!$G$3:$G$4887)</f>
        <v>68.19</v>
      </c>
      <c r="F233" s="731">
        <f>LOOKUP(A233,'Rate Analysis'!$A$3:$A$4887,'Rate Analysis'!$H$3:$H$4887)</f>
        <v>78.41</v>
      </c>
    </row>
    <row r="234" spans="1:6" ht="31.2">
      <c r="A234" s="728">
        <f>'Rate Analysis'!A2436</f>
        <v>10.15</v>
      </c>
      <c r="B234" s="706" t="str">
        <f>LOOKUP(A234,'Rate Analysis'!$A$3:$A$4887,'Rate Analysis'!$B$3:$B$4887)</f>
        <v>J4(13-4B)</v>
      </c>
      <c r="C234" s="729" t="str">
        <f>LOOKUP(A234,'Rate Analysis'!$A$3:$A$4887,'Rate Analysis'!$C$3:$C$4887)</f>
        <v>Two coat water proof cement paint painting work in old surface</v>
      </c>
      <c r="D234" s="730" t="str">
        <f>LOOKUP(A234,'Rate Analysis'!$A$3:$A$4887,'Rate Analysis'!$F$3:$F$4887)</f>
        <v>Sqm.</v>
      </c>
      <c r="E234" s="731">
        <f>LOOKUP(A234,'Rate Analysis'!$A$3:$A$4887,'Rate Analysis'!$G$3:$G$4887)</f>
        <v>156.85</v>
      </c>
      <c r="F234" s="731">
        <f>LOOKUP(A234,'Rate Analysis'!$A$3:$A$4887,'Rate Analysis'!$H$3:$H$4887)</f>
        <v>180.37</v>
      </c>
    </row>
    <row r="235" spans="1:6" ht="18" customHeight="1">
      <c r="A235" s="728">
        <f>'Rate Analysis'!A2446</f>
        <v>10.16</v>
      </c>
      <c r="B235" s="706" t="str">
        <f>LOOKUP(A235,'Rate Analysis'!$A$3:$A$4887,'Rate Analysis'!$B$3:$B$4887)</f>
        <v>J4(13-4A)</v>
      </c>
      <c r="C235" s="729" t="str">
        <f>LOOKUP(A235,'Rate Analysis'!$A$3:$A$4887,'Rate Analysis'!$C$3:$C$4887)</f>
        <v>One coat white cement paint  painting work .</v>
      </c>
      <c r="D235" s="730" t="str">
        <f>LOOKUP(A235,'Rate Analysis'!$A$3:$A$4887,'Rate Analysis'!$F$3:$F$4887)</f>
        <v>Sqm.</v>
      </c>
      <c r="E235" s="731">
        <f>LOOKUP(A235,'Rate Analysis'!$A$3:$A$4887,'Rate Analysis'!$G$3:$G$4887)</f>
        <v>43.11</v>
      </c>
      <c r="F235" s="731">
        <f>LOOKUP(A235,'Rate Analysis'!$A$3:$A$4887,'Rate Analysis'!$H$3:$H$4887)</f>
        <v>49.57</v>
      </c>
    </row>
    <row r="236" spans="1:6" s="695" customFormat="1" ht="18" customHeight="1">
      <c r="A236" s="702">
        <f>'Rate Analysis'!A2456</f>
        <v>10.17</v>
      </c>
      <c r="B236" s="706" t="str">
        <f>LOOKUP(A236,'Rate Analysis'!$A$3:$A$4887,'Rate Analysis'!$B$3:$B$4887)</f>
        <v>J4(13-4B)</v>
      </c>
      <c r="C236" s="692" t="str">
        <f>LOOKUP(A236,'Rate Analysis'!$A$3:$A$4887,'Rate Analysis'!$C$3:$C$4887)</f>
        <v>Two coat white cement paint  painting work .</v>
      </c>
      <c r="D236" s="693" t="str">
        <f>LOOKUP(A236,'Rate Analysis'!$A$3:$A$4887,'Rate Analysis'!$F$3:$F$4887)</f>
        <v>Sqm.</v>
      </c>
      <c r="E236" s="726">
        <f>LOOKUP(A236,'Rate Analysis'!$A$3:$A$4887,'Rate Analysis'!$G$3:$G$4887)</f>
        <v>116.3</v>
      </c>
      <c r="F236" s="726">
        <f>LOOKUP(A236,'Rate Analysis'!$A$3:$A$4887,'Rate Analysis'!$H$3:$H$4887)</f>
        <v>133.74</v>
      </c>
    </row>
    <row r="237" spans="1:6" s="695" customFormat="1" ht="31.2">
      <c r="A237" s="702">
        <f>'Rate Analysis'!A2466</f>
        <v>10.18</v>
      </c>
      <c r="B237" s="706" t="str">
        <f>LOOKUP(A237,'Rate Analysis'!$A$3:$A$4887,'Rate Analysis'!$B$3:$B$4887)</f>
        <v>J5(13-5AB)</v>
      </c>
      <c r="C237" s="692" t="str">
        <f>LOOKUP(A237,'Rate Analysis'!$A$3:$A$4887,'Rate Analysis'!$C$3:$C$4887)</f>
        <v>One coat enamel painting work over primer coat in wooden surface.</v>
      </c>
      <c r="D237" s="693" t="str">
        <f>LOOKUP(A237,'Rate Analysis'!$A$3:$A$4887,'Rate Analysis'!$F$3:$F$4887)</f>
        <v>Sqm.</v>
      </c>
      <c r="E237" s="726">
        <f>LOOKUP(A237,'Rate Analysis'!$A$3:$A$4887,'Rate Analysis'!$G$3:$G$4887)</f>
        <v>207.9</v>
      </c>
      <c r="F237" s="726">
        <f>LOOKUP(A237,'Rate Analysis'!$A$3:$A$4887,'Rate Analysis'!$H$3:$H$4887)</f>
        <v>239.08</v>
      </c>
    </row>
    <row r="238" spans="1:6" s="695" customFormat="1" ht="31.2">
      <c r="A238" s="702">
        <f>'Rate Analysis'!A2476</f>
        <v>10.19</v>
      </c>
      <c r="B238" s="706" t="str">
        <f>LOOKUP(A238,'Rate Analysis'!$A$3:$A$4887,'Rate Analysis'!$B$3:$B$4887)</f>
        <v>J5(13-5ABC)</v>
      </c>
      <c r="C238" s="692" t="str">
        <f>LOOKUP(A238,'Rate Analysis'!$A$3:$A$4887,'Rate Analysis'!$C$3:$C$4887)</f>
        <v>Two coat enamel painting work over primer coat in wooden surface.</v>
      </c>
      <c r="D238" s="693" t="str">
        <f>LOOKUP(A238,'Rate Analysis'!$A$3:$A$4887,'Rate Analysis'!$F$3:$F$4887)</f>
        <v>Sqm.</v>
      </c>
      <c r="E238" s="726">
        <f>LOOKUP(A238,'Rate Analysis'!$A$3:$A$4887,'Rate Analysis'!$G$3:$G$4887)</f>
        <v>310</v>
      </c>
      <c r="F238" s="726">
        <f>LOOKUP(A238,'Rate Analysis'!$A$3:$A$4887,'Rate Analysis'!$H$3:$H$4887)</f>
        <v>356.5</v>
      </c>
    </row>
    <row r="239" spans="1:6" s="695" customFormat="1" ht="18" customHeight="1">
      <c r="A239" s="702">
        <f>'Rate Analysis'!A2486</f>
        <v>10.199999999999999</v>
      </c>
      <c r="B239" s="706" t="str">
        <f>LOOKUP(A239,'Rate Analysis'!$A$3:$A$4887,'Rate Analysis'!$B$3:$B$4887)</f>
        <v>J5(13-5AB)</v>
      </c>
      <c r="C239" s="711" t="str">
        <f>LOOKUP(A239,'Rate Analysis'!$A$3:$A$4887,'Rate Analysis'!$C$3:$C$4887)</f>
        <v>One coat plastic emulsion painting work over primer coat.</v>
      </c>
      <c r="D239" s="693" t="str">
        <f>LOOKUP(A239,'Rate Analysis'!$A$3:$A$4887,'Rate Analysis'!$F$3:$F$4887)</f>
        <v>Sqm.</v>
      </c>
      <c r="E239" s="726">
        <f>LOOKUP(A239,'Rate Analysis'!$A$3:$A$4887,'Rate Analysis'!$G$3:$G$4887)</f>
        <v>234.9</v>
      </c>
      <c r="F239" s="726">
        <f>LOOKUP(A239,'Rate Analysis'!$A$3:$A$4887,'Rate Analysis'!$H$3:$H$4887)</f>
        <v>270.13</v>
      </c>
    </row>
    <row r="240" spans="1:6" s="695" customFormat="1" ht="33.75" customHeight="1">
      <c r="A240" s="702">
        <f>'Rate Analysis'!A2497</f>
        <v>10.210000000000001</v>
      </c>
      <c r="B240" s="706" t="str">
        <f>LOOKUP(A240,'Rate Analysis'!$A$3:$A$4887,'Rate Analysis'!$B$3:$B$4887)</f>
        <v>J5(13-5AB)</v>
      </c>
      <c r="C240" s="711" t="str">
        <f>LOOKUP(A240,'Rate Analysis'!$A$3:$A$4887,'Rate Analysis'!$C$3:$C$4887)</f>
        <v>Two coat plastic emulsion painting work over primer coat.</v>
      </c>
      <c r="D240" s="693" t="str">
        <f>LOOKUP(A240,'Rate Analysis'!$A$3:$A$4887,'Rate Analysis'!$F$3:$F$4887)</f>
        <v>Sqm.</v>
      </c>
      <c r="E240" s="726">
        <f>LOOKUP(A240,'Rate Analysis'!$A$3:$A$4887,'Rate Analysis'!$G$3:$G$4887)</f>
        <v>358</v>
      </c>
      <c r="F240" s="726">
        <f>LOOKUP(A240,'Rate Analysis'!$A$3:$A$4887,'Rate Analysis'!$H$3:$H$4887)</f>
        <v>411.7</v>
      </c>
    </row>
    <row r="241" spans="1:6" s="695" customFormat="1" ht="31.2">
      <c r="A241" s="702">
        <f>'Rate Analysis'!A2508</f>
        <v>10.220000000000001</v>
      </c>
      <c r="B241" s="706" t="str">
        <f>LOOKUP(A241,'Rate Analysis'!$A$3:$A$4887,'Rate Analysis'!$B$3:$B$4887)</f>
        <v>J6(13-6)</v>
      </c>
      <c r="C241" s="711" t="str">
        <f>LOOKUP(A241,'Rate Analysis'!$A$3:$A$4887,'Rate Analysis'!$C$3:$C$4887)</f>
        <v>Two coat aluminium painting work over primer coat in metal surface.</v>
      </c>
      <c r="D241" s="693" t="str">
        <f>LOOKUP(A241,'Rate Analysis'!$A$3:$A$4887,'Rate Analysis'!$F$3:$F$4887)</f>
        <v>Sqm.</v>
      </c>
      <c r="E241" s="726">
        <f>LOOKUP(A241,'Rate Analysis'!$A$3:$A$4887,'Rate Analysis'!$G$3:$G$4887)</f>
        <v>316.2</v>
      </c>
      <c r="F241" s="726">
        <f>LOOKUP(A241,'Rate Analysis'!$A$3:$A$4887,'Rate Analysis'!$H$3:$H$4887)</f>
        <v>363.63</v>
      </c>
    </row>
    <row r="242" spans="1:6" s="695" customFormat="1" ht="31.2">
      <c r="A242" s="702">
        <f>'Rate Analysis'!A2530</f>
        <v>10.23</v>
      </c>
      <c r="B242" s="706" t="str">
        <f>'Rate Analysis'!B2530</f>
        <v>J7(13-8AB)</v>
      </c>
      <c r="C242" s="711" t="str">
        <f>'Rate Analysis'!C2530</f>
        <v>Two coat double boiled Linseed oil  painting work .</v>
      </c>
      <c r="D242" s="693" t="str">
        <f>LOOKUP(A242,'Rate Analysis'!$A$3:$A$4887,'Rate Analysis'!$F$3:$F$4887)</f>
        <v>Sqm.</v>
      </c>
      <c r="E242" s="726">
        <f>'Rate Analysis'!G2530</f>
        <v>98.2</v>
      </c>
      <c r="F242" s="726">
        <f>'Rate Analysis'!H2530</f>
        <v>112.93</v>
      </c>
    </row>
    <row r="243" spans="1:6" s="695" customFormat="1">
      <c r="A243" s="702">
        <f>'Rate Analysis'!A2539</f>
        <v>10.24</v>
      </c>
      <c r="B243" s="706" t="str">
        <f>LOOKUP(A243,'Rate Analysis'!$A$3:$A$4887,'Rate Analysis'!$B$3:$B$4887)</f>
        <v>J8(13-9A)</v>
      </c>
      <c r="C243" s="711" t="str">
        <f>LOOKUP(A243,'Rate Analysis'!$A$3:$A$4887,'Rate Analysis'!$C$3:$C$4887)</f>
        <v>One coat varnish painting work .</v>
      </c>
      <c r="D243" s="693" t="str">
        <f>LOOKUP(A243,'Rate Analysis'!$A$3:$A$4887,'Rate Analysis'!$F$3:$F$4887)</f>
        <v>Sqm.</v>
      </c>
      <c r="E243" s="726">
        <f>LOOKUP(A243,'Rate Analysis'!$A$3:$A$4887,'Rate Analysis'!$G$3:$G$4887)</f>
        <v>63.3</v>
      </c>
      <c r="F243" s="726">
        <f>LOOKUP(A243,'Rate Analysis'!$A$3:$A$4887,'Rate Analysis'!$H$3:$H$4887)</f>
        <v>72.790000000000006</v>
      </c>
    </row>
    <row r="244" spans="1:6" s="695" customFormat="1">
      <c r="A244" s="702">
        <f>'Rate Analysis'!A2520</f>
        <v>10.25</v>
      </c>
      <c r="B244" s="706" t="str">
        <f>'Rate Analysis'!B2520</f>
        <v>J7(13-8A)</v>
      </c>
      <c r="C244" s="733" t="str">
        <f>'Rate Analysis'!C2520</f>
        <v>One coat double boiled Linseed oil  painting work .</v>
      </c>
      <c r="D244" s="704" t="str">
        <f>'Rate Analysis'!F2520</f>
        <v>Sqm.</v>
      </c>
      <c r="E244" s="726">
        <f>'Rate Analysis'!G2520</f>
        <v>49.8</v>
      </c>
      <c r="F244" s="726">
        <f>'Rate Analysis'!H2520</f>
        <v>57.27</v>
      </c>
    </row>
    <row r="245" spans="1:6" s="695" customFormat="1" ht="31.2">
      <c r="A245" s="702" t="str">
        <f>'Rate Analysis'!A2549</f>
        <v>10.25(A)</v>
      </c>
      <c r="B245" s="706" t="str">
        <f>LOOKUP(A245,'Rate Analysis'!$A$3:$A$4887,'Rate Analysis'!$B$3:$B$4887)</f>
        <v>J8(13-9AB)</v>
      </c>
      <c r="C245" s="711" t="str">
        <f>LOOKUP(A245,'Rate Analysis'!$A$3:$A$4887,'Rate Analysis'!$C$3:$C$4887)</f>
        <v>Two coat varnish painting work .</v>
      </c>
      <c r="D245" s="693" t="str">
        <f>LOOKUP(A245,'Rate Analysis'!$A$3:$A$4887,'Rate Analysis'!$F$3:$F$4887)</f>
        <v>Sqm.</v>
      </c>
      <c r="E245" s="726">
        <f>LOOKUP(A245,'Rate Analysis'!$A$3:$A$4887,'Rate Analysis'!$G$3:$G$4887)</f>
        <v>124.95</v>
      </c>
      <c r="F245" s="726">
        <f>LOOKUP(A245,'Rate Analysis'!$A$3:$A$4887,'Rate Analysis'!$H$3:$H$4887)</f>
        <v>143.69</v>
      </c>
    </row>
    <row r="246" spans="1:6" s="695" customFormat="1" ht="31.2">
      <c r="A246" s="702">
        <f>'Rate Analysis'!A2559</f>
        <v>10.26</v>
      </c>
      <c r="B246" s="706" t="str">
        <f>LOOKUP(A246,'Rate Analysis'!$A$3:$A$4887,'Rate Analysis'!$B$3:$B$4887)</f>
        <v>J9(13-10A)</v>
      </c>
      <c r="C246" s="711" t="str">
        <f>LOOKUP(A246,'Rate Analysis'!$A$3:$A$4887,'Rate Analysis'!$C$3:$C$4887)</f>
        <v>One coat Bitumen  painting work .</v>
      </c>
      <c r="D246" s="693" t="str">
        <f>LOOKUP(A246,'Rate Analysis'!$A$3:$A$4887,'Rate Analysis'!$F$3:$F$4887)</f>
        <v>Sqm.</v>
      </c>
      <c r="E246" s="726">
        <f>LOOKUP(A246,'Rate Analysis'!$A$3:$A$4887,'Rate Analysis'!$G$3:$G$4887)</f>
        <v>38.81</v>
      </c>
      <c r="F246" s="726">
        <f>LOOKUP(A246,'Rate Analysis'!$A$3:$A$4887,'Rate Analysis'!$H$3:$H$4887)</f>
        <v>44.63</v>
      </c>
    </row>
    <row r="247" spans="1:6" s="695" customFormat="1" ht="31.2">
      <c r="A247" s="702">
        <f>'Rate Analysis'!A2568</f>
        <v>10.27</v>
      </c>
      <c r="B247" s="706" t="str">
        <f>LOOKUP(A247,'Rate Analysis'!$A$3:$A$4887,'Rate Analysis'!$B$3:$B$4887)</f>
        <v>J9(13-10B)</v>
      </c>
      <c r="C247" s="711" t="str">
        <f>LOOKUP(A247,'Rate Analysis'!$A$3:$A$4887,'Rate Analysis'!$C$3:$C$4887)</f>
        <v>Two coat Bitumen  painting work .</v>
      </c>
      <c r="D247" s="693" t="str">
        <f>LOOKUP(A247,'Rate Analysis'!$A$3:$A$4887,'Rate Analysis'!$F$3:$F$4887)</f>
        <v>Sqm.</v>
      </c>
      <c r="E247" s="726">
        <f>LOOKUP(A247,'Rate Analysis'!$A$3:$A$4887,'Rate Analysis'!$G$3:$G$4887)</f>
        <v>68.16</v>
      </c>
      <c r="F247" s="726">
        <f>LOOKUP(A247,'Rate Analysis'!$A$3:$A$4887,'Rate Analysis'!$H$3:$H$4887)</f>
        <v>78.38</v>
      </c>
    </row>
    <row r="248" spans="1:6" s="695" customFormat="1">
      <c r="A248" s="702">
        <f>'Rate Analysis'!A2577</f>
        <v>10.28</v>
      </c>
      <c r="B248" s="706" t="str">
        <f>LOOKUP(A248,'Rate Analysis'!$A$3:$A$4887,'Rate Analysis'!$B$3:$B$4887)</f>
        <v>J10(13-11)</v>
      </c>
      <c r="C248" s="711" t="str">
        <f>LOOKUP(A248,'Rate Analysis'!$A$3:$A$4887,'Rate Analysis'!$C$3:$C$4887)</f>
        <v>Three coat chapra painting   work .</v>
      </c>
      <c r="D248" s="693" t="str">
        <f>LOOKUP(A248,'Rate Analysis'!$A$3:$A$4887,'Rate Analysis'!$F$3:$F$4887)</f>
        <v>Sqm.</v>
      </c>
      <c r="E248" s="726">
        <f>LOOKUP(A248,'Rate Analysis'!$A$3:$A$4887,'Rate Analysis'!$G$3:$G$4887)</f>
        <v>196.88</v>
      </c>
      <c r="F248" s="726">
        <f>LOOKUP(A248,'Rate Analysis'!$A$3:$A$4887,'Rate Analysis'!$H$3:$H$4887)</f>
        <v>226.41</v>
      </c>
    </row>
    <row r="249" spans="1:6" s="695" customFormat="1" ht="17.25" customHeight="1">
      <c r="A249" s="702">
        <f>'Rate Analysis'!A2587</f>
        <v>10.29</v>
      </c>
      <c r="B249" s="706" t="str">
        <f>LOOKUP(A249,'Rate Analysis'!$A$3:$A$4887,'Rate Analysis'!$B$3:$B$4887)</f>
        <v>J11(13-4C)</v>
      </c>
      <c r="C249" s="711" t="str">
        <f>LOOKUP(A249,'Rate Analysis'!$A$3:$A$4887,'Rate Analysis'!$C$3:$C$4887)</f>
        <v>One coat RED OXIDE  painting work .</v>
      </c>
      <c r="D249" s="693" t="str">
        <f>LOOKUP(A249,'Rate Analysis'!$A$3:$A$4887,'Rate Analysis'!$F$3:$F$4887)</f>
        <v>Sqm.</v>
      </c>
      <c r="E249" s="726">
        <f>LOOKUP(A249,'Rate Analysis'!$A$3:$A$4887,'Rate Analysis'!$G$3:$G$4887)</f>
        <v>81.09</v>
      </c>
      <c r="F249" s="726">
        <f>LOOKUP(A249,'Rate Analysis'!$A$3:$A$4887,'Rate Analysis'!$H$3:$H$4887)</f>
        <v>93.25</v>
      </c>
    </row>
    <row r="250" spans="1:6" s="695" customFormat="1" ht="17.25" customHeight="1">
      <c r="A250" s="702">
        <f>'Rate Analysis'!A2596</f>
        <v>10.3</v>
      </c>
      <c r="B250" s="706" t="str">
        <f>LOOKUP(A250,'Rate Analysis'!$A$3:$A$4887,'Rate Analysis'!$B$3:$B$4887)</f>
        <v>J11(13-4C)</v>
      </c>
      <c r="C250" s="711" t="str">
        <f>LOOKUP(A250,'Rate Analysis'!$A$3:$A$4887,'Rate Analysis'!$C$3:$C$4887)</f>
        <v>Two coat RED OXIDE  painting work .</v>
      </c>
      <c r="D250" s="693" t="str">
        <f>LOOKUP(A250,'Rate Analysis'!$A$3:$A$4887,'Rate Analysis'!$F$3:$F$4887)</f>
        <v>Sqm.</v>
      </c>
      <c r="E250" s="726">
        <f>LOOKUP(A250,'Rate Analysis'!$A$3:$A$4887,'Rate Analysis'!$G$3:$G$4887)</f>
        <v>146.65</v>
      </c>
      <c r="F250" s="726">
        <f>LOOKUP(A250,'Rate Analysis'!$A$3:$A$4887,'Rate Analysis'!$H$3:$H$4887)</f>
        <v>168.65</v>
      </c>
    </row>
    <row r="251" spans="1:6" s="695" customFormat="1" ht="31.2">
      <c r="A251" s="702">
        <f>'Rate Analysis'!A2606</f>
        <v>10.31</v>
      </c>
      <c r="B251" s="706" t="str">
        <f>LOOKUP(A251,'Rate Analysis'!$A$3:$A$4887,'Rate Analysis'!$B$3:$B$4887)</f>
        <v>J12(13-12A)</v>
      </c>
      <c r="C251" s="711" t="str">
        <f>LOOKUP(A251,'Rate Analysis'!$A$3:$A$4887,'Rate Analysis'!$C$3:$C$4887)</f>
        <v>One coat water proof cement paint painting work in plastered surface</v>
      </c>
      <c r="D251" s="693" t="str">
        <f>LOOKUP(A251,'Rate Analysis'!$A$3:$A$4887,'Rate Analysis'!$F$3:$F$4887)</f>
        <v>Sqm.</v>
      </c>
      <c r="E251" s="726">
        <f>LOOKUP(A251,'Rate Analysis'!$A$3:$A$4887,'Rate Analysis'!$G$3:$G$4887)</f>
        <v>105.45</v>
      </c>
      <c r="F251" s="726">
        <f>LOOKUP(A251,'Rate Analysis'!$A$3:$A$4887,'Rate Analysis'!$H$3:$H$4887)</f>
        <v>121.26</v>
      </c>
    </row>
    <row r="252" spans="1:6" s="695" customFormat="1" ht="31.2">
      <c r="A252" s="702">
        <f>'Rate Analysis'!A2616</f>
        <v>10.32</v>
      </c>
      <c r="B252" s="706" t="str">
        <f>LOOKUP(A252,'Rate Analysis'!$A$3:$A$4887,'Rate Analysis'!$B$3:$B$4887)</f>
        <v>J12(13-12AB)</v>
      </c>
      <c r="C252" s="711" t="str">
        <f>LOOKUP(A252,'Rate Analysis'!$A$3:$A$4887,'Rate Analysis'!$C$3:$C$4887)</f>
        <v>Two coat water proof cement  paint painting work in plastered surface</v>
      </c>
      <c r="D252" s="693" t="str">
        <f>LOOKUP(A252,'Rate Analysis'!$A$3:$A$4887,'Rate Analysis'!$F$3:$F$4887)</f>
        <v>Sqm.</v>
      </c>
      <c r="E252" s="726">
        <f>LOOKUP(A252,'Rate Analysis'!$A$3:$A$4887,'Rate Analysis'!$G$3:$G$4887)</f>
        <v>189.55</v>
      </c>
      <c r="F252" s="726">
        <f>LOOKUP(A252,'Rate Analysis'!$A$3:$A$4887,'Rate Analysis'!$H$3:$H$4887)</f>
        <v>217.98</v>
      </c>
    </row>
    <row r="253" spans="1:6" s="695" customFormat="1" ht="31.2">
      <c r="A253" s="702">
        <f>'Rate Analysis'!A2624</f>
        <v>10.33</v>
      </c>
      <c r="B253" s="706" t="str">
        <f>LOOKUP(A253,'Rate Analysis'!$A$3:$A$4887,'Rate Analysis'!$B$3:$B$4887)</f>
        <v>J15(5-5)</v>
      </c>
      <c r="C253" s="711" t="str">
        <f>LOOKUP(A253,'Rate Analysis'!$A$3:$A$4887,'Rate Analysis'!$C$3:$C$4887)</f>
        <v xml:space="preserve"> ENAMEL paint painting work over linceed oil in face brick wall </v>
      </c>
      <c r="D253" s="693" t="str">
        <f>LOOKUP(A253,'Rate Analysis'!$A$3:$A$4887,'Rate Analysis'!$F$3:$F$4887)</f>
        <v>Sqm.</v>
      </c>
      <c r="E253" s="726">
        <f>LOOKUP(A253,'Rate Analysis'!$A$3:$A$4887,'Rate Analysis'!$G$3:$G$4887)</f>
        <v>183.45</v>
      </c>
      <c r="F253" s="726">
        <f>LOOKUP(A253,'Rate Analysis'!$A$3:$A$4887,'Rate Analysis'!$H$3:$H$4887)</f>
        <v>210.97</v>
      </c>
    </row>
    <row r="254" spans="1:6" s="695" customFormat="1" ht="31.2">
      <c r="A254" s="702">
        <f>'Rate Analysis'!A2634</f>
        <v>10.34</v>
      </c>
      <c r="B254" s="706" t="str">
        <f>LOOKUP(A254,'Rate Analysis'!$A$3:$A$4887,'Rate Analysis'!$B$3:$B$4887)</f>
        <v>J16(13-5B)</v>
      </c>
      <c r="C254" s="711" t="str">
        <f>LOOKUP(A254,'Rate Analysis'!$A$3:$A$4887,'Rate Analysis'!$C$3:$C$4887)</f>
        <v>One coat enamel painting work without primer coat in wooden surface.</v>
      </c>
      <c r="D254" s="693" t="str">
        <f>LOOKUP(A254,'Rate Analysis'!$A$3:$A$4887,'Rate Analysis'!$F$3:$F$4887)</f>
        <v>Sqm.</v>
      </c>
      <c r="E254" s="726">
        <f>LOOKUP(A254,'Rate Analysis'!$A$3:$A$4887,'Rate Analysis'!$G$3:$G$4887)</f>
        <v>113.4</v>
      </c>
      <c r="F254" s="726">
        <f>LOOKUP(A254,'Rate Analysis'!$A$3:$A$4887,'Rate Analysis'!$H$3:$H$4887)</f>
        <v>130.41</v>
      </c>
    </row>
    <row r="255" spans="1:6" s="695" customFormat="1" ht="31.2">
      <c r="A255" s="702">
        <f>'Rate Analysis'!A2643</f>
        <v>10.35</v>
      </c>
      <c r="B255" s="706" t="str">
        <f>LOOKUP(A255,'Rate Analysis'!$A$3:$A$4887,'Rate Analysis'!$B$3:$B$4887)</f>
        <v>J17(13-5BC)</v>
      </c>
      <c r="C255" s="711" t="str">
        <f>LOOKUP(A255,'Rate Analysis'!$A$3:$A$4887,'Rate Analysis'!$C$3:$C$4887)</f>
        <v>Two coat enamel painting work without primer coat in wooden surface.</v>
      </c>
      <c r="D255" s="693" t="str">
        <f>LOOKUP(A255,'Rate Analysis'!$A$3:$A$4887,'Rate Analysis'!$F$3:$F$4887)</f>
        <v>Sqm.</v>
      </c>
      <c r="E255" s="726">
        <f>LOOKUP(A255,'Rate Analysis'!$A$3:$A$4887,'Rate Analysis'!$G$3:$G$4887)</f>
        <v>215.5</v>
      </c>
      <c r="F255" s="726">
        <f>LOOKUP(A255,'Rate Analysis'!$A$3:$A$4887,'Rate Analysis'!$H$3:$H$4887)</f>
        <v>247.82</v>
      </c>
    </row>
    <row r="256" spans="1:6" s="695" customFormat="1" ht="19.5" customHeight="1">
      <c r="A256" s="702">
        <f>'Rate Analysis'!A2653</f>
        <v>10.36</v>
      </c>
      <c r="B256" s="706" t="str">
        <f>LOOKUP(A256,'Rate Analysis'!$A$3:$A$4887,'Rate Analysis'!$B$3:$B$4887)</f>
        <v>J18(13-5B)</v>
      </c>
      <c r="C256" s="711" t="str">
        <f>LOOKUP(A256,'Rate Analysis'!$A$3:$A$4887,'Rate Analysis'!$C$3:$C$4887)</f>
        <v>One coat plastic emulsion painting work without primer coat.</v>
      </c>
      <c r="D256" s="693" t="str">
        <f>LOOKUP(A256,'Rate Analysis'!$A$3:$A$4887,'Rate Analysis'!$F$3:$F$4887)</f>
        <v>Sqm.</v>
      </c>
      <c r="E256" s="726">
        <f>LOOKUP(A256,'Rate Analysis'!$A$3:$A$4887,'Rate Analysis'!$G$3:$G$4887)</f>
        <v>140.4</v>
      </c>
      <c r="F256" s="726">
        <f>LOOKUP(A256,'Rate Analysis'!$A$3:$A$4887,'Rate Analysis'!$H$3:$H$4887)</f>
        <v>161.46</v>
      </c>
    </row>
    <row r="257" spans="1:6" s="695" customFormat="1" ht="19.5" customHeight="1">
      <c r="A257" s="702">
        <f>'Rate Analysis'!A2661</f>
        <v>10.37</v>
      </c>
      <c r="B257" s="706" t="str">
        <f>LOOKUP(A257,'Rate Analysis'!$A$3:$A$4887,'Rate Analysis'!$B$3:$B$4887)</f>
        <v>J19(13-5BC)</v>
      </c>
      <c r="C257" s="711" t="str">
        <f>LOOKUP(A257,'Rate Analysis'!$A$3:$A$4887,'Rate Analysis'!$C$3:$C$4887)</f>
        <v>Two coat plastic emulsion painting work without primer coat.</v>
      </c>
      <c r="D257" s="693" t="str">
        <f>LOOKUP(A257,'Rate Analysis'!$A$3:$A$4887,'Rate Analysis'!$F$3:$F$4887)</f>
        <v>Sqm.</v>
      </c>
      <c r="E257" s="726">
        <f>LOOKUP(A257,'Rate Analysis'!$A$3:$A$4887,'Rate Analysis'!$G$3:$G$4887)</f>
        <v>263.5</v>
      </c>
      <c r="F257" s="726">
        <f>LOOKUP(A257,'Rate Analysis'!$A$3:$A$4887,'Rate Analysis'!$H$3:$H$4887)</f>
        <v>303.02</v>
      </c>
    </row>
    <row r="258" spans="1:6" s="695" customFormat="1" ht="31.2">
      <c r="A258" s="702">
        <f>'Rate Analysis'!A2669</f>
        <v>10.38</v>
      </c>
      <c r="B258" s="706" t="str">
        <f>LOOKUP(A258,'Rate Analysis'!$A$3:$A$4887,'Rate Analysis'!$B$3:$B$4887)</f>
        <v>J20(13-6)</v>
      </c>
      <c r="C258" s="711" t="str">
        <f>LOOKUP(A258,'Rate Analysis'!$A$3:$A$4887,'Rate Analysis'!$C$3:$C$4887)</f>
        <v>One coat aluminium painting work without primer coat in metal surface.</v>
      </c>
      <c r="D258" s="693" t="str">
        <f>LOOKUP(A258,'Rate Analysis'!$A$3:$A$4887,'Rate Analysis'!$F$3:$F$4887)</f>
        <v>Sqm.</v>
      </c>
      <c r="E258" s="726">
        <f>LOOKUP(A258,'Rate Analysis'!$A$3:$A$4887,'Rate Analysis'!$G$3:$G$4887)</f>
        <v>108.49</v>
      </c>
      <c r="F258" s="726">
        <f>LOOKUP(A258,'Rate Analysis'!$A$3:$A$4887,'Rate Analysis'!$H$3:$H$4887)</f>
        <v>124.77</v>
      </c>
    </row>
    <row r="259" spans="1:6" s="695" customFormat="1" ht="31.2">
      <c r="A259" s="702">
        <f>'Rate Analysis'!A2678</f>
        <v>10.39</v>
      </c>
      <c r="B259" s="706" t="str">
        <f>LOOKUP(A259,'Rate Analysis'!$A$3:$A$4887,'Rate Analysis'!$B$3:$B$4887)</f>
        <v>J21(13-6)</v>
      </c>
      <c r="C259" s="711" t="str">
        <f>LOOKUP(A259,'Rate Analysis'!$A$3:$A$4887,'Rate Analysis'!$C$3:$C$4887)</f>
        <v>Two coat aluminium painting work without primer coat in metal surface.</v>
      </c>
      <c r="D259" s="693" t="str">
        <f>LOOKUP(A259,'Rate Analysis'!$A$3:$A$4887,'Rate Analysis'!$F$3:$F$4887)</f>
        <v>Sqm.</v>
      </c>
      <c r="E259" s="726">
        <f>LOOKUP(A259,'Rate Analysis'!$A$3:$A$4887,'Rate Analysis'!$G$3:$G$4887)</f>
        <v>221.7</v>
      </c>
      <c r="F259" s="726">
        <f>LOOKUP(A259,'Rate Analysis'!$A$3:$A$4887,'Rate Analysis'!$H$3:$H$4887)</f>
        <v>254.96</v>
      </c>
    </row>
    <row r="260" spans="1:6" s="695" customFormat="1" ht="19.5" customHeight="1">
      <c r="A260" s="702">
        <f>'Rate Analysis'!A2688</f>
        <v>10.4</v>
      </c>
      <c r="B260" s="706" t="str">
        <f>LOOKUP(A260,'Rate Analysis'!$A$3:$A$4887,'Rate Analysis'!$B$3:$B$4887)</f>
        <v>J22(13-7)</v>
      </c>
      <c r="C260" s="711" t="str">
        <f>LOOKUP(A260,'Rate Analysis'!$A$3:$A$4887,'Rate Analysis'!$C$3:$C$4887)</f>
        <v>One coat RED OXIDE  painting work without primer coat</v>
      </c>
      <c r="D260" s="693" t="str">
        <f>LOOKUP(A260,'Rate Analysis'!$A$3:$A$4887,'Rate Analysis'!$F$3:$F$4887)</f>
        <v>Sqm.</v>
      </c>
      <c r="E260" s="726">
        <f>LOOKUP(A260,'Rate Analysis'!$A$3:$A$4887,'Rate Analysis'!$G$3:$G$4887)</f>
        <v>98.23</v>
      </c>
      <c r="F260" s="726">
        <f>LOOKUP(A260,'Rate Analysis'!$A$3:$A$4887,'Rate Analysis'!$H$3:$H$4887)</f>
        <v>112.97</v>
      </c>
    </row>
    <row r="261" spans="1:6" s="695" customFormat="1" ht="19.5" customHeight="1">
      <c r="A261" s="702">
        <f>'Rate Analysis'!A2697</f>
        <v>10.41</v>
      </c>
      <c r="B261" s="706" t="str">
        <f>LOOKUP(A261,'Rate Analysis'!$A$3:$A$4887,'Rate Analysis'!$B$3:$B$4887)</f>
        <v>J23(13-7)</v>
      </c>
      <c r="C261" s="711" t="str">
        <f>LOOKUP(A261,'Rate Analysis'!$A$3:$A$4887,'Rate Analysis'!$C$3:$C$4887)</f>
        <v>Two coat RED OXIDE  painting work without primer coat</v>
      </c>
      <c r="D261" s="693" t="str">
        <f>LOOKUP(A261,'Rate Analysis'!$A$3:$A$4887,'Rate Analysis'!$F$3:$F$4887)</f>
        <v>Sqm.</v>
      </c>
      <c r="E261" s="726">
        <f>LOOKUP(A261,'Rate Analysis'!$A$3:$A$4887,'Rate Analysis'!$G$3:$G$4887)</f>
        <v>196.59</v>
      </c>
      <c r="F261" s="726">
        <f>LOOKUP(A261,'Rate Analysis'!$A$3:$A$4887,'Rate Analysis'!$H$3:$H$4887)</f>
        <v>226.07</v>
      </c>
    </row>
    <row r="262" spans="1:6" s="695" customFormat="1" ht="31.2">
      <c r="A262" s="702">
        <f>'Rate Analysis'!A2706</f>
        <v>10.44</v>
      </c>
      <c r="B262" s="706" t="str">
        <f>LOOKUP(A262,'Rate Analysis'!$A$3:$A$4887,'Rate Analysis'!$B$3:$B$4887)</f>
        <v>J26</v>
      </c>
      <c r="C262" s="711" t="str">
        <f>LOOKUP(A262,'Rate Analysis'!$A$3:$A$4887,'Rate Analysis'!$C$3:$C$4887)</f>
        <v>Two coat washable distemper painting work over primer coat.</v>
      </c>
      <c r="D262" s="693" t="str">
        <f>LOOKUP(A262,'Rate Analysis'!$A$3:$A$4887,'Rate Analysis'!$F$3:$F$4887)</f>
        <v>Sqm.</v>
      </c>
      <c r="E262" s="726">
        <f>LOOKUP(A262,'Rate Analysis'!$A$3:$A$4887,'Rate Analysis'!$G$3:$G$4887)</f>
        <v>169.1</v>
      </c>
      <c r="F262" s="726">
        <f>LOOKUP(A262,'Rate Analysis'!$A$3:$A$4887,'Rate Analysis'!$H$3:$H$4887)</f>
        <v>194.46</v>
      </c>
    </row>
    <row r="263" spans="1:6" s="695" customFormat="1">
      <c r="A263" s="722"/>
      <c r="B263" s="698"/>
      <c r="C263" s="699"/>
      <c r="D263" s="700"/>
      <c r="E263" s="734"/>
      <c r="F263" s="734"/>
    </row>
    <row r="264" spans="1:6" s="437" customFormat="1">
      <c r="B264" s="438"/>
      <c r="C264" s="439" t="s">
        <v>492</v>
      </c>
      <c r="D264" s="440"/>
      <c r="E264" s="441"/>
      <c r="F264" s="441"/>
    </row>
    <row r="265" spans="1:6" s="695" customFormat="1">
      <c r="B265" s="698"/>
      <c r="C265" s="700"/>
      <c r="D265" s="700"/>
      <c r="E265" s="701"/>
      <c r="F265" s="701"/>
    </row>
    <row r="266" spans="1:6" s="695" customFormat="1" ht="31.2">
      <c r="A266" s="702">
        <f>'Rate Analysis'!A2717</f>
        <v>11.01</v>
      </c>
      <c r="B266" s="706" t="str">
        <f>LOOKUP(A266,'Rate Analysis'!$A$3:$A$4887,'Rate Analysis'!$B$3:$B$4887)</f>
        <v>K1(18-7)</v>
      </c>
      <c r="C266" s="692" t="str">
        <f>LOOKUP(A266,'Rate Analysis'!$A$3:$A$4887,'Rate Analysis'!$C$3:$C$4887)</f>
        <v xml:space="preserve">20 mm thick D.P.C. work in cement sand mortar in 1:2 with W.P.Compound.  </v>
      </c>
      <c r="D266" s="693" t="str">
        <f>LOOKUP(A266,'Rate Analysis'!$A$3:$A$4887,'Rate Analysis'!$F$3:$F$4887)</f>
        <v>Sqm.</v>
      </c>
      <c r="E266" s="726">
        <f>LOOKUP(A266,'Rate Analysis'!$A$3:$A$4887,'Rate Analysis'!$G$3:$G$4887)</f>
        <v>412.5</v>
      </c>
      <c r="F266" s="726">
        <f>LOOKUP(A266,'Rate Analysis'!$A$3:$A$4887,'Rate Analysis'!$H$3:$H$4887)</f>
        <v>474.37</v>
      </c>
    </row>
    <row r="267" spans="1:6" s="695" customFormat="1" ht="31.2">
      <c r="A267" s="702">
        <f>'Rate Analysis'!A2728</f>
        <v>11.02</v>
      </c>
      <c r="B267" s="706" t="str">
        <f>LOOKUP(A267,'Rate Analysis'!$A$3:$A$4887,'Rate Analysis'!$B$3:$B$4887)</f>
        <v>K2(18-8)</v>
      </c>
      <c r="C267" s="692" t="str">
        <f>LOOKUP(A267,'Rate Analysis'!$A$3:$A$4887,'Rate Analysis'!$C$3:$C$4887)</f>
        <v xml:space="preserve">25 mm thick D.P.C. work in cement concrete in 1:1½:3 withwith W.P.Compound.  </v>
      </c>
      <c r="D267" s="693" t="str">
        <f>LOOKUP(A267,'Rate Analysis'!$A$3:$A$4887,'Rate Analysis'!$F$3:$F$4887)</f>
        <v>Sqm.</v>
      </c>
      <c r="E267" s="726">
        <f>LOOKUP(A267,'Rate Analysis'!$A$3:$A$4887,'Rate Analysis'!$G$3:$G$4887)</f>
        <v>478.1</v>
      </c>
      <c r="F267" s="726">
        <f>LOOKUP(A267,'Rate Analysis'!$A$3:$A$4887,'Rate Analysis'!$H$3:$H$4887)</f>
        <v>549.82000000000005</v>
      </c>
    </row>
    <row r="268" spans="1:6" s="695" customFormat="1" ht="31.2">
      <c r="A268" s="702">
        <f>'Rate Analysis'!A2740</f>
        <v>11.03</v>
      </c>
      <c r="B268" s="706" t="str">
        <f>LOOKUP(A268,'Rate Analysis'!$A$3:$A$4887,'Rate Analysis'!$B$3:$B$4887)</f>
        <v xml:space="preserve"> 18-9</v>
      </c>
      <c r="C268" s="692" t="str">
        <f>LOOKUP(A268,'Rate Analysis'!$A$3:$A$4887,'Rate Analysis'!$C$3:$C$4887)</f>
        <v xml:space="preserve">38 mm thick D.P.C. work in cement concrete in 1:2:4 with with W.P.Compound.  </v>
      </c>
      <c r="D268" s="693" t="str">
        <f>LOOKUP(A268,'Rate Analysis'!$A$3:$A$4887,'Rate Analysis'!$F$3:$F$4887)</f>
        <v>Sqm.</v>
      </c>
      <c r="E268" s="726">
        <f>LOOKUP(A268,'Rate Analysis'!$A$3:$A$4887,'Rate Analysis'!$G$3:$G$4887)</f>
        <v>588.13</v>
      </c>
      <c r="F268" s="726">
        <f>LOOKUP(A268,'Rate Analysis'!$A$3:$A$4887,'Rate Analysis'!$H$3:$H$4887)</f>
        <v>676.35</v>
      </c>
    </row>
    <row r="269" spans="1:6" s="695" customFormat="1" ht="21" customHeight="1">
      <c r="A269" s="702">
        <f>'Rate Analysis'!A2752</f>
        <v>11.05</v>
      </c>
      <c r="B269" s="706" t="str">
        <f>LOOKUP(A269,'Rate Analysis'!$A$3:$A$4887,'Rate Analysis'!$B$3:$B$4887)</f>
        <v>K4(18-11)</v>
      </c>
      <c r="C269" s="692" t="str">
        <f>LOOKUP(A269,'Rate Analysis'!$A$3:$A$4887,'Rate Analysis'!$C$3:$C$4887)</f>
        <v>500 gauge polythine sheet laying work</v>
      </c>
      <c r="D269" s="693" t="str">
        <f>LOOKUP(A269,'Rate Analysis'!$A$3:$A$4887,'Rate Analysis'!$F$3:$F$4887)</f>
        <v>Sqm.</v>
      </c>
      <c r="E269" s="726">
        <f>LOOKUP(A269,'Rate Analysis'!$A$3:$A$4887,'Rate Analysis'!$G$3:$G$4887)</f>
        <v>184.7</v>
      </c>
      <c r="F269" s="726">
        <f>LOOKUP(A269,'Rate Analysis'!$A$3:$A$4887,'Rate Analysis'!$H$3:$H$4887)</f>
        <v>212.4</v>
      </c>
    </row>
    <row r="270" spans="1:6" s="695" customFormat="1" ht="31.2" customHeight="1">
      <c r="A270" s="702">
        <f>'Rate Analysis'!A2761</f>
        <v>11.06</v>
      </c>
      <c r="B270" s="706" t="str">
        <f>LOOKUP(A270,'Rate Analysis'!$A$3:$A$4887,'Rate Analysis'!$B$3:$B$4887)</f>
        <v>K5(18-12A)</v>
      </c>
      <c r="C270" s="692" t="str">
        <f>LOOKUP(A270,'Rate Analysis'!$A$3:$A$4887,'Rate Analysis'!$C$3:$C$4887)</f>
        <v>One layer tarfelt laying  work.</v>
      </c>
      <c r="D270" s="693" t="str">
        <f>LOOKUP(A270,'Rate Analysis'!$A$3:$A$4887,'Rate Analysis'!$F$3:$F$4887)</f>
        <v>Sqm.</v>
      </c>
      <c r="E270" s="726">
        <f>LOOKUP(A270,'Rate Analysis'!$A$3:$A$4887,'Rate Analysis'!$G$3:$G$4887)</f>
        <v>808.06</v>
      </c>
      <c r="F270" s="726">
        <f>LOOKUP(A270,'Rate Analysis'!$A$3:$A$4887,'Rate Analysis'!$H$3:$H$4887)</f>
        <v>929.26</v>
      </c>
    </row>
    <row r="271" spans="1:6" s="695" customFormat="1" ht="31.8" customHeight="1">
      <c r="A271" s="702">
        <f>'Rate Analysis'!A2773</f>
        <v>11.07</v>
      </c>
      <c r="B271" s="706" t="str">
        <f>LOOKUP(A271,'Rate Analysis'!$A$3:$A$4887,'Rate Analysis'!$B$3:$B$4887)</f>
        <v>K5(18-12B)</v>
      </c>
      <c r="C271" s="692" t="str">
        <f>LOOKUP(A271,'Rate Analysis'!$A$3:$A$4887,'Rate Analysis'!$C$3:$C$4887)</f>
        <v>Two layer tarfelt laying  work.</v>
      </c>
      <c r="D271" s="693" t="str">
        <f>LOOKUP(A271,'Rate Analysis'!$A$3:$A$4887,'Rate Analysis'!$F$3:$F$4887)</f>
        <v>Sqm.</v>
      </c>
      <c r="E271" s="726">
        <f>LOOKUP(A271,'Rate Analysis'!$A$3:$A$4887,'Rate Analysis'!$G$3:$G$4887)</f>
        <v>1272.1400000000001</v>
      </c>
      <c r="F271" s="726">
        <f>LOOKUP(A271,'Rate Analysis'!$A$3:$A$4887,'Rate Analysis'!$H$3:$H$4887)</f>
        <v>1462.96</v>
      </c>
    </row>
    <row r="272" spans="1:6" s="695" customFormat="1" ht="40.799999999999997" customHeight="1">
      <c r="A272" s="702">
        <f>'Rate Analysis'!A2785</f>
        <v>11.08</v>
      </c>
      <c r="B272" s="706" t="str">
        <f>LOOKUP(A272,'Rate Analysis'!$A$3:$A$4887,'Rate Analysis'!$B$3:$B$4887)</f>
        <v>K6(18-13A)</v>
      </c>
      <c r="C272" s="692" t="str">
        <f>LOOKUP(A272,'Rate Analysis'!$A$3:$A$4887,'Rate Analysis'!$C$3:$C$4887)</f>
        <v>One layer damp proof grade tarfelt laying  work.</v>
      </c>
      <c r="D272" s="693" t="str">
        <f>LOOKUP(A272,'Rate Analysis'!$A$3:$A$4887,'Rate Analysis'!$F$3:$F$4887)</f>
        <v>Sqm.</v>
      </c>
      <c r="E272" s="726">
        <f>LOOKUP(A272,'Rate Analysis'!$A$3:$A$4887,'Rate Analysis'!$G$3:$G$4887)</f>
        <v>1075.9000000000001</v>
      </c>
      <c r="F272" s="726">
        <f>LOOKUP(A272,'Rate Analysis'!$A$3:$A$4887,'Rate Analysis'!$H$3:$H$4887)</f>
        <v>1237.28</v>
      </c>
    </row>
    <row r="273" spans="1:6" s="695" customFormat="1" ht="41.4" customHeight="1">
      <c r="A273" s="702">
        <f>'Rate Analysis'!A2797</f>
        <v>11.09</v>
      </c>
      <c r="B273" s="706" t="str">
        <f>LOOKUP(A273,'Rate Analysis'!$A$3:$A$4887,'Rate Analysis'!$B$3:$B$4887)</f>
        <v>K6(18-13B)</v>
      </c>
      <c r="C273" s="692" t="str">
        <f>LOOKUP(A273,'Rate Analysis'!$A$3:$A$4887,'Rate Analysis'!$C$3:$C$4887)</f>
        <v>Two layer damp proof grade tarfelt laying  work.</v>
      </c>
      <c r="D273" s="693" t="str">
        <f>LOOKUP(A273,'Rate Analysis'!$A$3:$A$4887,'Rate Analysis'!$F$3:$F$4887)</f>
        <v>Sqm.</v>
      </c>
      <c r="E273" s="726">
        <f>LOOKUP(A273,'Rate Analysis'!$A$3:$A$4887,'Rate Analysis'!$G$3:$G$4887)</f>
        <v>2055.98</v>
      </c>
      <c r="F273" s="726">
        <f>LOOKUP(A273,'Rate Analysis'!$A$3:$A$4887,'Rate Analysis'!$H$3:$H$4887)</f>
        <v>2364.37</v>
      </c>
    </row>
    <row r="274" spans="1:6" s="695" customFormat="1" ht="31.2" hidden="1">
      <c r="A274" s="702">
        <f>'Rate Analysis'!A2808</f>
        <v>11.1</v>
      </c>
      <c r="B274" s="691" t="str">
        <f>LOOKUP(A274,'Rate Analysis'!$A$3:$A$4887,'Rate Analysis'!$B$3:$B$4887)</f>
        <v>K7</v>
      </c>
      <c r="C274" s="692" t="str">
        <f>LOOKUP(A274,'Rate Analysis'!$A$3:$A$4887,'Rate Analysis'!$C$3:$C$4887)</f>
        <v>Two coat elastocret cementious elastomeric water proofing  work</v>
      </c>
      <c r="D274" s="693" t="str">
        <f>LOOKUP(A274,'Rate Analysis'!$A$3:$A$4887,'Rate Analysis'!$F$3:$F$4887)</f>
        <v>Sqm.</v>
      </c>
      <c r="E274" s="726">
        <f>LOOKUP(A274,'Rate Analysis'!$A$3:$A$4887,'Rate Analysis'!$G$3:$G$4887)</f>
        <v>0</v>
      </c>
      <c r="F274" s="726">
        <f>LOOKUP(A274,'Rate Analysis'!$A$3:$A$4887,'Rate Analysis'!$H$3:$H$4887)</f>
        <v>0</v>
      </c>
    </row>
    <row r="275" spans="1:6" s="695" customFormat="1" ht="27.75" hidden="1" customHeight="1">
      <c r="A275" s="702">
        <f>'Rate Analysis'!A2817</f>
        <v>11.11</v>
      </c>
      <c r="B275" s="691" t="str">
        <f>LOOKUP(A275,'Rate Analysis'!$A$3:$A$4887,'Rate Analysis'!$B$3:$B$4887)</f>
        <v>K8(18-14)</v>
      </c>
      <c r="C275" s="692" t="str">
        <f>LOOKUP(A275,'Rate Analysis'!$A$3:$A$4887,'Rate Analysis'!$C$3:$C$4887)</f>
        <v>One coat rain Crystallization seal paint or equivalent paint work.</v>
      </c>
      <c r="D275" s="693" t="str">
        <f>LOOKUP(A275,'Rate Analysis'!$A$3:$A$4887,'Rate Analysis'!$F$3:$F$4887)</f>
        <v>Sqm.</v>
      </c>
      <c r="E275" s="726">
        <f>LOOKUP(A275,'Rate Analysis'!$A$3:$A$4887,'Rate Analysis'!$G$3:$G$4887)</f>
        <v>0</v>
      </c>
      <c r="F275" s="726">
        <f>LOOKUP(A275,'Rate Analysis'!$A$3:$A$4887,'Rate Analysis'!$H$3:$H$4887)</f>
        <v>0</v>
      </c>
    </row>
    <row r="276" spans="1:6" s="695" customFormat="1" ht="52.5" hidden="1" customHeight="1">
      <c r="A276" s="702">
        <f>'Rate Analysis'!A2826</f>
        <v>11.12</v>
      </c>
      <c r="B276" s="691">
        <f>LOOKUP(A276,'Rate Analysis'!$A$3:$A$4887,'Rate Analysis'!$B$3:$B$4887)</f>
        <v>0</v>
      </c>
      <c r="C276" s="692" t="str">
        <f>LOOKUP(A276,'Rate Analysis'!$A$3:$A$4887,'Rate Analysis'!$C$3:$C$4887)</f>
        <v xml:space="preserve">Expansion Joint Works: -  Chipping  and laying thermocol in the hole,  masking tape on the  thermocol and plaster with mixing  Perma Bond SBR or eqv.  modified mortar up to 40 mm wide and  levelling all complete. </v>
      </c>
      <c r="D276" s="693" t="str">
        <f>LOOKUP(A276,'Rate Analysis'!$A$3:$A$4887,'Rate Analysis'!$F$3:$F$4887)</f>
        <v>Sqm.</v>
      </c>
      <c r="E276" s="726">
        <f>LOOKUP(A276,'Rate Analysis'!$A$3:$A$4887,'Rate Analysis'!$G$3:$G$4887)</f>
        <v>0</v>
      </c>
      <c r="F276" s="726">
        <f>LOOKUP(A276,'Rate Analysis'!$A$3:$A$4887,'Rate Analysis'!$H$3:$H$4887)</f>
        <v>0</v>
      </c>
    </row>
    <row r="277" spans="1:6" s="695" customFormat="1" ht="14.25" customHeight="1">
      <c r="A277" s="722"/>
      <c r="B277" s="698"/>
      <c r="C277" s="699"/>
      <c r="D277" s="700"/>
      <c r="E277" s="734"/>
      <c r="F277" s="734"/>
    </row>
    <row r="278" spans="1:6" s="689" customFormat="1">
      <c r="B278" s="686"/>
      <c r="C278" s="685" t="s">
        <v>503</v>
      </c>
      <c r="D278" s="685"/>
      <c r="E278" s="688"/>
      <c r="F278" s="688"/>
    </row>
    <row r="279" spans="1:6" s="695" customFormat="1">
      <c r="B279" s="698"/>
      <c r="C279" s="700"/>
      <c r="D279" s="700"/>
      <c r="E279" s="701"/>
      <c r="F279" s="701"/>
    </row>
    <row r="280" spans="1:6" s="695" customFormat="1" ht="31.2">
      <c r="A280" s="702">
        <f>'Rate Analysis'!A2837</f>
        <v>12.01</v>
      </c>
      <c r="B280" s="691" t="str">
        <f>LOOKUP(A280,'Rate Analysis'!$A$3:$A$4887,'Rate Analysis'!$B$3:$B$4887)</f>
        <v>L1(19-1)</v>
      </c>
      <c r="C280" s="692" t="str">
        <f>LOOKUP(A280,'Rate Analysis'!$A$3:$A$4887,'Rate Analysis'!$C$3:$C$4887)</f>
        <v>Dismantling work of mud masonry wall &amp; removing of material upto 10 mtr lead.</v>
      </c>
      <c r="D280" s="693" t="str">
        <f>LOOKUP(A280,'Rate Analysis'!$A$3:$A$4887,'Rate Analysis'!$F$3:$F$4887)</f>
        <v>Cum.</v>
      </c>
      <c r="E280" s="726">
        <f>LOOKUP(A280,'Rate Analysis'!$A$3:$A$4887,'Rate Analysis'!$G$3:$G$4887)</f>
        <v>922.2</v>
      </c>
      <c r="F280" s="726">
        <f>LOOKUP(A280,'Rate Analysis'!$A$3:$A$4887,'Rate Analysis'!$H$3:$H$4887)</f>
        <v>1060.53</v>
      </c>
    </row>
    <row r="281" spans="1:6" s="695" customFormat="1" ht="31.2">
      <c r="A281" s="702">
        <f>'Rate Analysis'!A2845</f>
        <v>12.02</v>
      </c>
      <c r="B281" s="691" t="str">
        <f>LOOKUP(A281,'Rate Analysis'!$A$3:$A$4887,'Rate Analysis'!$B$3:$B$4887)</f>
        <v>L2(19-2)</v>
      </c>
      <c r="C281" s="692" t="str">
        <f>LOOKUP(A281,'Rate Analysis'!$A$3:$A$4887,'Rate Analysis'!$C$3:$C$4887)</f>
        <v>Dismantling work of cement masonry wall &amp; removing of material upto 10 mtr lead.</v>
      </c>
      <c r="D281" s="693" t="str">
        <f>LOOKUP(A281,'Rate Analysis'!$A$3:$A$4887,'Rate Analysis'!$F$3:$F$4887)</f>
        <v>Cum.</v>
      </c>
      <c r="E281" s="726">
        <f>LOOKUP(A281,'Rate Analysis'!$A$3:$A$4887,'Rate Analysis'!$G$3:$G$4887)</f>
        <v>1844.4</v>
      </c>
      <c r="F281" s="726">
        <f>LOOKUP(A281,'Rate Analysis'!$A$3:$A$4887,'Rate Analysis'!$H$3:$H$4887)</f>
        <v>2121.06</v>
      </c>
    </row>
    <row r="282" spans="1:6" s="695" customFormat="1" ht="31.2">
      <c r="A282" s="702">
        <f>'Rate Analysis'!A2851</f>
        <v>12.03</v>
      </c>
      <c r="B282" s="691" t="str">
        <f>LOOKUP(A282,'Rate Analysis'!$A$3:$A$4887,'Rate Analysis'!$B$3:$B$4887)</f>
        <v>L3(19-3)</v>
      </c>
      <c r="C282" s="692" t="str">
        <f>LOOKUP(A282,'Rate Analysis'!$A$3:$A$4887,'Rate Analysis'!$C$3:$C$4887)</f>
        <v>Dismantling work of R.C.C. / R.B.C. &amp; removing of material upto 10 mtr lead.</v>
      </c>
      <c r="D282" s="693" t="str">
        <f>LOOKUP(A282,'Rate Analysis'!$A$3:$A$4887,'Rate Analysis'!$F$3:$F$4887)</f>
        <v>Cum.</v>
      </c>
      <c r="E282" s="726">
        <f>LOOKUP(A282,'Rate Analysis'!$A$3:$A$4887,'Rate Analysis'!$G$3:$G$4887)</f>
        <v>9570</v>
      </c>
      <c r="F282" s="726">
        <f>LOOKUP(A282,'Rate Analysis'!$A$3:$A$4887,'Rate Analysis'!$H$3:$H$4887)</f>
        <v>11005.5</v>
      </c>
    </row>
    <row r="283" spans="1:6" s="695" customFormat="1" ht="31.2">
      <c r="A283" s="702">
        <f>'Rate Analysis'!A2858</f>
        <v>12.04</v>
      </c>
      <c r="B283" s="691" t="str">
        <f>LOOKUP(A283,'Rate Analysis'!$A$3:$A$4887,'Rate Analysis'!$B$3:$B$4887)</f>
        <v>L4(19-4)</v>
      </c>
      <c r="C283" s="692" t="str">
        <f>LOOKUP(A283,'Rate Analysis'!$A$3:$A$4887,'Rate Analysis'!$C$3:$C$4887)</f>
        <v>Dismantling work of P.C.C. / L.C.C. &amp; removing of material upto 10 mtr lead.</v>
      </c>
      <c r="D283" s="693" t="str">
        <f>LOOKUP(A283,'Rate Analysis'!$A$3:$A$4887,'Rate Analysis'!$F$3:$F$4887)</f>
        <v>Cum.</v>
      </c>
      <c r="E283" s="726">
        <f>LOOKUP(A283,'Rate Analysis'!$A$3:$A$4887,'Rate Analysis'!$G$3:$G$4887)</f>
        <v>3480</v>
      </c>
      <c r="F283" s="726">
        <f>LOOKUP(A283,'Rate Analysis'!$A$3:$A$4887,'Rate Analysis'!$H$3:$H$4887)</f>
        <v>4002</v>
      </c>
    </row>
    <row r="284" spans="1:6" s="695" customFormat="1" ht="31.2">
      <c r="A284" s="702">
        <f>'Rate Analysis'!A2865</f>
        <v>12.05</v>
      </c>
      <c r="B284" s="691" t="str">
        <f>LOOKUP(A284,'Rate Analysis'!$A$3:$A$4887,'Rate Analysis'!$B$3:$B$4887)</f>
        <v>L5(19-5)</v>
      </c>
      <c r="C284" s="692" t="str">
        <f>LOOKUP(A284,'Rate Analysis'!$A$3:$A$4887,'Rate Analysis'!$C$3:$C$4887)</f>
        <v>Dismantling work of cement sand  / lime surkhee plaster &amp; removing of material upto 10 mtr lead.</v>
      </c>
      <c r="D284" s="693" t="str">
        <f>LOOKUP(A284,'Rate Analysis'!$A$3:$A$4887,'Rate Analysis'!$F$3:$F$4887)</f>
        <v>Sqm.</v>
      </c>
      <c r="E284" s="726">
        <f>LOOKUP(A284,'Rate Analysis'!$A$3:$A$4887,'Rate Analysis'!$G$3:$G$4887)</f>
        <v>93.96</v>
      </c>
      <c r="F284" s="726">
        <f>LOOKUP(A284,'Rate Analysis'!$A$3:$A$4887,'Rate Analysis'!$H$3:$H$4887)</f>
        <v>108.05</v>
      </c>
    </row>
    <row r="285" spans="1:6" s="695" customFormat="1" ht="31.2">
      <c r="A285" s="702">
        <f>'Rate Analysis'!A2872</f>
        <v>12.06</v>
      </c>
      <c r="B285" s="691" t="str">
        <f>LOOKUP(A285,'Rate Analysis'!$A$3:$A$4887,'Rate Analysis'!$B$3:$B$4887)</f>
        <v>L6(19-6)</v>
      </c>
      <c r="C285" s="692" t="str">
        <f>LOOKUP(A285,'Rate Analysis'!$A$3:$A$4887,'Rate Analysis'!$C$3:$C$4887)</f>
        <v>Dismantling work of tile roof &amp; removing of all material wood, tile upto 10 mtr lead.</v>
      </c>
      <c r="D285" s="693" t="str">
        <f>LOOKUP(A285,'Rate Analysis'!$A$3:$A$4887,'Rate Analysis'!$F$3:$F$4887)</f>
        <v>Sqm.</v>
      </c>
      <c r="E285" s="726">
        <f>LOOKUP(A285,'Rate Analysis'!$A$3:$A$4887,'Rate Analysis'!$G$3:$G$4887)</f>
        <v>135.26999999999998</v>
      </c>
      <c r="F285" s="726">
        <f>LOOKUP(A285,'Rate Analysis'!$A$3:$A$4887,'Rate Analysis'!$H$3:$H$4887)</f>
        <v>155.55999999999997</v>
      </c>
    </row>
    <row r="286" spans="1:6" s="695" customFormat="1">
      <c r="A286" s="702">
        <f>'Rate Analysis'!A2880</f>
        <v>12.07</v>
      </c>
      <c r="B286" s="691" t="str">
        <f>LOOKUP(A286,'Rate Analysis'!$A$3:$A$4887,'Rate Analysis'!$B$3:$B$4887)</f>
        <v>L7</v>
      </c>
      <c r="C286" s="692" t="str">
        <f>LOOKUP(A286,'Rate Analysis'!$A$3:$A$4887,'Rate Analysis'!$C$3:$C$4887)</f>
        <v>Wood preservative paint painting work</v>
      </c>
      <c r="D286" s="693" t="str">
        <f>LOOKUP(A286,'Rate Analysis'!$A$3:$A$4887,'Rate Analysis'!$F$3:$F$4887)</f>
        <v>Sqm.</v>
      </c>
      <c r="E286" s="726">
        <f>LOOKUP(A286,'Rate Analysis'!$A$3:$A$4887,'Rate Analysis'!$G$3:$G$4887)</f>
        <v>469.82</v>
      </c>
      <c r="F286" s="726">
        <f>LOOKUP(A286,'Rate Analysis'!$A$3:$A$4887,'Rate Analysis'!$H$3:$H$4887)</f>
        <v>540.29</v>
      </c>
    </row>
    <row r="287" spans="1:6" s="695" customFormat="1" ht="31.2">
      <c r="A287" s="702">
        <f>'Rate Analysis'!A2889</f>
        <v>12.08</v>
      </c>
      <c r="B287" s="691" t="str">
        <f>LOOKUP(A287,'Rate Analysis'!$A$3:$A$4887,'Rate Analysis'!$B$3:$B$4887)</f>
        <v>L11</v>
      </c>
      <c r="C287" s="692" t="str">
        <f>LOOKUP(A287,'Rate Analysis'!$A$3:$A$4887,'Rate Analysis'!$C$3:$C$4887)</f>
        <v>Clearance work of old existing marble floor with Oxalic acid &amp; carborundum stone</v>
      </c>
      <c r="D287" s="693" t="str">
        <f>LOOKUP(A287,'Rate Analysis'!$A$3:$A$4887,'Rate Analysis'!$F$3:$F$4887)</f>
        <v>Sqm..</v>
      </c>
      <c r="E287" s="726">
        <f>LOOKUP(A287,'Rate Analysis'!$A$3:$A$4887,'Rate Analysis'!$G$3:$G$4887)</f>
        <v>322.55</v>
      </c>
      <c r="F287" s="726">
        <f>LOOKUP(A287,'Rate Analysis'!$A$3:$A$4887,'Rate Analysis'!$H$3:$H$4887)</f>
        <v>370.94</v>
      </c>
    </row>
    <row r="288" spans="1:6" s="695" customFormat="1" ht="31.2">
      <c r="A288" s="702">
        <f>'Rate Analysis'!A2898</f>
        <v>12.09</v>
      </c>
      <c r="B288" s="691" t="str">
        <f>LOOKUP(A288,'Rate Analysis'!$A$3:$A$4887,'Rate Analysis'!$B$3:$B$4887)</f>
        <v>L12</v>
      </c>
      <c r="C288" s="692" t="str">
        <f>LOOKUP(A288,'Rate Analysis'!$A$3:$A$4887,'Rate Analysis'!$C$3:$C$4887)</f>
        <v xml:space="preserve">Clearance work of old existing parket &amp; polishing work </v>
      </c>
      <c r="D288" s="693" t="str">
        <f>LOOKUP(A288,'Rate Analysis'!$A$3:$A$4887,'Rate Analysis'!$F$3:$F$4887)</f>
        <v>Sqm..</v>
      </c>
      <c r="E288" s="726">
        <f>LOOKUP(A288,'Rate Analysis'!$A$3:$A$4887,'Rate Analysis'!$G$3:$G$4887)</f>
        <v>93.16</v>
      </c>
      <c r="F288" s="726">
        <f>LOOKUP(A288,'Rate Analysis'!$A$3:$A$4887,'Rate Analysis'!$H$3:$H$4887)</f>
        <v>107.13</v>
      </c>
    </row>
    <row r="289" spans="1:6" s="695" customFormat="1" ht="46.8">
      <c r="A289" s="702">
        <f>'Rate Analysis'!A2907</f>
        <v>12.1</v>
      </c>
      <c r="B289" s="691" t="str">
        <f>LOOKUP(A289,'Rate Analysis'!$A$3:$A$4887,'Rate Analysis'!$B$3:$B$4887)</f>
        <v>L13</v>
      </c>
      <c r="C289" s="692" t="str">
        <f>LOOKUP(A289,'Rate Analysis'!$A$3:$A$4887,'Rate Analysis'!$C$3:$C$4887)</f>
        <v>Clearance work of old existing mosaic floor with Oxalic acid , main polish , turpentine oil &amp; carborundum stone</v>
      </c>
      <c r="D289" s="693" t="str">
        <f>LOOKUP(A289,'Rate Analysis'!$A$3:$A$4887,'Rate Analysis'!$F$3:$F$4887)</f>
        <v>Sqm..</v>
      </c>
      <c r="E289" s="726">
        <f>LOOKUP(A289,'Rate Analysis'!$A$3:$A$4887,'Rate Analysis'!$G$3:$G$4887)</f>
        <v>340.87</v>
      </c>
      <c r="F289" s="726">
        <f>LOOKUP(A289,'Rate Analysis'!$A$3:$A$4887,'Rate Analysis'!$H$3:$H$4887)</f>
        <v>392.01</v>
      </c>
    </row>
    <row r="290" spans="1:6" s="695" customFormat="1" ht="31.2">
      <c r="A290" s="702">
        <f>'Rate Analysis'!A2918</f>
        <v>12.11</v>
      </c>
      <c r="B290" s="691" t="str">
        <f>LOOKUP(A290,'Rate Analysis'!$A$3:$A$4887,'Rate Analysis'!$B$3:$B$4887)</f>
        <v>L14(A)</v>
      </c>
      <c r="C290" s="692" t="str">
        <f>LOOKUP(A290,'Rate Analysis'!$A$3:$A$4887,'Rate Analysis'!$C$3:$C$4887)</f>
        <v xml:space="preserve">Clearance work of  brick from mud masonry wall &amp; stacking of brick for re-used </v>
      </c>
      <c r="D290" s="693" t="str">
        <f>LOOKUP(A290,'Rate Analysis'!$A$3:$A$4887,'Rate Analysis'!$F$3:$F$4887)</f>
        <v>Nos.</v>
      </c>
      <c r="E290" s="726">
        <f>LOOKUP(A290,'Rate Analysis'!$A$3:$A$4887,'Rate Analysis'!$G$3:$G$4887)</f>
        <v>3.78</v>
      </c>
      <c r="F290" s="726">
        <f>LOOKUP(A290,'Rate Analysis'!$A$3:$A$4887,'Rate Analysis'!$H$3:$H$4887)</f>
        <v>4.3499999999999996</v>
      </c>
    </row>
    <row r="291" spans="1:6" s="695" customFormat="1" ht="31.2">
      <c r="A291" s="702">
        <f>'Rate Analysis'!A2927</f>
        <v>12.12</v>
      </c>
      <c r="B291" s="691" t="str">
        <f>LOOKUP(A291,'Rate Analysis'!$A$3:$A$4887,'Rate Analysis'!$B$3:$B$4887)</f>
        <v>L14(C)</v>
      </c>
      <c r="C291" s="692" t="str">
        <f>LOOKUP(A291,'Rate Analysis'!$A$3:$A$4887,'Rate Analysis'!$C$3:$C$4887)</f>
        <v xml:space="preserve">Clearance work of  brick from cement  masonry wall &amp; stacking of brick for re-used </v>
      </c>
      <c r="D291" s="693" t="str">
        <f>LOOKUP(A291,'Rate Analysis'!$A$3:$A$4887,'Rate Analysis'!$F$3:$F$4887)</f>
        <v>Nos.</v>
      </c>
      <c r="E291" s="726">
        <f>LOOKUP(A291,'Rate Analysis'!$A$3:$A$4887,'Rate Analysis'!$G$3:$G$4887)</f>
        <v>6.22</v>
      </c>
      <c r="F291" s="726">
        <f>LOOKUP(A291,'Rate Analysis'!$A$3:$A$4887,'Rate Analysis'!$H$3:$H$4887)</f>
        <v>7.15</v>
      </c>
    </row>
    <row r="292" spans="1:6" s="695" customFormat="1" ht="31.2">
      <c r="A292" s="702">
        <f>'Rate Analysis'!A2936</f>
        <v>12.13</v>
      </c>
      <c r="B292" s="691" t="str">
        <f>LOOKUP(A292,'Rate Analysis'!$A$3:$A$4887,'Rate Analysis'!$B$3:$B$4887)</f>
        <v>L15(B)</v>
      </c>
      <c r="C292" s="692" t="str">
        <f>LOOKUP(A292,'Rate Analysis'!$A$3:$A$4887,'Rate Analysis'!$C$3:$C$4887)</f>
        <v xml:space="preserve">Clearance work of  stone from cement  masonry wall &amp; stacking of stone for re-used </v>
      </c>
      <c r="D292" s="693" t="str">
        <f>LOOKUP(A292,'Rate Analysis'!$A$3:$A$4887,'Rate Analysis'!$F$3:$F$4887)</f>
        <v>Cum.</v>
      </c>
      <c r="E292" s="726">
        <f>LOOKUP(A292,'Rate Analysis'!$A$3:$A$4887,'Rate Analysis'!$G$3:$G$4887)</f>
        <v>1327.72</v>
      </c>
      <c r="F292" s="726">
        <f>LOOKUP(A292,'Rate Analysis'!$A$3:$A$4887,'Rate Analysis'!$H$3:$H$4887)</f>
        <v>1526.8700000000001</v>
      </c>
    </row>
    <row r="293" spans="1:6" s="695" customFormat="1" ht="30" customHeight="1">
      <c r="A293" s="735" t="str">
        <f>'Rate Analysis'!A2945</f>
        <v>12.13a</v>
      </c>
      <c r="B293" s="691"/>
      <c r="C293" s="692" t="str">
        <f>'Rate Analysis'!C2945</f>
        <v xml:space="preserve">Clearance work of  stone from mud masonry wall &amp; stacking of stone for re-used </v>
      </c>
      <c r="D293" s="693" t="s">
        <v>68</v>
      </c>
      <c r="E293" s="726">
        <f>'Rate Analysis'!G2945</f>
        <v>1078.1899999999998</v>
      </c>
      <c r="F293" s="726">
        <f>'Rate Analysis'!H2945</f>
        <v>1239.9099999999999</v>
      </c>
    </row>
    <row r="294" spans="1:6" s="695" customFormat="1" ht="31.2">
      <c r="A294" s="702">
        <f>'Rate Analysis'!A2955</f>
        <v>12.14</v>
      </c>
      <c r="B294" s="691" t="str">
        <f>LOOKUP(A294,'Rate Analysis'!$A$3:$A$4887,'Rate Analysis'!$B$3:$B$4887)</f>
        <v>L19(A)</v>
      </c>
      <c r="C294" s="692" t="str">
        <f>LOOKUP(A294,'Rate Analysis'!$A$3:$A$4887,'Rate Analysis'!$C$3:$C$4887)</f>
        <v>Dismantling work of R. C. C. barbed wire fencing work with earthwork excavation filling &amp; leveling</v>
      </c>
      <c r="D294" s="693" t="str">
        <f>LOOKUP(A294,'Rate Analysis'!$A$3:$A$4887,'Rate Analysis'!$F$3:$F$4887)</f>
        <v>Sqm.</v>
      </c>
      <c r="E294" s="726">
        <f>LOOKUP(A294,'Rate Analysis'!$A$3:$A$4887,'Rate Analysis'!$G$3:$G$4887)</f>
        <v>391.5</v>
      </c>
      <c r="F294" s="726">
        <f>LOOKUP(A294,'Rate Analysis'!$A$3:$A$4887,'Rate Analysis'!$H$3:$H$4887)</f>
        <v>450.22</v>
      </c>
    </row>
    <row r="295" spans="1:6" s="695" customFormat="1" ht="31.2">
      <c r="A295" s="702">
        <f>'Rate Analysis'!A2963</f>
        <v>12.15</v>
      </c>
      <c r="B295" s="691" t="str">
        <f>LOOKUP(A295,'Rate Analysis'!$A$3:$A$4887,'Rate Analysis'!$B$3:$B$4887)</f>
        <v>L19(B)</v>
      </c>
      <c r="C295" s="692" t="str">
        <f>LOOKUP(A295,'Rate Analysis'!$A$3:$A$4887,'Rate Analysis'!$C$3:$C$4887)</f>
        <v>Dismantling work of IRON. barbed wire fencing work with earthwork excavation filling &amp; leveling</v>
      </c>
      <c r="D295" s="693" t="str">
        <f>LOOKUP(A295,'Rate Analysis'!$A$3:$A$4887,'Rate Analysis'!$F$3:$F$4887)</f>
        <v>Sqm.</v>
      </c>
      <c r="E295" s="726">
        <f>LOOKUP(A295,'Rate Analysis'!$A$3:$A$4887,'Rate Analysis'!$G$3:$G$4887)</f>
        <v>365.4</v>
      </c>
      <c r="F295" s="726">
        <f>LOOKUP(A295,'Rate Analysis'!$A$3:$A$4887,'Rate Analysis'!$H$3:$H$4887)</f>
        <v>420.21</v>
      </c>
    </row>
    <row r="296" spans="1:6" s="695" customFormat="1" ht="31.2">
      <c r="A296" s="702">
        <f>'Rate Analysis'!A2970</f>
        <v>12.16</v>
      </c>
      <c r="B296" s="691" t="str">
        <f>LOOKUP(A296,'Rate Analysis'!$A$3:$A$4887,'Rate Analysis'!$B$3:$B$4887)</f>
        <v>L19(C)</v>
      </c>
      <c r="C296" s="692" t="str">
        <f>LOOKUP(A296,'Rate Analysis'!$A$3:$A$4887,'Rate Analysis'!$C$3:$C$4887)</f>
        <v>Dismantling work of WOODEN. barbed wire fencing work with earthwork excavation filling &amp; leveling</v>
      </c>
      <c r="D296" s="693" t="str">
        <f>LOOKUP(A296,'Rate Analysis'!$A$3:$A$4887,'Rate Analysis'!$F$3:$F$4887)</f>
        <v>Sqm.</v>
      </c>
      <c r="E296" s="726">
        <f>LOOKUP(A296,'Rate Analysis'!$A$3:$A$4887,'Rate Analysis'!$G$3:$G$4887)</f>
        <v>348</v>
      </c>
      <c r="F296" s="726">
        <f>LOOKUP(A296,'Rate Analysis'!$A$3:$A$4887,'Rate Analysis'!$H$3:$H$4887)</f>
        <v>400.2</v>
      </c>
    </row>
    <row r="297" spans="1:6" s="695" customFormat="1" ht="31.2">
      <c r="A297" s="702">
        <f>'Rate Analysis'!A2978</f>
        <v>12.17</v>
      </c>
      <c r="B297" s="691" t="str">
        <f>LOOKUP(A297,'Rate Analysis'!$A$3:$A$4887,'Rate Analysis'!$B$3:$B$4887)</f>
        <v>L19(C)</v>
      </c>
      <c r="C297" s="692" t="str">
        <f>LOOKUP(A297,'Rate Analysis'!$A$3:$A$4887,'Rate Analysis'!$C$3:$C$4887)</f>
        <v>Dismantling work of M.S. bar from R.C.C./R.B.C.&amp; stacking upto 10 mtr.</v>
      </c>
      <c r="D297" s="693" t="str">
        <f>LOOKUP(A297,'Rate Analysis'!$A$3:$A$4887,'Rate Analysis'!$F$3:$F$4887)</f>
        <v>Sqm.</v>
      </c>
      <c r="E297" s="726">
        <f>LOOKUP(A297,'Rate Analysis'!$A$3:$A$4887,'Rate Analysis'!$G$3:$G$4887)</f>
        <v>1164</v>
      </c>
      <c r="F297" s="726">
        <f>LOOKUP(A297,'Rate Analysis'!$A$3:$A$4887,'Rate Analysis'!$H$3:$H$4887)</f>
        <v>1338.6</v>
      </c>
    </row>
    <row r="298" spans="1:6" s="695" customFormat="1">
      <c r="A298" s="702">
        <f>'Rate Analysis'!A2986</f>
        <v>12.18</v>
      </c>
      <c r="B298" s="691" t="str">
        <f>LOOKUP(A298,'Rate Analysis'!$A$3:$A$4887,'Rate Analysis'!$B$3:$B$4887)</f>
        <v>L21</v>
      </c>
      <c r="C298" s="692" t="str">
        <f>LOOKUP(A298,'Rate Analysis'!$A$3:$A$4887,'Rate Analysis'!$C$3:$C$4887)</f>
        <v>Dismantling work of Gabian work</v>
      </c>
      <c r="D298" s="693" t="str">
        <f>LOOKUP(A298,'Rate Analysis'!$A$3:$A$4887,'Rate Analysis'!$F$3:$F$4887)</f>
        <v>Sqm.</v>
      </c>
      <c r="E298" s="726">
        <f>LOOKUP(A298,'Rate Analysis'!$A$3:$A$4887,'Rate Analysis'!$G$3:$G$4887)</f>
        <v>1208.7</v>
      </c>
      <c r="F298" s="726">
        <f>LOOKUP(A298,'Rate Analysis'!$A$3:$A$4887,'Rate Analysis'!$H$3:$H$4887)</f>
        <v>1390</v>
      </c>
    </row>
    <row r="299" spans="1:6" s="695" customFormat="1" ht="31.2">
      <c r="A299" s="702">
        <f>'Rate Analysis'!A2994</f>
        <v>12.19</v>
      </c>
      <c r="B299" s="691" t="str">
        <f>LOOKUP(A299,'Rate Analysis'!$A$3:$A$4887,'Rate Analysis'!$B$3:$B$4887)</f>
        <v>L22</v>
      </c>
      <c r="C299" s="692" t="str">
        <f>LOOKUP(A299,'Rate Analysis'!$A$3:$A$4887,'Rate Analysis'!$C$3:$C$4887)</f>
        <v>Dismantling work of cgi sheet roof  &amp; removing of all material wood, cgi sheet upto 10 mtr lead.</v>
      </c>
      <c r="D299" s="693" t="str">
        <f>LOOKUP(A299,'Rate Analysis'!$A$3:$A$4887,'Rate Analysis'!$F$3:$F$4887)</f>
        <v>Sqm.</v>
      </c>
      <c r="E299" s="726">
        <f>LOOKUP(A299,'Rate Analysis'!$A$3:$A$4887,'Rate Analysis'!$G$3:$G$4887)</f>
        <v>67.199999999999989</v>
      </c>
      <c r="F299" s="726">
        <f>LOOKUP(A299,'Rate Analysis'!$A$3:$A$4887,'Rate Analysis'!$H$3:$H$4887)</f>
        <v>77.279999999999987</v>
      </c>
    </row>
    <row r="300" spans="1:6" s="695" customFormat="1">
      <c r="A300" s="722"/>
      <c r="B300" s="698"/>
      <c r="C300" s="699"/>
      <c r="D300" s="700"/>
      <c r="E300" s="734"/>
      <c r="F300" s="734"/>
    </row>
    <row r="301" spans="1:6" s="695" customFormat="1">
      <c r="B301" s="698"/>
      <c r="C301" s="699"/>
      <c r="D301" s="700"/>
      <c r="E301" s="701"/>
      <c r="F301" s="701"/>
    </row>
    <row r="302" spans="1:6" s="689" customFormat="1">
      <c r="B302" s="686"/>
      <c r="C302" s="685" t="s">
        <v>179</v>
      </c>
      <c r="D302" s="685"/>
      <c r="E302" s="688"/>
      <c r="F302" s="688"/>
    </row>
    <row r="303" spans="1:6" s="695" customFormat="1" ht="50.25" customHeight="1">
      <c r="A303" s="702">
        <f>'Rate Analysis'!A3004</f>
        <v>13.01</v>
      </c>
      <c r="B303" s="691" t="str">
        <f>LOOKUP(A303,'Rate Analysis'!$A$3:$A$4887,'Rate Analysis'!$B$3:$B$4887)</f>
        <v xml:space="preserve"> M1(24-1A)</v>
      </c>
      <c r="C303" s="692" t="str">
        <f>LOOKUP(A303,'Rate Analysis'!$A$3:$A$4887,'Rate Analysis'!$C$3:$C$4887)</f>
        <v>3 x 20mm Metal Grill including manufacturing, fitting, painting with Aluminium paint, sand papering all complete(15kg/sqm)</v>
      </c>
      <c r="D303" s="693" t="str">
        <f>LOOKUP(A303,'Rate Analysis'!$A$3:$A$4887,'Rate Analysis'!$F$3:$F$4887)</f>
        <v>Sqm.</v>
      </c>
      <c r="E303" s="726">
        <f>LOOKUP(A303,'Rate Analysis'!$A$3:$A$4887,'Rate Analysis'!$G$3:$G$4887)</f>
        <v>2550</v>
      </c>
      <c r="F303" s="726">
        <f>LOOKUP(A303,'Rate Analysis'!$A$3:$A$4887,'Rate Analysis'!$H$3:$H$4887)</f>
        <v>2932.5</v>
      </c>
    </row>
    <row r="304" spans="1:6" s="695" customFormat="1" ht="45.75" customHeight="1">
      <c r="A304" s="702"/>
      <c r="B304" s="691"/>
      <c r="C304" s="692" t="s">
        <v>1070</v>
      </c>
      <c r="D304" s="693" t="s">
        <v>1068</v>
      </c>
      <c r="E304" s="726">
        <f>E303/15</f>
        <v>170</v>
      </c>
      <c r="F304" s="726">
        <f>F303/15</f>
        <v>195.5</v>
      </c>
    </row>
    <row r="305" spans="1:6" s="695" customFormat="1" ht="44.25" customHeight="1">
      <c r="A305" s="702">
        <f>'Rate Analysis'!A3011</f>
        <v>13.02</v>
      </c>
      <c r="B305" s="691" t="str">
        <f>LOOKUP(A305,'Rate Analysis'!$A$3:$A$4887,'Rate Analysis'!$B$3:$B$4887)</f>
        <v xml:space="preserve"> M2(24-1B)</v>
      </c>
      <c r="C305" s="692" t="str">
        <f>LOOKUP(A305,'Rate Analysis'!$A$3:$A$4887,'Rate Analysis'!$C$3:$C$4887)</f>
        <v>4.5 x 20mm Metal Grill including manufacturing, fitting, painting with Aluminium paint, sand papering all complete(21.5 kg/sqm)</v>
      </c>
      <c r="D305" s="693" t="str">
        <f>LOOKUP(A305,'Rate Analysis'!$A$3:$A$4887,'Rate Analysis'!$F$3:$F$4887)</f>
        <v>Sqm.</v>
      </c>
      <c r="E305" s="726">
        <f>LOOKUP(A305,'Rate Analysis'!$A$3:$A$4887,'Rate Analysis'!$G$3:$G$4887)</f>
        <v>3655</v>
      </c>
      <c r="F305" s="726">
        <f>LOOKUP(A305,'Rate Analysis'!$A$3:$A$4887,'Rate Analysis'!$H$3:$H$4887)</f>
        <v>4203.25</v>
      </c>
    </row>
    <row r="306" spans="1:6" s="695" customFormat="1" ht="47.25" customHeight="1">
      <c r="A306" s="702"/>
      <c r="B306" s="691"/>
      <c r="C306" s="692" t="s">
        <v>1127</v>
      </c>
      <c r="D306" s="693" t="s">
        <v>1068</v>
      </c>
      <c r="E306" s="726">
        <f>E305/21.5</f>
        <v>170</v>
      </c>
      <c r="F306" s="726">
        <f>F305/21.5</f>
        <v>195.5</v>
      </c>
    </row>
    <row r="307" spans="1:6" s="695" customFormat="1" ht="45" customHeight="1">
      <c r="A307" s="702">
        <f>'Rate Analysis'!A3018</f>
        <v>13.03</v>
      </c>
      <c r="B307" s="691" t="str">
        <f>LOOKUP(A307,'Rate Analysis'!$A$3:$A$4887,'Rate Analysis'!$B$3:$B$4887)</f>
        <v xml:space="preserve"> M3</v>
      </c>
      <c r="C307" s="692" t="str">
        <f>LOOKUP(A307,'Rate Analysis'!$A$3:$A$4887,'Rate Analysis'!$C$3:$C$4887)</f>
        <v>12x12 mm solid core square rod M. S. grill with 4.5x20   Metal frame</v>
      </c>
      <c r="D307" s="693" t="str">
        <f>LOOKUP(A307,'Rate Analysis'!$A$3:$A$4887,'Rate Analysis'!$F$3:$F$4887)</f>
        <v>Sqm.</v>
      </c>
      <c r="E307" s="726">
        <f>LOOKUP(A307,'Rate Analysis'!$A$3:$A$4887,'Rate Analysis'!$G$3:$G$4887)</f>
        <v>3298.32</v>
      </c>
      <c r="F307" s="726">
        <f>LOOKUP(A307,'Rate Analysis'!$A$3:$A$4887,'Rate Analysis'!$H$3:$H$4887)</f>
        <v>3793.06</v>
      </c>
    </row>
    <row r="308" spans="1:6" s="695" customFormat="1" ht="49.65" customHeight="1">
      <c r="A308" s="702"/>
      <c r="B308" s="691"/>
      <c r="C308" s="692" t="s">
        <v>1122</v>
      </c>
      <c r="D308" s="693" t="s">
        <v>1068</v>
      </c>
      <c r="E308" s="726">
        <f>E307/24.32</f>
        <v>135.62171052631578</v>
      </c>
      <c r="F308" s="726">
        <f>F307/24.32</f>
        <v>155.96463815789474</v>
      </c>
    </row>
    <row r="309" spans="1:6" s="695" customFormat="1" ht="34.799999999999997" customHeight="1">
      <c r="A309" s="702">
        <f>'Rate Analysis'!A3028</f>
        <v>13.04</v>
      </c>
      <c r="B309" s="691" t="str">
        <f>LOOKUP(A309,'Rate Analysis'!$A$3:$A$4887,'Rate Analysis'!$B$3:$B$4887)</f>
        <v xml:space="preserve"> M4</v>
      </c>
      <c r="C309" s="692" t="str">
        <f>LOOKUP(A309,'Rate Analysis'!$A$3:$A$4887,'Rate Analysis'!$C$3:$C$4887)</f>
        <v>Fabricating, supplying &amp; fixing of different size M.S. angle</v>
      </c>
      <c r="D309" s="693" t="str">
        <f>LOOKUP(A309,'Rate Analysis'!$A$3:$A$4887,'Rate Analysis'!$F$3:$F$4887)</f>
        <v>Kg.</v>
      </c>
      <c r="E309" s="726">
        <f>LOOKUP(A309,'Rate Analysis'!$A$3:$A$4887,'Rate Analysis'!$G$3:$G$4887)</f>
        <v>214.68</v>
      </c>
      <c r="F309" s="726">
        <f>LOOKUP(A309,'Rate Analysis'!$A$3:$A$4887,'Rate Analysis'!$H$3:$H$4887)</f>
        <v>246.88</v>
      </c>
    </row>
    <row r="310" spans="1:6" s="695" customFormat="1" ht="36.6" customHeight="1">
      <c r="A310" s="702">
        <f>'Rate Analysis'!A3038</f>
        <v>13.05</v>
      </c>
      <c r="B310" s="691" t="str">
        <f>LOOKUP(A310,'Rate Analysis'!$A$3:$A$4887,'Rate Analysis'!$B$3:$B$4887)</f>
        <v xml:space="preserve"> M5</v>
      </c>
      <c r="C310" s="692" t="str">
        <f>LOOKUP(A310,'Rate Analysis'!$A$3:$A$4887,'Rate Analysis'!$C$3:$C$4887)</f>
        <v xml:space="preserve">Spiral stair case with 4" medium post,3*20 mm sheet ,32 mm handrail all complete </v>
      </c>
      <c r="D310" s="693" t="str">
        <f>LOOKUP(A310,'Rate Analysis'!$A$3:$A$4887,'Rate Analysis'!$F$3:$F$4887)</f>
        <v>RM</v>
      </c>
      <c r="E310" s="726">
        <f>LOOKUP(A310,'Rate Analysis'!$A$3:$A$4887,'Rate Analysis'!$G$3:$G$4887)</f>
        <v>11100</v>
      </c>
      <c r="F310" s="726">
        <f>LOOKUP(A310,'Rate Analysis'!$A$3:$A$4887,'Rate Analysis'!$H$3:$H$4887)</f>
        <v>12765</v>
      </c>
    </row>
    <row r="311" spans="1:6" s="695" customFormat="1" ht="66" customHeight="1">
      <c r="A311" s="702">
        <f>'Rate Analysis'!A3045</f>
        <v>13.06</v>
      </c>
      <c r="B311" s="691" t="str">
        <f>LOOKUP(A311,'Rate Analysis'!$A$3:$A$4887,'Rate Analysis'!$B$3:$B$4887)</f>
        <v xml:space="preserve"> M6(24-2)</v>
      </c>
      <c r="C311" s="692" t="str">
        <f>LOOKUP(A311,'Rate Analysis'!$A$3:$A$4887,'Rate Analysis'!$C$3:$C$4887)</f>
        <v>Providing &amp;  fixing MS folded sheet  rolling shutters with iron clamps, spring and axle of good quality finish with one coat red- oxide paint on shutter and oiling on spring and axle.</v>
      </c>
      <c r="D311" s="693" t="str">
        <f>LOOKUP(A311,'Rate Analysis'!$A$3:$A$4887,'Rate Analysis'!$F$3:$F$4887)</f>
        <v>Sqm.</v>
      </c>
      <c r="E311" s="726">
        <f>LOOKUP(A311,'Rate Analysis'!$A$3:$A$4887,'Rate Analysis'!$G$3:$G$4887)</f>
        <v>7400</v>
      </c>
      <c r="F311" s="726">
        <f>LOOKUP(A311,'Rate Analysis'!$A$3:$A$4887,'Rate Analysis'!$H$3:$H$4887)</f>
        <v>8510</v>
      </c>
    </row>
    <row r="312" spans="1:6" s="695" customFormat="1" ht="64.5" customHeight="1">
      <c r="A312" s="702">
        <f>'Rate Analysis'!A3052</f>
        <v>13.07</v>
      </c>
      <c r="B312" s="691" t="str">
        <f>LOOKUP(A312,'Rate Analysis'!$A$3:$A$4887,'Rate Analysis'!$B$3:$B$4887)</f>
        <v xml:space="preserve"> M7(24-4)</v>
      </c>
      <c r="C312" s="692" t="str">
        <f>LOOKUP(A312,'Rate Analysis'!$A$3:$A$4887,'Rate Analysis'!$C$3:$C$4887)</f>
        <v xml:space="preserve">Collapsible  shutter including manufacturing, welding, supply of material, painting and fixing </v>
      </c>
      <c r="D312" s="693" t="str">
        <f>LOOKUP(A312,'Rate Analysis'!$A$3:$A$4887,'Rate Analysis'!$F$3:$F$4887)</f>
        <v>Sqm.</v>
      </c>
      <c r="E312" s="726">
        <f>LOOKUP(A312,'Rate Analysis'!$A$3:$A$4887,'Rate Analysis'!$G$3:$G$4887)</f>
        <v>7400</v>
      </c>
      <c r="F312" s="726">
        <f>LOOKUP(A312,'Rate Analysis'!$A$3:$A$4887,'Rate Analysis'!$H$3:$H$4887)</f>
        <v>8510</v>
      </c>
    </row>
    <row r="313" spans="1:6" s="695" customFormat="1" ht="93.6">
      <c r="A313" s="702">
        <f>'Rate Analysis'!A3059</f>
        <v>13.08</v>
      </c>
      <c r="B313" s="691" t="str">
        <f>LOOKUP(A313,'Rate Analysis'!$A$3:$A$4887,'Rate Analysis'!$B$3:$B$4887)</f>
        <v xml:space="preserve"> M8(24-3)</v>
      </c>
      <c r="C313" s="692" t="str">
        <f>LOOKUP(A313,'Rate Analysis'!$A$3:$A$4887,'Rate Analysis'!$C$3:$C$4887)</f>
        <v>Providing and fixing MS gate as per drawing with 50 mm X 50 mm X 3 mm MS angle, 25 mm X 25 mm MS square pipe, 16 gauge MS flat sheet, 12 mm X 3 mm  MS flat , ready made pivot hing welded to 175 mm long angle hold fast embedded in concrete and iron locking arrangement over one coat primer .</v>
      </c>
      <c r="D313" s="693" t="str">
        <f>LOOKUP(A313,'Rate Analysis'!$A$3:$A$4887,'Rate Analysis'!$F$3:$F$4887)</f>
        <v>Sqm.</v>
      </c>
      <c r="E313" s="726">
        <f>LOOKUP(A313,'Rate Analysis'!$A$3:$A$4887,'Rate Analysis'!$G$3:$G$4887)</f>
        <v>6975</v>
      </c>
      <c r="F313" s="726">
        <f>LOOKUP(A313,'Rate Analysis'!$A$3:$A$4887,'Rate Analysis'!$H$3:$H$4887)</f>
        <v>8021.25</v>
      </c>
    </row>
    <row r="314" spans="1:6" s="695" customFormat="1" ht="78">
      <c r="A314" s="702">
        <f>'Rate Analysis'!A3067</f>
        <v>13.09</v>
      </c>
      <c r="B314" s="691" t="str">
        <f>LOOKUP(A314,'Rate Analysis'!$A$3:$A$4887,'Rate Analysis'!$B$3:$B$4887)</f>
        <v xml:space="preserve"> M8(24-3)</v>
      </c>
      <c r="C314" s="692" t="str">
        <f>LOOKUP(A314,'Rate Analysis'!$A$3:$A$4887,'Rate Analysis'!$C$3:$C$4887)</f>
        <v>Providing and fixing MS gate as per drawing with 50 mm X 50 mm X 3 mm MS angle, 25 mm X 25 mm MS square pipe,  ready made pivot hing welded to 175 mm long angle hold fast embedded in concrete and iron locking arrangement over one coat primer.</v>
      </c>
      <c r="D314" s="693" t="str">
        <f>LOOKUP(A314,'Rate Analysis'!$A$3:$A$4887,'Rate Analysis'!$F$3:$F$4887)</f>
        <v>Sqm.</v>
      </c>
      <c r="E314" s="726">
        <f>LOOKUP(A314,'Rate Analysis'!$A$3:$A$4887,'Rate Analysis'!$G$3:$G$4887)</f>
        <v>7900</v>
      </c>
      <c r="F314" s="726">
        <f>LOOKUP(A314,'Rate Analysis'!$A$3:$A$4887,'Rate Analysis'!$H$3:$H$4887)</f>
        <v>9085</v>
      </c>
    </row>
    <row r="315" spans="1:6" s="695" customFormat="1" ht="31.2">
      <c r="A315" s="702">
        <f>'Rate Analysis'!A3076</f>
        <v>13.1</v>
      </c>
      <c r="B315" s="691" t="str">
        <f>LOOKUP(A315,'Rate Analysis'!$A$3:$A$4887,'Rate Analysis'!$B$3:$B$4887)</f>
        <v xml:space="preserve"> M9(24-6)</v>
      </c>
      <c r="C315" s="692" t="str">
        <f>LOOKUP(A315,'Rate Analysis'!$A$3:$A$4887,'Rate Analysis'!$C$3:$C$4887)</f>
        <v>Supplying and fixing of Barbed wire 14 gauge including hooks, nails etc</v>
      </c>
      <c r="D315" s="693" t="str">
        <f>LOOKUP(A315,'Rate Analysis'!$A$3:$A$4887,'Rate Analysis'!$F$3:$F$4887)</f>
        <v>Rmtr.</v>
      </c>
      <c r="E315" s="726">
        <f>LOOKUP(A315,'Rate Analysis'!$A$3:$A$4887,'Rate Analysis'!$G$3:$G$4887)</f>
        <v>81.11</v>
      </c>
      <c r="F315" s="726">
        <f>LOOKUP(A315,'Rate Analysis'!$A$3:$A$4887,'Rate Analysis'!$H$3:$H$4887)</f>
        <v>93.28</v>
      </c>
    </row>
    <row r="316" spans="1:6" s="695" customFormat="1" ht="46.8">
      <c r="A316" s="702">
        <f>'Rate Analysis'!A3086</f>
        <v>13.11</v>
      </c>
      <c r="B316" s="691" t="str">
        <f>LOOKUP(A316,'Rate Analysis'!$A$3:$A$4887,'Rate Analysis'!$B$3:$B$4887)</f>
        <v xml:space="preserve"> M10(24-7)</v>
      </c>
      <c r="C316" s="692" t="str">
        <f>LOOKUP(A316,'Rate Analysis'!$A$3:$A$4887,'Rate Analysis'!$C$3:$C$4887)</f>
        <v>Supplying and fixing of Barbed wire 12 gauge including hooks, nails etc 5 H+2D with 75x100 mm sal wood 2100 mm long .</v>
      </c>
      <c r="D316" s="693" t="str">
        <f>LOOKUP(A316,'Rate Analysis'!$A$3:$A$4887,'Rate Analysis'!$F$3:$F$4887)</f>
        <v>Rmtr.</v>
      </c>
      <c r="E316" s="726">
        <f>LOOKUP(A316,'Rate Analysis'!$A$3:$A$4887,'Rate Analysis'!$G$3:$G$4887)</f>
        <v>1596.97</v>
      </c>
      <c r="F316" s="726">
        <f>LOOKUP(A316,'Rate Analysis'!$A$3:$A$4887,'Rate Analysis'!$H$3:$H$4887)</f>
        <v>1836.51</v>
      </c>
    </row>
    <row r="317" spans="1:6" s="695" customFormat="1" ht="31.2">
      <c r="A317" s="702">
        <f>'Rate Analysis'!A3099</f>
        <v>13.12</v>
      </c>
      <c r="B317" s="691" t="str">
        <f>LOOKUP(A317,'Rate Analysis'!$A$3:$A$4887,'Rate Analysis'!$B$3:$B$4887)</f>
        <v>M11</v>
      </c>
      <c r="C317" s="692" t="str">
        <f>LOOKUP(A317,'Rate Analysis'!$A$3:$A$4887,'Rate Analysis'!$C$3:$C$4887)</f>
        <v>Fabricating, supplying &amp; fixing of different size M.S. black pipe Truss with metal primer</v>
      </c>
      <c r="D317" s="693" t="str">
        <f>LOOKUP(A317,'Rate Analysis'!$A$3:$A$4887,'Rate Analysis'!$F$3:$F$4887)</f>
        <v>Kg.</v>
      </c>
      <c r="E317" s="726">
        <f>LOOKUP(A317,'Rate Analysis'!$A$3:$A$4887,'Rate Analysis'!$G$3:$G$4887)</f>
        <v>224.68</v>
      </c>
      <c r="F317" s="726">
        <f>LOOKUP(A317,'Rate Analysis'!$A$3:$A$4887,'Rate Analysis'!$H$3:$H$4887)</f>
        <v>258.38</v>
      </c>
    </row>
    <row r="318" spans="1:6" s="695" customFormat="1" ht="78" hidden="1">
      <c r="A318" s="702">
        <f>'Rate Analysis'!A3110</f>
        <v>13.13</v>
      </c>
      <c r="B318" s="691" t="str">
        <f>LOOKUP(A318,'Rate Analysis'!$A$3:$A$4887,'Rate Analysis'!$B$3:$B$4887)</f>
        <v>M12</v>
      </c>
      <c r="C318" s="692" t="str">
        <f>LOOKUP(A318,'Rate Analysis'!$A$3:$A$4887,'Rate Analysis'!$C$3:$C$4887)</f>
        <v>Supplying &amp; fixing work of 50 mm Ø MS black pipe @ 2.0 mtr with  10 S.W.G.G. I. Chain Link 2"x2" mesh size fixing in 4x20x20 mm &amp; 4x25x25 mm ms angle  frame &amp; top 3x20 mm MS  grill 15 cm height with primer coat..</v>
      </c>
      <c r="D318" s="693" t="str">
        <f>LOOKUP(A318,'Rate Analysis'!$A$3:$A$4887,'Rate Analysis'!$F$3:$F$4887)</f>
        <v>Sqm.</v>
      </c>
      <c r="E318" s="727" t="e">
        <f>LOOKUP(A318,'Rate Analysis'!$A$3:$A$4887,'Rate Analysis'!$G$3:$G$4887)</f>
        <v>#VALUE!</v>
      </c>
      <c r="F318" s="727" t="e">
        <f>LOOKUP(A318,'Rate Analysis'!$A$3:$A$4887,'Rate Analysis'!$H$3:$H$4887)</f>
        <v>#VALUE!</v>
      </c>
    </row>
    <row r="319" spans="1:6" s="695" customFormat="1" ht="62.4">
      <c r="A319" s="702">
        <f>'Rate Analysis'!A3125</f>
        <v>13.14</v>
      </c>
      <c r="B319" s="691" t="str">
        <f>LOOKUP(A319,'Rate Analysis'!$A$3:$A$4887,'Rate Analysis'!$B$3:$B$4887)</f>
        <v>M13</v>
      </c>
      <c r="C319" s="692" t="str">
        <f>LOOKUP(A319,'Rate Analysis'!$A$3:$A$4887,'Rate Analysis'!$C$3:$C$4887)</f>
        <v>Supplying &amp; fixing work of 50 mm Ø MS black pipe @ 2.0 mtr with  7 mm Ø TMT bar mesh 62x62 mm size 4x25x25 mm ms angle frame &amp; top 3x20 mm MS  grill 15 cm height with primer coat..</v>
      </c>
      <c r="D319" s="693" t="str">
        <f>LOOKUP(A319,'Rate Analysis'!$A$3:$A$4887,'Rate Analysis'!$F$3:$F$4887)</f>
        <v>Sqm.</v>
      </c>
      <c r="E319" s="726">
        <f>LOOKUP(A319,'Rate Analysis'!$A$3:$A$4887,'Rate Analysis'!$G$3:$G$4887)</f>
        <v>3349.53</v>
      </c>
      <c r="F319" s="726">
        <f>LOOKUP(A319,'Rate Analysis'!$A$3:$A$4887,'Rate Analysis'!$H$3:$H$4887)</f>
        <v>3851.96</v>
      </c>
    </row>
    <row r="320" spans="1:6" s="695" customFormat="1" ht="38.4" customHeight="1">
      <c r="A320" s="702">
        <f>'Rate Analysis'!A3139</f>
        <v>13.15</v>
      </c>
      <c r="B320" s="691" t="str">
        <f>LOOKUP(A320,'Rate Analysis'!$A$3:$A$4887,'Rate Analysis'!$B$3:$B$4887)</f>
        <v>M14</v>
      </c>
      <c r="C320" s="692" t="str">
        <f>LOOKUP(A320,'Rate Analysis'!$A$3:$A$4887,'Rate Analysis'!$C$3:$C$4887)</f>
        <v>900 mm height stainless steel staircase railing work</v>
      </c>
      <c r="D320" s="693" t="s">
        <v>113</v>
      </c>
      <c r="E320" s="726">
        <f>LOOKUP(A320,'Rate Analysis'!$A$3:$A$4887,'Rate Analysis'!$G$3:$G$4887)</f>
        <v>5248</v>
      </c>
      <c r="F320" s="726">
        <f>LOOKUP(A320,'Rate Analysis'!$A$3:$A$4887,'Rate Analysis'!$H$3:$H$4887)</f>
        <v>6035.2</v>
      </c>
    </row>
    <row r="321" spans="1:6" s="695" customFormat="1" ht="78">
      <c r="A321" s="702">
        <f>'Rate Analysis'!A3149</f>
        <v>13.16</v>
      </c>
      <c r="B321" s="691" t="str">
        <f>LOOKUP(A321,'Rate Analysis'!$A$3:$A$4887,'Rate Analysis'!$B$3:$B$4887)</f>
        <v>M15</v>
      </c>
      <c r="C321" s="692" t="str">
        <f>LOOKUP(A321,'Rate Analysis'!$A$3:$A$4887,'Rate Analysis'!$C$3:$C$4887)</f>
        <v>Stainless Steel Railing for Verandah  (S.S.Pipe of 20 mm ( 3) lines) Fabrication &amp; installation  (50mm dia. Hand rail, 40mm dia.Vertical post 8/8 apart ) 90 cm height good finishing including fixing as per speciication and instruction  complete work</v>
      </c>
      <c r="D321" s="693" t="str">
        <f>LOOKUP(A321,'Rate Analysis'!$A$3:$A$4887,'Rate Analysis'!$F$3:$F$4887)</f>
        <v>Sqm.</v>
      </c>
      <c r="E321" s="727">
        <f>LOOKUP(A321,'Rate Analysis'!$A$3:$A$4887,'Rate Analysis'!$G$3:$G$4887)</f>
        <v>5248</v>
      </c>
      <c r="F321" s="727">
        <f>LOOKUP(A321,'Rate Analysis'!$A$3:$A$4887,'Rate Analysis'!$H$3:$H$4887)</f>
        <v>6035.2</v>
      </c>
    </row>
    <row r="322" spans="1:6" s="695" customFormat="1" ht="46.8" hidden="1">
      <c r="A322" s="702">
        <f>'Rate Analysis'!A3157</f>
        <v>13.17</v>
      </c>
      <c r="B322" s="691" t="str">
        <f>LOOKUP(A322,'Rate Analysis'!$A$3:$A$4887,'Rate Analysis'!$B$3:$B$4887)</f>
        <v>M16</v>
      </c>
      <c r="C322" s="692" t="str">
        <f>LOOKUP(A322,'Rate Analysis'!$A$3:$A$4887,'Rate Analysis'!$C$3:$C$4887)</f>
        <v>Supplying &amp; fixing work of 150x150 mm size sisham wood  ornamental post , 75x75 mm size bluster with 75x100 mm  hand rail.</v>
      </c>
      <c r="D322" s="693" t="str">
        <f>LOOKUP(A322,'Rate Analysis'!$A$3:$A$4887,'Rate Analysis'!$F$3:$F$4887)</f>
        <v>Sqm.</v>
      </c>
      <c r="E322" s="726">
        <f>LOOKUP(A322,'Rate Analysis'!$A$3:$A$4887,'Rate Analysis'!$G$3:$G$4887)</f>
        <v>0</v>
      </c>
      <c r="F322" s="726">
        <f>LOOKUP(A322,'Rate Analysis'!$A$3:$A$4887,'Rate Analysis'!$H$3:$H$4887)</f>
        <v>0</v>
      </c>
    </row>
    <row r="323" spans="1:6" s="695" customFormat="1" ht="39" customHeight="1">
      <c r="A323" s="702">
        <f>'Rate Analysis'!A3167</f>
        <v>13.18</v>
      </c>
      <c r="B323" s="691" t="str">
        <f>LOOKUP(A323,'Rate Analysis'!$A$3:$A$4887,'Rate Analysis'!$B$3:$B$4887)</f>
        <v>M17</v>
      </c>
      <c r="C323" s="692" t="str">
        <f>LOOKUP(A323,'Rate Analysis'!$A$3:$A$4887,'Rate Analysis'!$C$3:$C$4887)</f>
        <v>Hand rail 2.5"x5" size sisham wood supplying &amp; fixing work</v>
      </c>
      <c r="D323" s="693" t="str">
        <f>LOOKUP(A323,'Rate Analysis'!$A$3:$A$4887,'Rate Analysis'!$F$3:$F$4887)</f>
        <v>Rmtr.</v>
      </c>
      <c r="E323" s="726">
        <f>LOOKUP(A323,'Rate Analysis'!$A$3:$A$4887,'Rate Analysis'!$G$3:$G$4887)</f>
        <v>207</v>
      </c>
      <c r="F323" s="726">
        <f>LOOKUP(A323,'Rate Analysis'!$A$3:$A$4887,'Rate Analysis'!$H$3:$H$4887)</f>
        <v>238.05</v>
      </c>
    </row>
    <row r="324" spans="1:6" s="695" customFormat="1" ht="46.8">
      <c r="A324" s="702">
        <f>'Rate Analysis'!A3177</f>
        <v>13.19</v>
      </c>
      <c r="B324" s="691" t="str">
        <f>LOOKUP(A324,'Rate Analysis'!$A$3:$A$4887,'Rate Analysis'!$B$3:$B$4887)</f>
        <v>M18</v>
      </c>
      <c r="C324" s="692" t="str">
        <f>LOOKUP(A324,'Rate Analysis'!$A$3:$A$4887,'Rate Analysis'!$C$3:$C$4887)</f>
        <v>Supplying &amp; fixing work of 20x20 mm  square pipe railing two nos. every trade  900 to 1000 mm height with 3"x4" sisham wood hand rail</v>
      </c>
      <c r="D324" s="693" t="str">
        <f>LOOKUP(A324,'Rate Analysis'!$A$3:$A$4887,'Rate Analysis'!$F$3:$F$4887)</f>
        <v>Rmtr.</v>
      </c>
      <c r="E324" s="726">
        <f>LOOKUP(A324,'Rate Analysis'!$A$3:$A$4887,'Rate Analysis'!$G$3:$G$4887)</f>
        <v>2690.3777777777777</v>
      </c>
      <c r="F324" s="726">
        <f>LOOKUP(A324,'Rate Analysis'!$A$3:$A$4887,'Rate Analysis'!$H$3:$H$4887)</f>
        <v>3093.9333333333334</v>
      </c>
    </row>
    <row r="325" spans="1:6" s="695" customFormat="1" ht="46.8">
      <c r="A325" s="702">
        <f>'Rate Analysis'!A3190</f>
        <v>13.2</v>
      </c>
      <c r="B325" s="691" t="str">
        <f>LOOKUP(A325,'Rate Analysis'!$A$3:$A$4887,'Rate Analysis'!$B$3:$B$4887)</f>
        <v>M19</v>
      </c>
      <c r="C325" s="692" t="str">
        <f>LOOKUP(A325,'Rate Analysis'!$A$3:$A$4887,'Rate Analysis'!$C$3:$C$4887)</f>
        <v>Supplying &amp; fixing work of 20x20 mm  square pipe railing two nos. every trade  900 to 1000 mm height with 40 mm MS black pipe  hand rail</v>
      </c>
      <c r="D325" s="693" t="str">
        <f>LOOKUP(A325,'Rate Analysis'!$A$3:$A$4887,'Rate Analysis'!$F$3:$F$4887)</f>
        <v>Rmtr.</v>
      </c>
      <c r="E325" s="726">
        <f>LOOKUP(A325,'Rate Analysis'!$A$3:$A$4887,'Rate Analysis'!$G$3:$G$4887)</f>
        <v>1258.44</v>
      </c>
      <c r="F325" s="726">
        <f>LOOKUP(A325,'Rate Analysis'!$A$3:$A$4887,'Rate Analysis'!$H$3:$H$4887)</f>
        <v>1447.21</v>
      </c>
    </row>
    <row r="326" spans="1:6" s="695" customFormat="1">
      <c r="A326" s="722"/>
      <c r="B326" s="698"/>
      <c r="C326" s="699"/>
      <c r="D326" s="700"/>
      <c r="E326" s="734"/>
      <c r="F326" s="734"/>
    </row>
    <row r="327" spans="1:6" s="689" customFormat="1" hidden="1">
      <c r="B327" s="686"/>
      <c r="C327" s="685" t="s">
        <v>626</v>
      </c>
      <c r="D327" s="685"/>
      <c r="E327" s="688"/>
      <c r="F327" s="688"/>
    </row>
    <row r="328" spans="1:6" s="695" customFormat="1" hidden="1">
      <c r="B328" s="698"/>
      <c r="C328" s="699"/>
      <c r="D328" s="700"/>
      <c r="E328" s="701"/>
      <c r="F328" s="701"/>
    </row>
    <row r="329" spans="1:6" s="695" customFormat="1" ht="31.2" hidden="1">
      <c r="A329" s="702">
        <f>'Rate Analysis'!A3204</f>
        <v>15.01</v>
      </c>
      <c r="B329" s="691" t="str">
        <f>LOOKUP(A329,'Rate Analysis'!$A$3:$A$4887,'Rate Analysis'!$B$3:$B$4887)</f>
        <v>O1</v>
      </c>
      <c r="C329" s="692" t="str">
        <f>LOOKUP(A329,'Rate Analysis'!$A$3:$A$4887,'Rate Analysis'!$C$3:$C$4887)</f>
        <v xml:space="preserve">Subgrade  preparing work with simple mud cutting 10 mtr. lead </v>
      </c>
      <c r="D329" s="693" t="str">
        <f>LOOKUP(A329,'Rate Analysis'!$A$3:$A$4887,'Rate Analysis'!$F$3:$F$4887)</f>
        <v>Sqm.</v>
      </c>
      <c r="E329" s="726">
        <f>LOOKUP(A329,'Rate Analysis'!$A$3:$A$4887,'Rate Analysis'!$G$3:$G$4887)</f>
        <v>134.41</v>
      </c>
      <c r="F329" s="726">
        <f>LOOKUP(A329,'Rate Analysis'!$A$3:$A$4887,'Rate Analysis'!$H$3:$H$4887)</f>
        <v>154.57</v>
      </c>
    </row>
    <row r="330" spans="1:6" s="695" customFormat="1" ht="21" hidden="1" customHeight="1">
      <c r="A330" s="702">
        <f>'Rate Analysis'!A3214</f>
        <v>15.02</v>
      </c>
      <c r="B330" s="691" t="str">
        <f>LOOKUP(A330,'Rate Analysis'!$A$3:$A$4887,'Rate Analysis'!$B$3:$B$4887)</f>
        <v>O2</v>
      </c>
      <c r="C330" s="692" t="str">
        <f>LOOKUP(A330,'Rate Analysis'!$A$3:$A$4887,'Rate Analysis'!$C$3:$C$4887)</f>
        <v xml:space="preserve">Rolling work </v>
      </c>
      <c r="D330" s="693" t="str">
        <f>LOOKUP(A330,'Rate Analysis'!$A$3:$A$4887,'Rate Analysis'!$F$3:$F$4887)</f>
        <v>Sqm.</v>
      </c>
      <c r="E330" s="726">
        <f>LOOKUP(A330,'Rate Analysis'!$A$3:$A$4887,'Rate Analysis'!$G$3:$G$4887)</f>
        <v>29.43</v>
      </c>
      <c r="F330" s="726">
        <f>LOOKUP(A330,'Rate Analysis'!$A$3:$A$4887,'Rate Analysis'!$H$3:$H$4887)</f>
        <v>33.85</v>
      </c>
    </row>
    <row r="331" spans="1:6" s="695" customFormat="1" ht="29.25" hidden="1" customHeight="1">
      <c r="A331" s="702">
        <f>'Rate Analysis'!A3223</f>
        <v>15.03</v>
      </c>
      <c r="B331" s="691" t="str">
        <f>LOOKUP(A331,'Rate Analysis'!$A$3:$A$4887,'Rate Analysis'!$B$3:$B$4887)</f>
        <v>O3(15-9A)</v>
      </c>
      <c r="C331" s="692" t="str">
        <f>LOOKUP(A331,'Rate Analysis'!$A$3:$A$4887,'Rate Analysis'!$C$3:$C$4887)</f>
        <v xml:space="preserve">10 cm. compact sub base laying work with sand mixed gravel, load unload &amp; proper levelling. </v>
      </c>
      <c r="D331" s="693" t="str">
        <f>LOOKUP(A331,'Rate Analysis'!$A$3:$A$4887,'Rate Analysis'!$F$3:$F$4887)</f>
        <v>Sqm.</v>
      </c>
      <c r="E331" s="726">
        <f>LOOKUP(A331,'Rate Analysis'!$A$3:$A$4887,'Rate Analysis'!$G$3:$G$4887)</f>
        <v>327.64999999999998</v>
      </c>
      <c r="F331" s="726">
        <f>LOOKUP(A331,'Rate Analysis'!$A$3:$A$4887,'Rate Analysis'!$H$3:$H$4887)</f>
        <v>376.79</v>
      </c>
    </row>
    <row r="332" spans="1:6" s="695" customFormat="1" ht="33" hidden="1" customHeight="1">
      <c r="A332" s="702">
        <f>'Rate Analysis'!A3233</f>
        <v>15.04</v>
      </c>
      <c r="B332" s="691" t="str">
        <f>LOOKUP(A332,'Rate Analysis'!$A$3:$A$4887,'Rate Analysis'!$B$3:$B$4887)</f>
        <v>O3(15-9C)</v>
      </c>
      <c r="C332" s="692" t="str">
        <f>LOOKUP(A332,'Rate Analysis'!$A$3:$A$4887,'Rate Analysis'!$C$3:$C$4887)</f>
        <v xml:space="preserve">15 cm. compact sub base laying work with sand mixed gravel, load unload &amp; proper levelling. </v>
      </c>
      <c r="D332" s="693" t="str">
        <f>LOOKUP(A332,'Rate Analysis'!$A$3:$A$4887,'Rate Analysis'!$F$3:$F$4887)</f>
        <v>Sqm.</v>
      </c>
      <c r="E332" s="726">
        <f>LOOKUP(A332,'Rate Analysis'!$A$3:$A$4887,'Rate Analysis'!$G$3:$G$4887)</f>
        <v>460.24</v>
      </c>
      <c r="F332" s="726">
        <f>LOOKUP(A332,'Rate Analysis'!$A$3:$A$4887,'Rate Analysis'!$H$3:$H$4887)</f>
        <v>529.27</v>
      </c>
    </row>
    <row r="333" spans="1:6" s="695" customFormat="1" ht="31.65" hidden="1" customHeight="1">
      <c r="A333" s="702">
        <f>'Rate Analysis'!A3243</f>
        <v>15.05</v>
      </c>
      <c r="B333" s="691" t="str">
        <f>LOOKUP(A333,'Rate Analysis'!$A$3:$A$4887,'Rate Analysis'!$B$3:$B$4887)</f>
        <v>O3(15-9D)</v>
      </c>
      <c r="C333" s="692" t="str">
        <f>LOOKUP(A333,'Rate Analysis'!$A$3:$A$4887,'Rate Analysis'!$C$3:$C$4887)</f>
        <v xml:space="preserve">20 cm. compact sub base laying work with sand mixed gravel, load unload &amp; proper levelling. </v>
      </c>
      <c r="D333" s="693" t="str">
        <f>LOOKUP(A333,'Rate Analysis'!$A$3:$A$4887,'Rate Analysis'!$F$3:$F$4887)</f>
        <v>Sqm.</v>
      </c>
      <c r="E333" s="726">
        <f>LOOKUP(A333,'Rate Analysis'!$A$3:$A$4887,'Rate Analysis'!$G$3:$G$4887)</f>
        <v>577</v>
      </c>
      <c r="F333" s="726">
        <f>LOOKUP(A333,'Rate Analysis'!$A$3:$A$4887,'Rate Analysis'!$H$3:$H$4887)</f>
        <v>663.55</v>
      </c>
    </row>
    <row r="334" spans="1:6" s="695" customFormat="1" ht="31.65" hidden="1" customHeight="1">
      <c r="A334" s="722"/>
      <c r="B334" s="698"/>
      <c r="C334" s="699"/>
      <c r="D334" s="700"/>
      <c r="E334" s="734"/>
      <c r="F334" s="734"/>
    </row>
    <row r="335" spans="1:6" s="741" customFormat="1">
      <c r="A335" s="736"/>
      <c r="B335" s="737"/>
      <c r="C335" s="738" t="s">
        <v>1164</v>
      </c>
      <c r="D335" s="738"/>
      <c r="E335" s="739"/>
      <c r="F335" s="740"/>
    </row>
    <row r="337" spans="1:6" s="695" customFormat="1" ht="93.6">
      <c r="A337" s="702">
        <v>25.01</v>
      </c>
      <c r="B337" s="742">
        <f>LOOKUP(A337,'Rate Analysis'!$A$3:$A$4887,'Rate Analysis'!$B$3:$B$4887)</f>
        <v>1</v>
      </c>
      <c r="C337" s="692" t="str">
        <f>LOOKUP(A337,'Rate Analysis'!$A$3:$A$4887,'Rate Analysis'!$C$3:$C$4887)</f>
        <v>Providing and fixing Single Panel Casement (Hinged) Door of aluminium section in natural or color anodized/powder coated color Section size (102x45x1.5 mm) fitted with 5 mm clear glass or 9 mm both side laminated board (excluding the cost of handle and door closer).</v>
      </c>
      <c r="D337" s="693" t="str">
        <f>LOOKUP(A337,'Rate Analysis'!$A$3:$A$4887,'Rate Analysis'!$F$3:$F$4887)</f>
        <v>Sqm.</v>
      </c>
      <c r="E337" s="726">
        <f>LOOKUP(A337,'Rate Analysis'!$A$3:$A$4887,'Rate Analysis'!$G$3:$G$4887)</f>
        <v>7413.64</v>
      </c>
      <c r="F337" s="726">
        <f>LOOKUP(A337,'Rate Analysis'!$A$3:$A$4887,'Rate Analysis'!$H$3:$H$4887)</f>
        <v>8525.68</v>
      </c>
    </row>
    <row r="338" spans="1:6" s="695" customFormat="1" ht="93.6">
      <c r="A338" s="702">
        <v>25.02</v>
      </c>
      <c r="B338" s="742">
        <f>LOOKUP(A338,'Rate Analysis'!$A$3:$A$4887,'Rate Analysis'!$B$3:$B$4887)</f>
        <v>2</v>
      </c>
      <c r="C338" s="692" t="str">
        <f>LOOKUP(A338,'Rate Analysis'!$A$3:$A$4887,'Rate Analysis'!$C$3:$C$4887)</f>
        <v>Providing and fixing Double Panel Casement (Hinged) Door of aluminium section in natural or color anodized/powder coated color Section size (102x45x1.5 mm) fitted with 5 mm clear glass or 9 mm both side laminated board (excluding the cost of handle and door closer).</v>
      </c>
      <c r="D338" s="693" t="str">
        <f>LOOKUP(A338,'Rate Analysis'!$A$3:$A$4887,'Rate Analysis'!$F$3:$F$4887)</f>
        <v>Sqm.</v>
      </c>
      <c r="E338" s="726">
        <f>LOOKUP(A338,'Rate Analysis'!$A$3:$A$4887,'Rate Analysis'!$G$3:$G$4887)</f>
        <v>8166.84</v>
      </c>
      <c r="F338" s="726">
        <f>LOOKUP(A338,'Rate Analysis'!$A$3:$A$4887,'Rate Analysis'!$H$3:$H$4887)</f>
        <v>9391.86</v>
      </c>
    </row>
    <row r="339" spans="1:6" s="695" customFormat="1" ht="78">
      <c r="A339" s="702">
        <v>25.03</v>
      </c>
      <c r="B339" s="742">
        <f>LOOKUP(A339,'Rate Analysis'!$A$3:$A$4887,'Rate Analysis'!$B$3:$B$4887)</f>
        <v>3</v>
      </c>
      <c r="C339" s="692" t="str">
        <f>LOOKUP(A339,'Rate Analysis'!$A$3:$A$4887,'Rate Analysis'!$C$3:$C$4887)</f>
        <v>Providing and fixing Single Panel Swing Door of aluminium section in natural or color anodized/powder coated color Section size (102x45x1.5 mm) fitted with 5 mm clear glass or 9 mm both side laminated board (excluding the cost of handle and door closer).</v>
      </c>
      <c r="D339" s="693" t="str">
        <f>LOOKUP(A339,'Rate Analysis'!$A$3:$A$4887,'Rate Analysis'!$F$3:$F$4887)</f>
        <v>Sqm.</v>
      </c>
      <c r="E339" s="726">
        <f>LOOKUP(A339,'Rate Analysis'!$A$3:$A$4887,'Rate Analysis'!$G$3:$G$4887)</f>
        <v>9436.52</v>
      </c>
      <c r="F339" s="726">
        <f>LOOKUP(A339,'Rate Analysis'!$A$3:$A$4887,'Rate Analysis'!$H$3:$H$4887)</f>
        <v>10851.99</v>
      </c>
    </row>
    <row r="340" spans="1:6" s="695" customFormat="1" ht="78">
      <c r="A340" s="702">
        <v>25.04</v>
      </c>
      <c r="B340" s="742">
        <f>LOOKUP(A340,'Rate Analysis'!$A$3:$A$4887,'Rate Analysis'!$B$3:$B$4887)</f>
        <v>4</v>
      </c>
      <c r="C340" s="692" t="str">
        <f>LOOKUP(A340,'Rate Analysis'!$A$3:$A$4887,'Rate Analysis'!$C$3:$C$4887)</f>
        <v>Providing and fixing Double Panel Swing Door of aluminium section in natural or color anodized/powder coated color Section size (102x45x1.5 mm) fitted with 5 mm clear glass or 9 mm both side laminated board (excluding the cost of handle and door closer).</v>
      </c>
      <c r="D340" s="693" t="str">
        <f>LOOKUP(A340,'Rate Analysis'!$A$3:$A$4887,'Rate Analysis'!$F$3:$F$4887)</f>
        <v>Sqm.</v>
      </c>
      <c r="E340" s="726">
        <f>LOOKUP(A340,'Rate Analysis'!$A$3:$A$4887,'Rate Analysis'!$G$3:$G$4887)</f>
        <v>10394.16</v>
      </c>
      <c r="F340" s="726">
        <f>LOOKUP(A340,'Rate Analysis'!$A$3:$A$4887,'Rate Analysis'!$H$3:$H$4887)</f>
        <v>11953.279999999999</v>
      </c>
    </row>
    <row r="341" spans="1:6" s="695" customFormat="1" ht="93.6">
      <c r="A341" s="702">
        <v>25.05</v>
      </c>
      <c r="B341" s="742">
        <f>LOOKUP(A341,'Rate Analysis'!$A$3:$A$4887,'Rate Analysis'!$B$3:$B$4887)</f>
        <v>5</v>
      </c>
      <c r="C341" s="692" t="str">
        <f>LOOKUP(A341,'Rate Analysis'!$A$3:$A$4887,'Rate Analysis'!$C$3:$C$4887)</f>
        <v>Providing and fixing 2 or 3 Panel Sliding Window of aluminium section in naturally anodized or Black anodized/powder coaded color, Section size (87x56x1.2) fitted with 5 mm clear glass without fly mesh shutter.(window size 6'x5' or average area 30 sq. feet per window).</v>
      </c>
      <c r="D341" s="693" t="str">
        <f>LOOKUP(A341,'Rate Analysis'!$A$3:$A$4887,'Rate Analysis'!$F$3:$F$4887)</f>
        <v>Sqm.</v>
      </c>
      <c r="E341" s="726">
        <f>LOOKUP(A341,'Rate Analysis'!$A$3:$A$4887,'Rate Analysis'!$G$3:$G$4887)</f>
        <v>5918</v>
      </c>
      <c r="F341" s="726">
        <f>LOOKUP(A341,'Rate Analysis'!$A$3:$A$4887,'Rate Analysis'!$H$3:$H$4887)</f>
        <v>6805.7</v>
      </c>
    </row>
    <row r="342" spans="1:6" s="695" customFormat="1" ht="93.6">
      <c r="A342" s="702">
        <v>25.06</v>
      </c>
      <c r="B342" s="742">
        <f>LOOKUP(A342,'Rate Analysis'!$A$3:$A$4887,'Rate Analysis'!$B$3:$B$4887)</f>
        <v>6</v>
      </c>
      <c r="C342" s="692" t="str">
        <f>LOOKUP(A342,'Rate Analysis'!$A$3:$A$4887,'Rate Analysis'!$C$3:$C$4887)</f>
        <v>Providing and fixing 2 or 3 Panel Sliding Window of aluminium section in naturally anodized or Black anodized/powder coaded color, Section size (87x56x1.5) fitted with 5 mm clear glass without fly mesh shutter.(window size 6'x5' or average area 30 sq. feet per window).</v>
      </c>
      <c r="D342" s="693" t="str">
        <f>LOOKUP(A342,'Rate Analysis'!$A$3:$A$4887,'Rate Analysis'!$F$3:$F$4887)</f>
        <v>Sqm.</v>
      </c>
      <c r="E342" s="726">
        <f>LOOKUP(A342,'Rate Analysis'!$A$3:$A$4887,'Rate Analysis'!$G$3:$G$4887)</f>
        <v>6821.84</v>
      </c>
      <c r="F342" s="726">
        <f>LOOKUP(A342,'Rate Analysis'!$A$3:$A$4887,'Rate Analysis'!$H$3:$H$4887)</f>
        <v>7845.1100000000006</v>
      </c>
    </row>
    <row r="343" spans="1:6" s="695" customFormat="1" ht="93.6">
      <c r="A343" s="702">
        <v>25.07</v>
      </c>
      <c r="B343" s="742">
        <f>LOOKUP(A343,'Rate Analysis'!$A$3:$A$4887,'Rate Analysis'!$B$3:$B$4887)</f>
        <v>7</v>
      </c>
      <c r="C343" s="692" t="str">
        <f>LOOKUP(A343,'Rate Analysis'!$A$3:$A$4887,'Rate Analysis'!$C$3:$C$4887)</f>
        <v>Providing and fixing 2 or 3 Panel Sliding Window with top fix glass of aluminium section in naturally anodized or Black anodized/powder coated color, Section size (87x56x1.20) fitted with 5 mm clear glass without fly mesh shutter.(window size 6'x5' or average area 30 sq. feet per window).</v>
      </c>
      <c r="D343" s="693" t="str">
        <f>LOOKUP(A343,'Rate Analysis'!$A$3:$A$4887,'Rate Analysis'!$F$3:$F$4887)</f>
        <v>Sqm.</v>
      </c>
      <c r="E343" s="726">
        <f>LOOKUP(A343,'Rate Analysis'!$A$3:$A$4887,'Rate Analysis'!$G$3:$G$4887)</f>
        <v>6445.24</v>
      </c>
      <c r="F343" s="726">
        <f>LOOKUP(A343,'Rate Analysis'!$A$3:$A$4887,'Rate Analysis'!$H$3:$H$4887)</f>
        <v>7412.0199999999995</v>
      </c>
    </row>
    <row r="344" spans="1:6" s="695" customFormat="1" ht="93.6">
      <c r="A344" s="702">
        <v>25.08</v>
      </c>
      <c r="B344" s="742">
        <f>LOOKUP(A344,'Rate Analysis'!$A$3:$A$4887,'Rate Analysis'!$B$3:$B$4887)</f>
        <v>8</v>
      </c>
      <c r="C344" s="692" t="str">
        <f>LOOKUP(A344,'Rate Analysis'!$A$3:$A$4887,'Rate Analysis'!$C$3:$C$4887)</f>
        <v>Providing and fixing 2 or 3 Panel Sliding Window with top fix glass of aluminium section in naturally anodized or Black anodized/powder coated color, Section size (87x56x1.50) fitted with 5 mm clear glass without fly mesh shutter.(window size 6'x5' or average area 30 sq. feet per window).</v>
      </c>
      <c r="D344" s="693" t="str">
        <f>LOOKUP(A344,'Rate Analysis'!$A$3:$A$4887,'Rate Analysis'!$F$3:$F$4887)</f>
        <v>Sqm.</v>
      </c>
      <c r="E344" s="726">
        <f>LOOKUP(A344,'Rate Analysis'!$A$3:$A$4887,'Rate Analysis'!$G$3:$G$4887)</f>
        <v>7424.4</v>
      </c>
      <c r="F344" s="726">
        <f>LOOKUP(A344,'Rate Analysis'!$A$3:$A$4887,'Rate Analysis'!$H$3:$H$4887)</f>
        <v>8538.06</v>
      </c>
    </row>
    <row r="345" spans="1:6" s="695" customFormat="1" ht="78">
      <c r="A345" s="702">
        <v>25.09</v>
      </c>
      <c r="B345" s="742">
        <f>LOOKUP(A345,'Rate Analysis'!$A$3:$A$4887,'Rate Analysis'!$B$3:$B$4887)</f>
        <v>9</v>
      </c>
      <c r="C345" s="692" t="str">
        <f>LOOKUP(A345,'Rate Analysis'!$A$3:$A$4887,'Rate Analysis'!$C$3:$C$4887)</f>
        <v>Providing and fixing Fixed Window of aluminium section in naturally anodized or Black anodized/powder coated color, Section size (87x25+12x1.20) fitted with 5 mm clear glass without fly mesh shutter.(Average area 5 sq. feet per Panel).</v>
      </c>
      <c r="D345" s="693" t="str">
        <f>LOOKUP(A345,'Rate Analysis'!$A$3:$A$4887,'Rate Analysis'!$F$3:$F$4887)</f>
        <v>Sqm.</v>
      </c>
      <c r="E345" s="726">
        <f>LOOKUP(A345,'Rate Analysis'!$A$3:$A$4887,'Rate Analysis'!$G$3:$G$4887)</f>
        <v>4906.5600000000004</v>
      </c>
      <c r="F345" s="726">
        <f>LOOKUP(A345,'Rate Analysis'!$A$3:$A$4887,'Rate Analysis'!$H$3:$H$4887)</f>
        <v>5642.5400000000009</v>
      </c>
    </row>
    <row r="346" spans="1:6" s="695" customFormat="1" ht="78">
      <c r="A346" s="702">
        <v>25.1</v>
      </c>
      <c r="B346" s="742">
        <f>LOOKUP(A346,'Rate Analysis'!$A$3:$A$4887,'Rate Analysis'!$B$3:$B$4887)</f>
        <v>10</v>
      </c>
      <c r="C346" s="692" t="str">
        <f>LOOKUP(A346,'Rate Analysis'!$A$3:$A$4887,'Rate Analysis'!$C$3:$C$4887)</f>
        <v>Providing and fixing Fixed Window of aluminium section in naturally anodized or Black anodized/powder coated color, Section size (87x25+12x1.50) fitted with 5 mm clear glass with out fly mesh shutter.(Average area 5 sq. feet per Panel).</v>
      </c>
      <c r="D346" s="693" t="str">
        <f>LOOKUP(A346,'Rate Analysis'!$A$3:$A$4887,'Rate Analysis'!$F$3:$F$4887)</f>
        <v>Sqm.</v>
      </c>
      <c r="E346" s="726">
        <f>LOOKUP(A346,'Rate Analysis'!$A$3:$A$4887,'Rate Analysis'!$G$3:$G$4887)</f>
        <v>5638.24</v>
      </c>
      <c r="F346" s="726">
        <f>LOOKUP(A346,'Rate Analysis'!$A$3:$A$4887,'Rate Analysis'!$H$3:$H$4887)</f>
        <v>6483.9699999999993</v>
      </c>
    </row>
    <row r="347" spans="1:6" s="695" customFormat="1" ht="46.8">
      <c r="A347" s="702">
        <v>25.11</v>
      </c>
      <c r="B347" s="742">
        <f>LOOKUP(A347,'Rate Analysis'!$A$3:$A$4887,'Rate Analysis'!$B$3:$B$4887)</f>
        <v>11</v>
      </c>
      <c r="C347" s="692" t="str">
        <f>LOOKUP(A347,'Rate Analysis'!$A$3:$A$4887,'Rate Analysis'!$C$3:$C$4887)</f>
        <v>Providing and fixing Fly Mesh Shutter with stainless steel fly mesh in 90 series for sliding window.(Section thickness 1 mm)</v>
      </c>
      <c r="D347" s="693" t="str">
        <f>LOOKUP(A347,'Rate Analysis'!$A$3:$A$4887,'Rate Analysis'!$F$3:$F$4887)</f>
        <v>Sqm.</v>
      </c>
      <c r="E347" s="726">
        <f>LOOKUP(A347,'Rate Analysis'!$A$3:$A$4887,'Rate Analysis'!$G$3:$G$4887)</f>
        <v>2152</v>
      </c>
      <c r="F347" s="726">
        <f>LOOKUP(A347,'Rate Analysis'!$A$3:$A$4887,'Rate Analysis'!$H$3:$H$4887)</f>
        <v>2474.8000000000002</v>
      </c>
    </row>
    <row r="348" spans="1:6" s="695" customFormat="1" ht="78">
      <c r="A348" s="702">
        <v>25.12</v>
      </c>
      <c r="B348" s="742">
        <f>LOOKUP(A348,'Rate Analysis'!$A$3:$A$4887,'Rate Analysis'!$B$3:$B$4887)</f>
        <v>12</v>
      </c>
      <c r="C348" s="692" t="str">
        <f>LOOKUP(A348,'Rate Analysis'!$A$3:$A$4887,'Rate Analysis'!$C$3:$C$4887)</f>
        <v>Providing and fixing Full Height Partition of aluminium section in naturally anodized or black anodized/powder coated color section size (102x45x1.5) fitted with 5 mm clear glass or 9 mm both side laminated board.(average panel area 8.00 Sq.ft)</v>
      </c>
      <c r="D348" s="693" t="str">
        <f>LOOKUP(A348,'Rate Analysis'!$A$3:$A$4887,'Rate Analysis'!$F$3:$F$4887)</f>
        <v>Sqm</v>
      </c>
      <c r="E348" s="726">
        <f>LOOKUP(A348,'Rate Analysis'!$A$3:$A$4887,'Rate Analysis'!$G$3:$G$4887)</f>
        <v>5950.28</v>
      </c>
      <c r="F348" s="726">
        <f>LOOKUP(A348,'Rate Analysis'!$A$3:$A$4887,'Rate Analysis'!$H$3:$H$4887)</f>
        <v>6842.82</v>
      </c>
    </row>
    <row r="349" spans="1:6" s="695" customFormat="1" ht="78">
      <c r="A349" s="702">
        <f>'Rate Analysis'!A3367</f>
        <v>25.13</v>
      </c>
      <c r="B349" s="742">
        <f>'Rate Analysis'!B3367</f>
        <v>13</v>
      </c>
      <c r="C349" s="692" t="str">
        <f>'Rate Analysis'!C3367:E3367</f>
        <v>Providing and fixing Half Height Partition of aluminium section in naturally anodized or black anodized/powder coated color section size (102x45x1.5) fitted with 5 mm clear glass or 9 mm both side laminated board.(average panel area 6.00 Sq.ft)</v>
      </c>
      <c r="D349" s="704" t="str">
        <f>'Rate Analysis'!F3367</f>
        <v>Sqm.</v>
      </c>
      <c r="E349" s="726">
        <f>'Rate Analysis'!G3367</f>
        <v>6456</v>
      </c>
      <c r="F349" s="726">
        <f>'Rate Analysis'!H3367</f>
        <v>7424.4</v>
      </c>
    </row>
    <row r="350" spans="1:6" s="695" customFormat="1" ht="78">
      <c r="A350" s="702">
        <f>'Rate Analysis'!A3375</f>
        <v>25.14</v>
      </c>
      <c r="B350" s="743">
        <f>'Rate Analysis'!B3375</f>
        <v>14</v>
      </c>
      <c r="C350" s="692" t="str">
        <f>'Rate Analysis'!C3375</f>
        <v>Providing and fixing Full Height Partition of aluminium section in naturally anodized or black anodized/powder coated color section size (64x38x1.10mm) fitted with 5 mm clear glass or 9 mm both side laminated board.(average panel area 8.00 Sq.ft)</v>
      </c>
      <c r="D350" s="702" t="str">
        <f>'Rate Analysis'!F3375</f>
        <v>Sqm.</v>
      </c>
      <c r="E350" s="702">
        <f>'Rate Analysis'!G3375</f>
        <v>4465.3999999999996</v>
      </c>
      <c r="F350" s="702">
        <f>'Rate Analysis'!H3375</f>
        <v>5135.2099999999991</v>
      </c>
    </row>
    <row r="351" spans="1:6" s="695" customFormat="1" ht="78">
      <c r="A351" s="702">
        <v>25.15</v>
      </c>
      <c r="B351" s="742">
        <f>'Rate Analysis'!B3384</f>
        <v>15</v>
      </c>
      <c r="C351" s="692" t="str">
        <f>'Rate Analysis'!C3384:E3384</f>
        <v>Providing and fixing Half Height Partition of aluminium section in naturally anodized or black anodized/powder coated color section size (64x38x1.10mm) fitted with 5 mm clear glass or 9 mm both side laminated board.(average panel area 6.00 Sq.ft)</v>
      </c>
      <c r="D351" s="704" t="str">
        <f>'Rate Analysis'!F3384</f>
        <v>Sqm.</v>
      </c>
      <c r="E351" s="726">
        <f>'Rate Analysis'!G3384</f>
        <v>5476.84</v>
      </c>
      <c r="F351" s="726">
        <f>'Rate Analysis'!H3384</f>
        <v>6298.3600000000006</v>
      </c>
    </row>
    <row r="352" spans="1:6" s="695" customFormat="1" ht="46.8">
      <c r="A352" s="702">
        <v>25.16</v>
      </c>
      <c r="B352" s="742">
        <f>'Rate Analysis'!B3393</f>
        <v>16</v>
      </c>
      <c r="C352" s="692" t="str">
        <f>'Rate Analysis'!C3393:E3393</f>
        <v>False ceiling by Gypsum, Gypsum board 12 mm With providing,finisging og joint with compound &amp; tape all complete</v>
      </c>
      <c r="D352" s="704" t="str">
        <f>'Rate Analysis'!F3393</f>
        <v>Sqm.</v>
      </c>
      <c r="E352" s="726">
        <f>'Rate Analysis'!G3393</f>
        <v>1400</v>
      </c>
      <c r="F352" s="726">
        <f>'Rate Analysis'!H3393</f>
        <v>1610</v>
      </c>
    </row>
    <row r="353" spans="1:6" ht="78" hidden="1">
      <c r="A353" s="696" t="s">
        <v>1440</v>
      </c>
      <c r="B353" s="691" t="s">
        <v>1441</v>
      </c>
      <c r="C353" s="729" t="s">
        <v>1438</v>
      </c>
      <c r="D353" s="693" t="s">
        <v>1439</v>
      </c>
      <c r="E353" s="694">
        <f>13200</f>
        <v>13200</v>
      </c>
      <c r="F353" s="726">
        <f>E353*1.15</f>
        <v>15179.999999999998</v>
      </c>
    </row>
    <row r="354" spans="1:6" ht="46.8">
      <c r="A354" s="696" t="s">
        <v>1442</v>
      </c>
      <c r="B354" s="691" t="s">
        <v>1443</v>
      </c>
      <c r="C354" s="729" t="s">
        <v>1444</v>
      </c>
      <c r="D354" s="693" t="s">
        <v>1439</v>
      </c>
      <c r="E354" s="694">
        <f>1.8*1.2*10.76*79</f>
        <v>1836.0864000000001</v>
      </c>
      <c r="F354" s="694">
        <f>E354*1.15</f>
        <v>2111.4993599999998</v>
      </c>
    </row>
  </sheetData>
  <mergeCells count="9">
    <mergeCell ref="A1:F1"/>
    <mergeCell ref="A2:F2"/>
    <mergeCell ref="A3:F3"/>
    <mergeCell ref="A5:F5"/>
    <mergeCell ref="E7:F7"/>
    <mergeCell ref="A7:A8"/>
    <mergeCell ref="B7:B8"/>
    <mergeCell ref="C7:C8"/>
    <mergeCell ref="D7:D8"/>
  </mergeCells>
  <phoneticPr fontId="2" type="noConversion"/>
  <printOptions horizontalCentered="1"/>
  <pageMargins left="0.45" right="0.25" top="0.34" bottom="0.73" header="0.17" footer="0.17"/>
  <pageSetup paperSize="9" scale="96" orientation="portrait" verticalDpi="2400" r:id="rId1"/>
  <headerFooter alignWithMargins="0">
    <oddHeader>&amp;R&amp;P of &amp;N</oddHeader>
  </headerFooter>
  <rowBreaks count="3" manualBreakCount="3">
    <brk id="238" max="5" man="1"/>
    <brk id="276" max="5" man="1"/>
    <brk id="334" max="5" man="1"/>
  </rowBreaks>
  <ignoredErrors>
    <ignoredError sqref="E293:F293 B242:C242 E242:F242 C51 B101 E101:F101 F80 E53:F53 C53 C124 F244 D244:E244 E304:F30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65EA-B113-417C-BDF7-523D45B5C80A}">
  <sheetPr>
    <tabColor rgb="FF7030A0"/>
  </sheetPr>
  <dimension ref="A1:IP234"/>
  <sheetViews>
    <sheetView showGridLines="0" view="pageBreakPreview" topLeftCell="A28" zoomScale="130" zoomScaleNormal="140" zoomScaleSheetLayoutView="130" workbookViewId="0">
      <selection activeCell="D216" sqref="D216"/>
    </sheetView>
  </sheetViews>
  <sheetFormatPr defaultColWidth="9.109375" defaultRowHeight="12"/>
  <cols>
    <col min="1" max="1" width="5.44140625" style="288" customWidth="1"/>
    <col min="2" max="2" width="40.6640625" style="288" customWidth="1"/>
    <col min="3" max="3" width="4.6640625" style="262" bestFit="1" customWidth="1"/>
    <col min="4" max="4" width="11" style="328" bestFit="1" customWidth="1"/>
    <col min="5" max="5" width="7.44140625" style="329" customWidth="1"/>
    <col min="6" max="6" width="10" style="330" bestFit="1" customWidth="1"/>
    <col min="7" max="7" width="15.109375" style="262" bestFit="1" customWidth="1"/>
    <col min="8" max="8" width="12" style="262" customWidth="1"/>
    <col min="9" max="18" width="9.109375" style="288" customWidth="1"/>
    <col min="19" max="16384" width="9.109375" style="288"/>
  </cols>
  <sheetData>
    <row r="1" spans="1:8">
      <c r="A1" s="853" t="str">
        <f>cover!A1</f>
        <v>GOVERNMENT OF NEPAL</v>
      </c>
      <c r="B1" s="853"/>
      <c r="C1" s="853"/>
      <c r="D1" s="853"/>
      <c r="E1" s="853"/>
      <c r="F1" s="853"/>
      <c r="G1" s="853"/>
      <c r="H1" s="853"/>
    </row>
    <row r="2" spans="1:8">
      <c r="A2" s="853" t="str">
        <f>cover!A2</f>
        <v xml:space="preserve">RAINAS MUNICIPALITY </v>
      </c>
      <c r="B2" s="853"/>
      <c r="C2" s="853"/>
      <c r="D2" s="853"/>
      <c r="E2" s="853"/>
      <c r="F2" s="853"/>
      <c r="G2" s="853"/>
      <c r="H2" s="853"/>
    </row>
    <row r="3" spans="1:8">
      <c r="A3" s="853" t="str">
        <f>cover!A3</f>
        <v>OFFICE OF THE MUNICIPAL EXECUTIVE</v>
      </c>
      <c r="B3" s="853"/>
      <c r="C3" s="853"/>
      <c r="D3" s="853"/>
      <c r="E3" s="853"/>
      <c r="F3" s="853"/>
      <c r="G3" s="853"/>
      <c r="H3" s="853"/>
    </row>
    <row r="4" spans="1:8">
      <c r="A4" s="853" t="str">
        <f>cover!A4</f>
        <v>TINPIPLE,LAMJUNG</v>
      </c>
      <c r="B4" s="853"/>
      <c r="C4" s="853"/>
      <c r="D4" s="853"/>
      <c r="E4" s="853"/>
      <c r="F4" s="853"/>
      <c r="G4" s="853"/>
      <c r="H4" s="853"/>
    </row>
    <row r="5" spans="1:8" ht="10.199999999999999" customHeight="1">
      <c r="A5" s="853">
        <f>cover!A5</f>
        <v>0</v>
      </c>
      <c r="B5" s="853"/>
      <c r="C5" s="853"/>
      <c r="D5" s="853"/>
      <c r="E5" s="853"/>
      <c r="F5" s="853"/>
      <c r="G5" s="853"/>
      <c r="H5" s="853"/>
    </row>
    <row r="6" spans="1:8">
      <c r="A6" s="854" t="s">
        <v>148</v>
      </c>
      <c r="B6" s="854"/>
      <c r="C6" s="854"/>
      <c r="D6" s="854"/>
      <c r="E6" s="854"/>
      <c r="F6" s="854"/>
      <c r="G6" s="854"/>
      <c r="H6" s="854"/>
    </row>
    <row r="7" spans="1:8">
      <c r="A7" s="852" t="s">
        <v>1117</v>
      </c>
      <c r="B7" s="852"/>
      <c r="C7" s="290"/>
      <c r="D7" s="331"/>
      <c r="E7" s="332"/>
      <c r="F7" s="305"/>
      <c r="G7" s="290" t="s">
        <v>1648</v>
      </c>
      <c r="H7" s="288"/>
    </row>
    <row r="8" spans="1:8" s="263" customFormat="1" ht="48">
      <c r="A8" s="308" t="s">
        <v>51</v>
      </c>
      <c r="B8" s="308" t="s">
        <v>54</v>
      </c>
      <c r="C8" s="308" t="s">
        <v>45</v>
      </c>
      <c r="D8" s="297" t="s">
        <v>212</v>
      </c>
      <c r="E8" s="297" t="s">
        <v>253</v>
      </c>
      <c r="F8" s="297" t="s">
        <v>58</v>
      </c>
      <c r="G8" s="308" t="s">
        <v>52</v>
      </c>
      <c r="H8" s="308" t="s">
        <v>1308</v>
      </c>
    </row>
    <row r="9" spans="1:8" s="375" customFormat="1">
      <c r="A9" s="369">
        <v>1</v>
      </c>
      <c r="B9" s="752" t="s">
        <v>1168</v>
      </c>
      <c r="C9" s="340" t="s">
        <v>68</v>
      </c>
      <c r="D9" s="339">
        <v>2430</v>
      </c>
      <c r="E9" s="371"/>
      <c r="F9" s="372">
        <f t="shared" ref="F9:F21" si="0">D9+E9</f>
        <v>2430</v>
      </c>
      <c r="G9" s="753"/>
      <c r="H9" s="754" t="s">
        <v>1240</v>
      </c>
    </row>
    <row r="10" spans="1:8" s="375" customFormat="1">
      <c r="A10" s="369">
        <v>2</v>
      </c>
      <c r="B10" s="752" t="s">
        <v>1169</v>
      </c>
      <c r="C10" s="340" t="s">
        <v>68</v>
      </c>
      <c r="D10" s="339">
        <v>1830</v>
      </c>
      <c r="E10" s="372"/>
      <c r="F10" s="372">
        <f t="shared" si="0"/>
        <v>1830</v>
      </c>
      <c r="G10" s="753"/>
      <c r="H10" s="754" t="s">
        <v>1241</v>
      </c>
    </row>
    <row r="11" spans="1:8" s="375" customFormat="1">
      <c r="A11" s="369">
        <v>3</v>
      </c>
      <c r="B11" s="752" t="s">
        <v>1170</v>
      </c>
      <c r="C11" s="340" t="s">
        <v>68</v>
      </c>
      <c r="D11" s="339">
        <v>2800</v>
      </c>
      <c r="E11" s="371"/>
      <c r="F11" s="372">
        <f t="shared" si="0"/>
        <v>2800</v>
      </c>
      <c r="G11" s="753"/>
      <c r="H11" s="754" t="str">
        <f>H9</f>
        <v>4-164</v>
      </c>
    </row>
    <row r="12" spans="1:8" s="375" customFormat="1">
      <c r="A12" s="369">
        <v>4</v>
      </c>
      <c r="B12" s="752" t="s">
        <v>1171</v>
      </c>
      <c r="C12" s="340" t="s">
        <v>68</v>
      </c>
      <c r="D12" s="339">
        <v>1910</v>
      </c>
      <c r="E12" s="372"/>
      <c r="F12" s="372">
        <f t="shared" si="0"/>
        <v>1910</v>
      </c>
      <c r="G12" s="753"/>
      <c r="H12" s="754" t="s">
        <v>1241</v>
      </c>
    </row>
    <row r="13" spans="1:8" s="375" customFormat="1">
      <c r="A13" s="369">
        <v>5</v>
      </c>
      <c r="B13" s="752" t="s">
        <v>1172</v>
      </c>
      <c r="C13" s="340" t="s">
        <v>68</v>
      </c>
      <c r="D13" s="339">
        <f>D9</f>
        <v>2430</v>
      </c>
      <c r="E13" s="372"/>
      <c r="F13" s="372">
        <f t="shared" si="0"/>
        <v>2430</v>
      </c>
      <c r="G13" s="753"/>
      <c r="H13" s="754" t="s">
        <v>1240</v>
      </c>
    </row>
    <row r="14" spans="1:8" s="375" customFormat="1">
      <c r="A14" s="369">
        <v>6</v>
      </c>
      <c r="B14" s="752" t="s">
        <v>1173</v>
      </c>
      <c r="C14" s="340" t="s">
        <v>68</v>
      </c>
      <c r="D14" s="339">
        <f>D10</f>
        <v>1830</v>
      </c>
      <c r="E14" s="372"/>
      <c r="F14" s="372">
        <f t="shared" si="0"/>
        <v>1830</v>
      </c>
      <c r="G14" s="753"/>
      <c r="H14" s="754" t="s">
        <v>1241</v>
      </c>
    </row>
    <row r="15" spans="1:8" s="375" customFormat="1">
      <c r="A15" s="369">
        <v>7</v>
      </c>
      <c r="B15" s="752" t="s">
        <v>1174</v>
      </c>
      <c r="C15" s="340" t="s">
        <v>68</v>
      </c>
      <c r="D15" s="339">
        <v>2430</v>
      </c>
      <c r="E15" s="372"/>
      <c r="F15" s="372">
        <f t="shared" si="0"/>
        <v>2430</v>
      </c>
      <c r="G15" s="753"/>
      <c r="H15" s="754" t="s">
        <v>1240</v>
      </c>
    </row>
    <row r="16" spans="1:8" s="375" customFormat="1">
      <c r="A16" s="369">
        <v>8</v>
      </c>
      <c r="B16" s="752" t="s">
        <v>1175</v>
      </c>
      <c r="C16" s="340" t="s">
        <v>68</v>
      </c>
      <c r="D16" s="339">
        <v>1830</v>
      </c>
      <c r="E16" s="372"/>
      <c r="F16" s="372">
        <f t="shared" si="0"/>
        <v>1830</v>
      </c>
      <c r="G16" s="753"/>
      <c r="H16" s="754" t="s">
        <v>1241</v>
      </c>
    </row>
    <row r="17" spans="1:8" s="375" customFormat="1">
      <c r="A17" s="369">
        <v>9</v>
      </c>
      <c r="B17" s="752" t="s">
        <v>1176</v>
      </c>
      <c r="C17" s="340" t="s">
        <v>68</v>
      </c>
      <c r="D17" s="339">
        <v>2135</v>
      </c>
      <c r="E17" s="372"/>
      <c r="F17" s="372">
        <f t="shared" si="0"/>
        <v>2135</v>
      </c>
      <c r="G17" s="753"/>
      <c r="H17" s="754" t="s">
        <v>1240</v>
      </c>
    </row>
    <row r="18" spans="1:8" s="419" customFormat="1">
      <c r="A18" s="417">
        <v>10</v>
      </c>
      <c r="B18" s="755" t="s">
        <v>1177</v>
      </c>
      <c r="C18" s="418" t="s">
        <v>68</v>
      </c>
      <c r="D18" s="756">
        <v>1830</v>
      </c>
      <c r="E18" s="757"/>
      <c r="F18" s="757">
        <f t="shared" si="0"/>
        <v>1830</v>
      </c>
      <c r="G18" s="758"/>
      <c r="H18" s="759" t="s">
        <v>1241</v>
      </c>
    </row>
    <row r="19" spans="1:8">
      <c r="A19" s="324">
        <v>11</v>
      </c>
      <c r="B19" s="292" t="s">
        <v>118</v>
      </c>
      <c r="C19" s="318" t="s">
        <v>107</v>
      </c>
      <c r="D19" s="339">
        <v>561</v>
      </c>
      <c r="E19" s="304"/>
      <c r="F19" s="304">
        <f t="shared" si="0"/>
        <v>561</v>
      </c>
      <c r="G19" s="322"/>
      <c r="H19" s="333" t="s">
        <v>1242</v>
      </c>
    </row>
    <row r="20" spans="1:8">
      <c r="A20" s="324">
        <v>12</v>
      </c>
      <c r="B20" s="292" t="s">
        <v>197</v>
      </c>
      <c r="C20" s="318" t="s">
        <v>113</v>
      </c>
      <c r="D20" s="293">
        <f>D21/0.6</f>
        <v>866.66666666666674</v>
      </c>
      <c r="E20" s="304"/>
      <c r="F20" s="304">
        <f t="shared" si="0"/>
        <v>866.66666666666674</v>
      </c>
      <c r="G20" s="318" t="s">
        <v>1243</v>
      </c>
      <c r="H20" s="299"/>
    </row>
    <row r="21" spans="1:8">
      <c r="A21" s="324">
        <v>13</v>
      </c>
      <c r="B21" s="292" t="s">
        <v>198</v>
      </c>
      <c r="C21" s="318" t="s">
        <v>50</v>
      </c>
      <c r="D21" s="293">
        <v>520</v>
      </c>
      <c r="E21" s="304"/>
      <c r="F21" s="304">
        <f t="shared" si="0"/>
        <v>520</v>
      </c>
      <c r="G21" s="318"/>
      <c r="H21" s="299" t="s">
        <v>1244</v>
      </c>
    </row>
    <row r="22" spans="1:8">
      <c r="A22" s="324">
        <v>14</v>
      </c>
      <c r="B22" s="292" t="s">
        <v>632</v>
      </c>
      <c r="C22" s="318" t="s">
        <v>113</v>
      </c>
      <c r="D22" s="293"/>
      <c r="E22" s="285"/>
      <c r="F22" s="287"/>
      <c r="G22" s="318"/>
      <c r="H22" s="318"/>
    </row>
    <row r="23" spans="1:8">
      <c r="A23" s="324">
        <v>15</v>
      </c>
      <c r="B23" s="292" t="s">
        <v>593</v>
      </c>
      <c r="C23" s="318" t="s">
        <v>285</v>
      </c>
      <c r="D23" s="293" t="s">
        <v>1208</v>
      </c>
      <c r="E23" s="285"/>
      <c r="F23" s="287"/>
      <c r="G23" s="318"/>
      <c r="H23" s="318"/>
    </row>
    <row r="24" spans="1:8">
      <c r="A24" s="324">
        <v>16</v>
      </c>
      <c r="B24" s="321" t="s">
        <v>249</v>
      </c>
      <c r="C24" s="318" t="s">
        <v>134</v>
      </c>
      <c r="D24" s="293">
        <v>263</v>
      </c>
      <c r="E24" s="285"/>
      <c r="F24" s="304">
        <f t="shared" ref="F24:F61" si="1">D24+E24</f>
        <v>263</v>
      </c>
      <c r="G24" s="318"/>
      <c r="H24" s="318" t="s">
        <v>1245</v>
      </c>
    </row>
    <row r="25" spans="1:8">
      <c r="A25" s="324">
        <v>17</v>
      </c>
      <c r="B25" s="286" t="s">
        <v>1071</v>
      </c>
      <c r="C25" s="318" t="s">
        <v>113</v>
      </c>
      <c r="D25" s="293">
        <f>133/7</f>
        <v>19</v>
      </c>
      <c r="E25" s="285"/>
      <c r="F25" s="304">
        <f t="shared" si="1"/>
        <v>19</v>
      </c>
      <c r="G25" s="340" t="s">
        <v>1247</v>
      </c>
      <c r="H25" s="340" t="s">
        <v>1246</v>
      </c>
    </row>
    <row r="26" spans="1:8">
      <c r="A26" s="324">
        <v>18</v>
      </c>
      <c r="B26" s="286" t="s">
        <v>1072</v>
      </c>
      <c r="C26" s="318" t="s">
        <v>113</v>
      </c>
      <c r="D26" s="293">
        <f>133/7</f>
        <v>19</v>
      </c>
      <c r="E26" s="285"/>
      <c r="F26" s="304">
        <f t="shared" si="1"/>
        <v>19</v>
      </c>
      <c r="G26" s="340" t="s">
        <v>1248</v>
      </c>
      <c r="H26" s="340" t="s">
        <v>1249</v>
      </c>
    </row>
    <row r="27" spans="1:8" s="347" customFormat="1">
      <c r="A27" s="341">
        <v>19</v>
      </c>
      <c r="B27" s="342" t="s">
        <v>224</v>
      </c>
      <c r="C27" s="343" t="s">
        <v>74</v>
      </c>
      <c r="D27" s="344"/>
      <c r="E27" s="345"/>
      <c r="F27" s="346"/>
      <c r="G27" s="343"/>
      <c r="H27" s="343"/>
    </row>
    <row r="28" spans="1:8" s="375" customFormat="1">
      <c r="A28" s="369">
        <v>20</v>
      </c>
      <c r="B28" s="774" t="s">
        <v>155</v>
      </c>
      <c r="C28" s="340" t="s">
        <v>74</v>
      </c>
      <c r="D28" s="339">
        <v>140</v>
      </c>
      <c r="E28" s="371"/>
      <c r="F28" s="372">
        <f t="shared" si="1"/>
        <v>140</v>
      </c>
      <c r="G28" s="340"/>
      <c r="H28" s="340" t="s">
        <v>1250</v>
      </c>
    </row>
    <row r="29" spans="1:8" s="375" customFormat="1">
      <c r="A29" s="369">
        <v>21</v>
      </c>
      <c r="B29" s="370" t="s">
        <v>1202</v>
      </c>
      <c r="C29" s="373" t="s">
        <v>74</v>
      </c>
      <c r="D29" s="339">
        <v>110.7</v>
      </c>
      <c r="E29" s="339"/>
      <c r="F29" s="379">
        <f t="shared" si="1"/>
        <v>110.7</v>
      </c>
      <c r="G29" s="340"/>
      <c r="H29" s="374"/>
    </row>
    <row r="30" spans="1:8">
      <c r="A30" s="324">
        <v>22</v>
      </c>
      <c r="B30" s="321" t="s">
        <v>730</v>
      </c>
      <c r="C30" s="319" t="s">
        <v>107</v>
      </c>
      <c r="D30" s="293">
        <v>173</v>
      </c>
      <c r="E30" s="293"/>
      <c r="F30" s="306">
        <f t="shared" si="1"/>
        <v>173</v>
      </c>
      <c r="G30" s="318"/>
      <c r="H30" s="319" t="s">
        <v>1251</v>
      </c>
    </row>
    <row r="31" spans="1:8" s="375" customFormat="1">
      <c r="A31" s="369">
        <v>23</v>
      </c>
      <c r="B31" s="370" t="s">
        <v>728</v>
      </c>
      <c r="C31" s="340" t="s">
        <v>46</v>
      </c>
      <c r="D31" s="339">
        <v>0.63</v>
      </c>
      <c r="E31" s="371"/>
      <c r="F31" s="372">
        <f t="shared" si="1"/>
        <v>0.63</v>
      </c>
      <c r="G31" s="340"/>
      <c r="H31" s="373" t="s">
        <v>1252</v>
      </c>
    </row>
    <row r="32" spans="1:8">
      <c r="A32" s="324">
        <v>24</v>
      </c>
      <c r="B32" s="321" t="s">
        <v>1178</v>
      </c>
      <c r="C32" s="318" t="s">
        <v>68</v>
      </c>
      <c r="D32" s="293">
        <v>2500</v>
      </c>
      <c r="E32" s="285"/>
      <c r="F32" s="304">
        <f t="shared" si="1"/>
        <v>2500</v>
      </c>
      <c r="G32" s="304"/>
      <c r="H32" s="334" t="s">
        <v>1253</v>
      </c>
    </row>
    <row r="33" spans="1:8" s="380" customFormat="1">
      <c r="A33" s="369">
        <v>25</v>
      </c>
      <c r="B33" s="378" t="s">
        <v>21</v>
      </c>
      <c r="C33" s="373" t="s">
        <v>46</v>
      </c>
      <c r="D33" s="339">
        <v>13</v>
      </c>
      <c r="E33" s="339"/>
      <c r="F33" s="379">
        <f t="shared" si="1"/>
        <v>13</v>
      </c>
      <c r="G33" s="374"/>
      <c r="H33" s="373" t="s">
        <v>1254</v>
      </c>
    </row>
    <row r="34" spans="1:8" s="263" customFormat="1">
      <c r="A34" s="319">
        <v>27</v>
      </c>
      <c r="B34" s="300" t="s">
        <v>813</v>
      </c>
      <c r="C34" s="319" t="s">
        <v>46</v>
      </c>
      <c r="D34" s="293">
        <v>254</v>
      </c>
      <c r="E34" s="293"/>
      <c r="F34" s="306">
        <f t="shared" si="1"/>
        <v>254</v>
      </c>
      <c r="G34" s="319"/>
      <c r="H34" s="319" t="s">
        <v>1255</v>
      </c>
    </row>
    <row r="35" spans="1:8" s="375" customFormat="1">
      <c r="A35" s="369">
        <v>28</v>
      </c>
      <c r="B35" s="370" t="s">
        <v>70</v>
      </c>
      <c r="C35" s="340" t="s">
        <v>753</v>
      </c>
      <c r="D35" s="339">
        <v>14000</v>
      </c>
      <c r="E35" s="371"/>
      <c r="F35" s="372">
        <f t="shared" si="1"/>
        <v>14000</v>
      </c>
      <c r="G35" s="775"/>
      <c r="H35" s="373" t="s">
        <v>1256</v>
      </c>
    </row>
    <row r="36" spans="1:8" s="347" customFormat="1">
      <c r="A36" s="341">
        <v>29</v>
      </c>
      <c r="B36" s="342" t="s">
        <v>190</v>
      </c>
      <c r="C36" s="343" t="s">
        <v>107</v>
      </c>
      <c r="D36" s="344"/>
      <c r="E36" s="345"/>
      <c r="F36" s="346"/>
      <c r="G36" s="343"/>
      <c r="H36" s="343" t="s">
        <v>1257</v>
      </c>
    </row>
    <row r="37" spans="1:8">
      <c r="A37" s="324" t="s">
        <v>1203</v>
      </c>
      <c r="B37" s="321" t="s">
        <v>229</v>
      </c>
      <c r="C37" s="318" t="s">
        <v>134</v>
      </c>
      <c r="D37" s="293">
        <v>18</v>
      </c>
      <c r="E37" s="285"/>
      <c r="F37" s="304">
        <f t="shared" si="1"/>
        <v>18</v>
      </c>
      <c r="G37" s="318"/>
      <c r="H37" s="319" t="s">
        <v>1258</v>
      </c>
    </row>
    <row r="38" spans="1:8">
      <c r="A38" s="324">
        <v>31</v>
      </c>
      <c r="B38" s="321" t="s">
        <v>230</v>
      </c>
      <c r="C38" s="318" t="s">
        <v>134</v>
      </c>
      <c r="D38" s="293">
        <v>20</v>
      </c>
      <c r="E38" s="285"/>
      <c r="F38" s="304">
        <f t="shared" si="1"/>
        <v>20</v>
      </c>
      <c r="G38" s="318"/>
      <c r="H38" s="319" t="s">
        <v>1259</v>
      </c>
    </row>
    <row r="39" spans="1:8" ht="36.6" customHeight="1">
      <c r="A39" s="324">
        <v>32</v>
      </c>
      <c r="B39" s="301" t="s">
        <v>1215</v>
      </c>
      <c r="C39" s="319" t="s">
        <v>113</v>
      </c>
      <c r="D39" s="293">
        <f>1600*3.28</f>
        <v>5248</v>
      </c>
      <c r="E39" s="293"/>
      <c r="F39" s="306">
        <f t="shared" si="1"/>
        <v>5248</v>
      </c>
      <c r="G39" s="319"/>
      <c r="H39" s="319" t="s">
        <v>1260</v>
      </c>
    </row>
    <row r="40" spans="1:8" s="356" customFormat="1" ht="24.75" customHeight="1">
      <c r="A40" s="319">
        <v>33</v>
      </c>
      <c r="B40" s="295" t="s">
        <v>1411</v>
      </c>
      <c r="C40" s="319" t="s">
        <v>113</v>
      </c>
      <c r="D40" s="293">
        <f>(3257/12)/18*4*3.28</f>
        <v>197.83259259259259</v>
      </c>
      <c r="E40" s="293"/>
      <c r="F40" s="296">
        <f>D40</f>
        <v>197.83259259259259</v>
      </c>
      <c r="G40" s="319" t="s">
        <v>811</v>
      </c>
      <c r="H40" s="401" t="s">
        <v>1414</v>
      </c>
    </row>
    <row r="41" spans="1:8" s="356" customFormat="1" ht="24.75" customHeight="1">
      <c r="A41" s="319">
        <v>34</v>
      </c>
      <c r="B41" s="295" t="s">
        <v>1412</v>
      </c>
      <c r="C41" s="319" t="s">
        <v>113</v>
      </c>
      <c r="D41" s="293">
        <f>(2976/12)/18*4*3.28</f>
        <v>180.76444444444445</v>
      </c>
      <c r="E41" s="293"/>
      <c r="F41" s="296">
        <f>D41</f>
        <v>180.76444444444445</v>
      </c>
      <c r="G41" s="319" t="s">
        <v>811</v>
      </c>
      <c r="H41" s="401" t="s">
        <v>1410</v>
      </c>
    </row>
    <row r="42" spans="1:8" s="356" customFormat="1" ht="24.75" customHeight="1">
      <c r="A42" s="324">
        <v>35</v>
      </c>
      <c r="B42" s="302" t="s">
        <v>1210</v>
      </c>
      <c r="C42" s="319" t="s">
        <v>50</v>
      </c>
      <c r="D42" s="293">
        <f>14058/18.62</f>
        <v>754.99462943071967</v>
      </c>
      <c r="E42" s="293"/>
      <c r="F42" s="296">
        <f>D42</f>
        <v>754.99462943071967</v>
      </c>
      <c r="G42" s="319"/>
      <c r="H42" s="401" t="s">
        <v>1384</v>
      </c>
    </row>
    <row r="43" spans="1:8" s="356" customFormat="1">
      <c r="A43" s="324">
        <v>36</v>
      </c>
      <c r="B43" s="302" t="s">
        <v>1209</v>
      </c>
      <c r="C43" s="319" t="s">
        <v>50</v>
      </c>
      <c r="D43" s="293">
        <f>14058/18.62</f>
        <v>754.99462943071967</v>
      </c>
      <c r="E43" s="293"/>
      <c r="F43" s="296">
        <f>D43</f>
        <v>754.99462943071967</v>
      </c>
      <c r="G43" s="319"/>
      <c r="H43" s="401" t="s">
        <v>1384</v>
      </c>
    </row>
    <row r="44" spans="1:8" s="356" customFormat="1">
      <c r="A44" s="324">
        <v>37</v>
      </c>
      <c r="B44" s="302" t="s">
        <v>1181</v>
      </c>
      <c r="C44" s="319" t="s">
        <v>50</v>
      </c>
      <c r="D44" s="293">
        <f>10066/18.62</f>
        <v>540.6015037593985</v>
      </c>
      <c r="E44" s="293"/>
      <c r="F44" s="296" t="s">
        <v>1208</v>
      </c>
      <c r="G44" s="319"/>
      <c r="H44" s="401" t="s">
        <v>1402</v>
      </c>
    </row>
    <row r="45" spans="1:8" s="356" customFormat="1">
      <c r="A45" s="324">
        <v>38</v>
      </c>
      <c r="B45" s="302" t="s">
        <v>1182</v>
      </c>
      <c r="C45" s="319" t="s">
        <v>50</v>
      </c>
      <c r="D45" s="293">
        <f>8764/18.62</f>
        <v>470.6766917293233</v>
      </c>
      <c r="E45" s="293"/>
      <c r="F45" s="296" t="s">
        <v>1208</v>
      </c>
      <c r="G45" s="319"/>
      <c r="H45" s="401" t="s">
        <v>1403</v>
      </c>
    </row>
    <row r="46" spans="1:8" s="356" customFormat="1">
      <c r="A46" s="324">
        <v>39</v>
      </c>
      <c r="B46" s="302" t="s">
        <v>1415</v>
      </c>
      <c r="C46" s="319" t="s">
        <v>50</v>
      </c>
      <c r="D46" s="293">
        <f>9432/18.62</f>
        <v>506.55209452201933</v>
      </c>
      <c r="E46" s="293"/>
      <c r="F46" s="296" t="s">
        <v>1208</v>
      </c>
      <c r="G46" s="319"/>
      <c r="H46" s="401" t="s">
        <v>1405</v>
      </c>
    </row>
    <row r="47" spans="1:8" s="356" customFormat="1">
      <c r="A47" s="324">
        <v>40</v>
      </c>
      <c r="B47" s="302" t="s">
        <v>1416</v>
      </c>
      <c r="C47" s="319" t="s">
        <v>50</v>
      </c>
      <c r="D47" s="293">
        <f>11334/18.62</f>
        <v>608.70032223415683</v>
      </c>
      <c r="E47" s="293"/>
      <c r="F47" s="296" t="s">
        <v>1208</v>
      </c>
      <c r="G47" s="319"/>
      <c r="H47" s="319" t="s">
        <v>1385</v>
      </c>
    </row>
    <row r="48" spans="1:8" s="355" customFormat="1">
      <c r="A48" s="324">
        <v>41</v>
      </c>
      <c r="B48" s="303" t="s">
        <v>1417</v>
      </c>
      <c r="C48" s="318" t="s">
        <v>50</v>
      </c>
      <c r="D48" s="293">
        <f>8939/17.56</f>
        <v>509.05466970387249</v>
      </c>
      <c r="E48" s="285"/>
      <c r="F48" s="296" t="s">
        <v>1208</v>
      </c>
      <c r="G48" s="318"/>
      <c r="H48" s="401" t="s">
        <v>1406</v>
      </c>
    </row>
    <row r="49" spans="1:12" s="355" customFormat="1">
      <c r="A49" s="324">
        <v>42</v>
      </c>
      <c r="B49" s="303" t="s">
        <v>1418</v>
      </c>
      <c r="C49" s="318" t="s">
        <v>50</v>
      </c>
      <c r="D49" s="293">
        <f>7898/18.62</f>
        <v>424.16756176154672</v>
      </c>
      <c r="E49" s="285"/>
      <c r="F49" s="296" t="s">
        <v>1208</v>
      </c>
      <c r="G49" s="318"/>
      <c r="H49" s="401" t="s">
        <v>1407</v>
      </c>
    </row>
    <row r="50" spans="1:12" s="355" customFormat="1">
      <c r="A50" s="324">
        <v>43</v>
      </c>
      <c r="B50" s="321" t="s">
        <v>1413</v>
      </c>
      <c r="C50" s="318" t="s">
        <v>113</v>
      </c>
      <c r="D50" s="293">
        <f>(2840/12)/18*4*3.28</f>
        <v>172.50370370370368</v>
      </c>
      <c r="E50" s="285"/>
      <c r="F50" s="296" t="s">
        <v>1208</v>
      </c>
      <c r="G50" s="318" t="s">
        <v>811</v>
      </c>
      <c r="H50" s="401" t="s">
        <v>1383</v>
      </c>
    </row>
    <row r="51" spans="1:12" s="355" customFormat="1">
      <c r="A51" s="324">
        <v>44</v>
      </c>
      <c r="B51" s="302" t="s">
        <v>1419</v>
      </c>
      <c r="C51" s="319" t="s">
        <v>50</v>
      </c>
      <c r="D51" s="293">
        <f>13024/18.62</f>
        <v>699.46294307196558</v>
      </c>
      <c r="E51" s="293"/>
      <c r="F51" s="296" t="s">
        <v>1208</v>
      </c>
      <c r="G51" s="319"/>
      <c r="H51" s="401" t="s">
        <v>1408</v>
      </c>
    </row>
    <row r="52" spans="1:12" s="355" customFormat="1">
      <c r="A52" s="324">
        <v>45</v>
      </c>
      <c r="B52" s="302" t="s">
        <v>1420</v>
      </c>
      <c r="C52" s="319" t="s">
        <v>50</v>
      </c>
      <c r="D52" s="293">
        <f>10650/18.62</f>
        <v>571.96562835660575</v>
      </c>
      <c r="E52" s="293"/>
      <c r="F52" s="296" t="s">
        <v>1208</v>
      </c>
      <c r="G52" s="319"/>
      <c r="H52" s="401" t="s">
        <v>1409</v>
      </c>
      <c r="J52" s="355">
        <v>21</v>
      </c>
    </row>
    <row r="53" spans="1:12" s="355" customFormat="1">
      <c r="A53" s="324">
        <v>46</v>
      </c>
      <c r="B53" s="302" t="s">
        <v>1421</v>
      </c>
      <c r="C53" s="319" t="s">
        <v>50</v>
      </c>
      <c r="D53" s="293">
        <f>8265/18.62</f>
        <v>443.87755102040813</v>
      </c>
      <c r="E53" s="293"/>
      <c r="F53" s="296" t="s">
        <v>1208</v>
      </c>
      <c r="G53" s="319"/>
      <c r="H53" s="319"/>
    </row>
    <row r="54" spans="1:12" s="356" customFormat="1">
      <c r="A54" s="324">
        <v>47</v>
      </c>
      <c r="B54" s="302" t="s">
        <v>20</v>
      </c>
      <c r="C54" s="319" t="s">
        <v>50</v>
      </c>
      <c r="D54" s="293" t="s">
        <v>1208</v>
      </c>
      <c r="E54" s="293"/>
      <c r="F54" s="296" t="s">
        <v>1208</v>
      </c>
      <c r="G54" s="308"/>
      <c r="H54" s="308"/>
    </row>
    <row r="55" spans="1:12">
      <c r="A55" s="324">
        <v>48</v>
      </c>
      <c r="B55" s="321" t="s">
        <v>120</v>
      </c>
      <c r="C55" s="318" t="s">
        <v>74</v>
      </c>
      <c r="D55" s="293">
        <v>904</v>
      </c>
      <c r="E55" s="285"/>
      <c r="F55" s="304">
        <f t="shared" si="1"/>
        <v>904</v>
      </c>
      <c r="G55" s="318"/>
      <c r="H55" s="319" t="s">
        <v>1261</v>
      </c>
    </row>
    <row r="56" spans="1:12">
      <c r="A56" s="324">
        <v>49</v>
      </c>
      <c r="B56" s="321" t="s">
        <v>251</v>
      </c>
      <c r="C56" s="318" t="s">
        <v>50</v>
      </c>
      <c r="D56" s="293">
        <v>142</v>
      </c>
      <c r="E56" s="285"/>
      <c r="F56" s="304">
        <f t="shared" si="1"/>
        <v>142</v>
      </c>
      <c r="G56" s="318"/>
      <c r="H56" s="319" t="s">
        <v>1262</v>
      </c>
    </row>
    <row r="57" spans="1:12" s="769" customFormat="1">
      <c r="A57" s="764">
        <v>50</v>
      </c>
      <c r="B57" s="765" t="s">
        <v>244</v>
      </c>
      <c r="C57" s="766" t="s">
        <v>134</v>
      </c>
      <c r="D57" s="770">
        <v>2.407</v>
      </c>
      <c r="E57" s="771"/>
      <c r="F57" s="772">
        <f t="shared" si="1"/>
        <v>2.407</v>
      </c>
      <c r="G57" s="773"/>
      <c r="H57" s="776" t="s">
        <v>1263</v>
      </c>
    </row>
    <row r="58" spans="1:12" s="769" customFormat="1">
      <c r="A58" s="764">
        <v>51</v>
      </c>
      <c r="B58" s="765" t="s">
        <v>245</v>
      </c>
      <c r="C58" s="766" t="s">
        <v>134</v>
      </c>
      <c r="D58" s="770">
        <f>4814/1000</f>
        <v>4.8140000000000001</v>
      </c>
      <c r="E58" s="771"/>
      <c r="F58" s="772">
        <f t="shared" si="1"/>
        <v>4.8140000000000001</v>
      </c>
      <c r="G58" s="773"/>
      <c r="H58" s="766" t="s">
        <v>1264</v>
      </c>
    </row>
    <row r="59" spans="1:12">
      <c r="A59" s="324">
        <v>52</v>
      </c>
      <c r="B59" s="321" t="s">
        <v>369</v>
      </c>
      <c r="C59" s="318" t="s">
        <v>604</v>
      </c>
      <c r="D59" s="293">
        <v>10</v>
      </c>
      <c r="E59" s="285"/>
      <c r="F59" s="287">
        <f t="shared" si="1"/>
        <v>10</v>
      </c>
      <c r="G59" s="319"/>
      <c r="H59" s="319" t="s">
        <v>1265</v>
      </c>
    </row>
    <row r="60" spans="1:12">
      <c r="A60" s="324">
        <v>53</v>
      </c>
      <c r="B60" s="303" t="s">
        <v>1179</v>
      </c>
      <c r="C60" s="318" t="s">
        <v>50</v>
      </c>
      <c r="D60" s="293">
        <f>185*40</f>
        <v>7400</v>
      </c>
      <c r="E60" s="285"/>
      <c r="F60" s="304">
        <f t="shared" si="1"/>
        <v>7400</v>
      </c>
      <c r="G60" s="318"/>
      <c r="H60" s="319" t="s">
        <v>1266</v>
      </c>
    </row>
    <row r="61" spans="1:12">
      <c r="A61" s="324">
        <v>54</v>
      </c>
      <c r="B61" s="286" t="s">
        <v>1078</v>
      </c>
      <c r="C61" s="318" t="s">
        <v>46</v>
      </c>
      <c r="D61" s="293">
        <v>22</v>
      </c>
      <c r="E61" s="285"/>
      <c r="F61" s="304">
        <f t="shared" si="1"/>
        <v>22</v>
      </c>
      <c r="G61" s="326"/>
      <c r="H61" s="319" t="s">
        <v>1267</v>
      </c>
    </row>
    <row r="62" spans="1:12" s="355" customFormat="1">
      <c r="A62" s="349">
        <v>55</v>
      </c>
      <c r="B62" s="350" t="s">
        <v>734</v>
      </c>
      <c r="C62" s="351" t="s">
        <v>50</v>
      </c>
      <c r="D62" s="352"/>
      <c r="E62" s="353"/>
      <c r="F62" s="376"/>
      <c r="G62" s="351"/>
      <c r="H62" s="351"/>
    </row>
    <row r="63" spans="1:12">
      <c r="A63" s="324">
        <v>56</v>
      </c>
      <c r="B63" s="321" t="s">
        <v>1216</v>
      </c>
      <c r="C63" s="318" t="s">
        <v>50</v>
      </c>
      <c r="D63" s="293">
        <f>1776/20</f>
        <v>88.8</v>
      </c>
      <c r="E63" s="285"/>
      <c r="F63" s="304">
        <f t="shared" ref="F63:F70" si="2">D63+E63</f>
        <v>88.8</v>
      </c>
      <c r="G63" s="318"/>
      <c r="H63" s="319" t="s">
        <v>1268</v>
      </c>
    </row>
    <row r="64" spans="1:12" s="380" customFormat="1" ht="24">
      <c r="A64" s="373">
        <v>57</v>
      </c>
      <c r="B64" s="378" t="s">
        <v>725</v>
      </c>
      <c r="C64" s="373" t="s">
        <v>107</v>
      </c>
      <c r="D64" s="339">
        <f>149/1.13</f>
        <v>131.85840707964604</v>
      </c>
      <c r="E64" s="339"/>
      <c r="F64" s="379">
        <f t="shared" si="2"/>
        <v>131.85840707964604</v>
      </c>
      <c r="G64" s="373" t="s">
        <v>1211</v>
      </c>
      <c r="H64" s="377" t="s">
        <v>1212</v>
      </c>
      <c r="L64" s="380">
        <f>1800-1685</f>
        <v>115</v>
      </c>
    </row>
    <row r="65" spans="1:12" s="380" customFormat="1">
      <c r="A65" s="373">
        <v>58</v>
      </c>
      <c r="B65" s="378" t="s">
        <v>1272</v>
      </c>
      <c r="C65" s="373" t="s">
        <v>107</v>
      </c>
      <c r="D65" s="339">
        <v>173</v>
      </c>
      <c r="E65" s="339"/>
      <c r="F65" s="379">
        <f t="shared" si="2"/>
        <v>173</v>
      </c>
      <c r="G65" s="373"/>
      <c r="H65" s="427"/>
      <c r="L65" s="380">
        <f>L64/1685</f>
        <v>6.8249258160237386E-2</v>
      </c>
    </row>
    <row r="66" spans="1:12" s="386" customFormat="1" ht="24">
      <c r="A66" s="381">
        <v>59</v>
      </c>
      <c r="B66" s="382" t="s">
        <v>1128</v>
      </c>
      <c r="C66" s="381" t="s">
        <v>74</v>
      </c>
      <c r="D66" s="383">
        <v>220</v>
      </c>
      <c r="E66" s="383"/>
      <c r="F66" s="384">
        <f t="shared" si="2"/>
        <v>220</v>
      </c>
      <c r="G66" s="381"/>
      <c r="H66" s="385" t="s">
        <v>1269</v>
      </c>
    </row>
    <row r="67" spans="1:12">
      <c r="A67" s="324">
        <v>60</v>
      </c>
      <c r="B67" s="321" t="s">
        <v>96</v>
      </c>
      <c r="C67" s="318" t="s">
        <v>134</v>
      </c>
      <c r="D67" s="293">
        <v>303</v>
      </c>
      <c r="E67" s="285"/>
      <c r="F67" s="304">
        <f t="shared" si="2"/>
        <v>303</v>
      </c>
      <c r="G67" s="318"/>
      <c r="H67" s="319" t="s">
        <v>1270</v>
      </c>
    </row>
    <row r="68" spans="1:12" ht="12.75" customHeight="1">
      <c r="A68" s="324">
        <v>61</v>
      </c>
      <c r="B68" s="321" t="s">
        <v>250</v>
      </c>
      <c r="C68" s="318" t="s">
        <v>74</v>
      </c>
      <c r="D68" s="293">
        <v>121</v>
      </c>
      <c r="E68" s="285"/>
      <c r="F68" s="304">
        <f t="shared" si="2"/>
        <v>121</v>
      </c>
      <c r="G68" s="318"/>
      <c r="H68" s="319" t="s">
        <v>1271</v>
      </c>
    </row>
    <row r="69" spans="1:12">
      <c r="A69" s="324">
        <v>62</v>
      </c>
      <c r="B69" s="321" t="s">
        <v>1217</v>
      </c>
      <c r="C69" s="318" t="s">
        <v>107</v>
      </c>
      <c r="D69" s="293">
        <v>400</v>
      </c>
      <c r="E69" s="285"/>
      <c r="F69" s="304">
        <f t="shared" si="2"/>
        <v>400</v>
      </c>
      <c r="G69" s="318"/>
      <c r="H69" s="319" t="s">
        <v>1273</v>
      </c>
    </row>
    <row r="70" spans="1:12">
      <c r="A70" s="324">
        <v>63</v>
      </c>
      <c r="B70" s="321" t="s">
        <v>1218</v>
      </c>
      <c r="C70" s="318" t="s">
        <v>107</v>
      </c>
      <c r="D70" s="293">
        <v>400</v>
      </c>
      <c r="E70" s="285"/>
      <c r="F70" s="304">
        <f t="shared" si="2"/>
        <v>400</v>
      </c>
      <c r="G70" s="318"/>
      <c r="H70" s="319" t="s">
        <v>1274</v>
      </c>
    </row>
    <row r="71" spans="1:12">
      <c r="A71" s="324">
        <v>64</v>
      </c>
      <c r="B71" s="286" t="s">
        <v>590</v>
      </c>
      <c r="C71" s="318" t="s">
        <v>46</v>
      </c>
      <c r="D71" s="293"/>
      <c r="E71" s="285"/>
      <c r="F71" s="304"/>
      <c r="G71" s="318"/>
      <c r="H71" s="319"/>
    </row>
    <row r="72" spans="1:12">
      <c r="A72" s="324">
        <v>65</v>
      </c>
      <c r="B72" s="321" t="s">
        <v>627</v>
      </c>
      <c r="C72" s="318" t="s">
        <v>50</v>
      </c>
      <c r="D72" s="293"/>
      <c r="E72" s="285"/>
      <c r="F72" s="287"/>
      <c r="G72" s="318"/>
      <c r="H72" s="318"/>
    </row>
    <row r="73" spans="1:12" ht="15.75" customHeight="1">
      <c r="A73" s="324">
        <v>66</v>
      </c>
      <c r="B73" s="321" t="s">
        <v>1200</v>
      </c>
      <c r="C73" s="318" t="s">
        <v>50</v>
      </c>
      <c r="D73" s="293">
        <v>86</v>
      </c>
      <c r="E73" s="285"/>
      <c r="F73" s="304"/>
      <c r="G73" s="326"/>
      <c r="H73" s="319" t="s">
        <v>1404</v>
      </c>
    </row>
    <row r="74" spans="1:12">
      <c r="A74" s="324">
        <v>67</v>
      </c>
      <c r="B74" s="303" t="s">
        <v>1219</v>
      </c>
      <c r="C74" s="318" t="s">
        <v>50</v>
      </c>
      <c r="D74" s="293">
        <f>10.76*196</f>
        <v>2108.96</v>
      </c>
      <c r="E74" s="285"/>
      <c r="F74" s="304">
        <f>D74+E74</f>
        <v>2108.96</v>
      </c>
      <c r="G74" s="326"/>
      <c r="H74" s="319" t="s">
        <v>1275</v>
      </c>
    </row>
    <row r="75" spans="1:12">
      <c r="A75" s="324">
        <v>68</v>
      </c>
      <c r="B75" s="303" t="s">
        <v>1220</v>
      </c>
      <c r="C75" s="318" t="s">
        <v>113</v>
      </c>
      <c r="D75" s="293">
        <f>(139*10.76)/0.6</f>
        <v>2492.7333333333331</v>
      </c>
      <c r="E75" s="285"/>
      <c r="F75" s="304">
        <f>D75+E75</f>
        <v>2492.7333333333331</v>
      </c>
      <c r="G75" s="326" t="s">
        <v>811</v>
      </c>
      <c r="H75" s="319" t="s">
        <v>1276</v>
      </c>
    </row>
    <row r="76" spans="1:12" s="391" customFormat="1" ht="54" customHeight="1">
      <c r="A76" s="367">
        <v>69</v>
      </c>
      <c r="B76" s="388" t="s">
        <v>1277</v>
      </c>
      <c r="C76" s="367" t="s">
        <v>74</v>
      </c>
      <c r="D76" s="364">
        <v>8</v>
      </c>
      <c r="E76" s="364"/>
      <c r="F76" s="389">
        <f>D76+E76</f>
        <v>8</v>
      </c>
      <c r="G76" s="390"/>
      <c r="H76" s="387" t="s">
        <v>1278</v>
      </c>
    </row>
    <row r="77" spans="1:12">
      <c r="A77" s="324">
        <v>70</v>
      </c>
      <c r="B77" s="295" t="s">
        <v>601</v>
      </c>
      <c r="C77" s="319" t="s">
        <v>50</v>
      </c>
      <c r="D77" s="293"/>
      <c r="E77" s="293"/>
      <c r="F77" s="296"/>
      <c r="G77" s="319"/>
      <c r="H77" s="319"/>
    </row>
    <row r="78" spans="1:12" s="355" customFormat="1">
      <c r="A78" s="349">
        <v>71</v>
      </c>
      <c r="B78" s="359" t="s">
        <v>608</v>
      </c>
      <c r="C78" s="354" t="s">
        <v>113</v>
      </c>
      <c r="D78" s="352"/>
      <c r="E78" s="352"/>
      <c r="F78" s="358">
        <f t="shared" ref="F78:F92" si="3">D78+E78</f>
        <v>0</v>
      </c>
      <c r="G78" s="360"/>
      <c r="H78" s="354"/>
    </row>
    <row r="79" spans="1:12" s="356" customFormat="1">
      <c r="A79" s="349">
        <v>72</v>
      </c>
      <c r="B79" s="357" t="s">
        <v>609</v>
      </c>
      <c r="C79" s="354" t="s">
        <v>113</v>
      </c>
      <c r="D79" s="352"/>
      <c r="E79" s="352"/>
      <c r="F79" s="358">
        <f t="shared" si="3"/>
        <v>0</v>
      </c>
      <c r="G79" s="360"/>
      <c r="H79" s="354"/>
    </row>
    <row r="80" spans="1:12" s="263" customFormat="1">
      <c r="A80" s="324">
        <v>73</v>
      </c>
      <c r="B80" s="302" t="s">
        <v>37</v>
      </c>
      <c r="C80" s="319" t="s">
        <v>74</v>
      </c>
      <c r="D80" s="293">
        <v>110</v>
      </c>
      <c r="E80" s="293"/>
      <c r="F80" s="306">
        <f t="shared" si="3"/>
        <v>110</v>
      </c>
      <c r="G80" s="319"/>
      <c r="H80" s="319" t="s">
        <v>1279</v>
      </c>
    </row>
    <row r="81" spans="1:8" s="263" customFormat="1">
      <c r="A81" s="324">
        <v>74</v>
      </c>
      <c r="B81" s="302" t="s">
        <v>34</v>
      </c>
      <c r="C81" s="319" t="s">
        <v>74</v>
      </c>
      <c r="D81" s="293">
        <v>120</v>
      </c>
      <c r="E81" s="293"/>
      <c r="F81" s="306">
        <f t="shared" si="3"/>
        <v>120</v>
      </c>
      <c r="G81" s="319"/>
      <c r="H81" s="319" t="s">
        <v>1280</v>
      </c>
    </row>
    <row r="82" spans="1:8" s="263" customFormat="1">
      <c r="A82" s="324">
        <v>75</v>
      </c>
      <c r="B82" s="302" t="s">
        <v>36</v>
      </c>
      <c r="C82" s="319" t="s">
        <v>74</v>
      </c>
      <c r="D82" s="293">
        <v>115</v>
      </c>
      <c r="E82" s="293"/>
      <c r="F82" s="306">
        <f t="shared" si="3"/>
        <v>115</v>
      </c>
      <c r="G82" s="319"/>
      <c r="H82" s="319" t="s">
        <v>1281</v>
      </c>
    </row>
    <row r="83" spans="1:8" s="263" customFormat="1">
      <c r="A83" s="324">
        <v>76</v>
      </c>
      <c r="B83" s="302" t="s">
        <v>35</v>
      </c>
      <c r="C83" s="319" t="s">
        <v>74</v>
      </c>
      <c r="D83" s="293">
        <v>115</v>
      </c>
      <c r="E83" s="293"/>
      <c r="F83" s="306">
        <f t="shared" si="3"/>
        <v>115</v>
      </c>
      <c r="G83" s="319"/>
      <c r="H83" s="319" t="s">
        <v>1282</v>
      </c>
    </row>
    <row r="84" spans="1:8" s="391" customFormat="1">
      <c r="A84" s="361">
        <v>77</v>
      </c>
      <c r="B84" s="388" t="s">
        <v>1048</v>
      </c>
      <c r="C84" s="367" t="s">
        <v>50</v>
      </c>
      <c r="D84" s="364"/>
      <c r="E84" s="364"/>
      <c r="F84" s="389"/>
      <c r="G84" s="367"/>
      <c r="H84" s="367"/>
    </row>
    <row r="85" spans="1:8">
      <c r="A85" s="324">
        <v>78</v>
      </c>
      <c r="B85" s="321" t="s">
        <v>1221</v>
      </c>
      <c r="C85" s="318" t="s">
        <v>50</v>
      </c>
      <c r="D85" s="293">
        <v>1213</v>
      </c>
      <c r="E85" s="285"/>
      <c r="F85" s="304">
        <f t="shared" si="3"/>
        <v>1213</v>
      </c>
      <c r="G85" s="318"/>
      <c r="H85" s="319" t="s">
        <v>1283</v>
      </c>
    </row>
    <row r="86" spans="1:8" ht="15" customHeight="1">
      <c r="A86" s="324">
        <v>79</v>
      </c>
      <c r="B86" s="321" t="s">
        <v>1222</v>
      </c>
      <c r="C86" s="318" t="s">
        <v>50</v>
      </c>
      <c r="D86" s="293">
        <v>1378</v>
      </c>
      <c r="E86" s="285"/>
      <c r="F86" s="304">
        <f t="shared" si="3"/>
        <v>1378</v>
      </c>
      <c r="G86" s="318"/>
      <c r="H86" s="319" t="s">
        <v>1284</v>
      </c>
    </row>
    <row r="87" spans="1:8">
      <c r="A87" s="324">
        <v>80</v>
      </c>
      <c r="B87" s="321" t="s">
        <v>1223</v>
      </c>
      <c r="C87" s="318" t="s">
        <v>50</v>
      </c>
      <c r="D87" s="293">
        <v>1488</v>
      </c>
      <c r="E87" s="285"/>
      <c r="F87" s="304">
        <f t="shared" si="3"/>
        <v>1488</v>
      </c>
      <c r="G87" s="318"/>
      <c r="H87" s="319" t="s">
        <v>1285</v>
      </c>
    </row>
    <row r="88" spans="1:8" s="399" customFormat="1">
      <c r="A88" s="392">
        <v>81</v>
      </c>
      <c r="B88" s="393" t="s">
        <v>223</v>
      </c>
      <c r="C88" s="394" t="s">
        <v>74</v>
      </c>
      <c r="D88" s="395">
        <v>2</v>
      </c>
      <c r="E88" s="396"/>
      <c r="F88" s="397">
        <f t="shared" si="3"/>
        <v>2</v>
      </c>
      <c r="G88" s="394"/>
      <c r="H88" s="398"/>
    </row>
    <row r="89" spans="1:8" s="786" customFormat="1">
      <c r="A89" s="779">
        <v>82</v>
      </c>
      <c r="B89" s="780" t="s">
        <v>691</v>
      </c>
      <c r="C89" s="781" t="s">
        <v>68</v>
      </c>
      <c r="D89" s="782">
        <v>1430</v>
      </c>
      <c r="E89" s="783"/>
      <c r="F89" s="784">
        <f t="shared" si="3"/>
        <v>1430</v>
      </c>
      <c r="G89" s="781" t="s">
        <v>1257</v>
      </c>
      <c r="H89" s="785" t="s">
        <v>1286</v>
      </c>
    </row>
    <row r="90" spans="1:8">
      <c r="A90" s="324">
        <v>83</v>
      </c>
      <c r="B90" s="286" t="s">
        <v>1081</v>
      </c>
      <c r="C90" s="318" t="s">
        <v>50</v>
      </c>
      <c r="D90" s="293"/>
      <c r="E90" s="285"/>
      <c r="F90" s="304"/>
      <c r="G90" s="318"/>
      <c r="H90" s="319"/>
    </row>
    <row r="91" spans="1:8">
      <c r="A91" s="324">
        <v>84</v>
      </c>
      <c r="B91" s="321" t="s">
        <v>142</v>
      </c>
      <c r="C91" s="318" t="s">
        <v>74</v>
      </c>
      <c r="D91" s="293">
        <v>194</v>
      </c>
      <c r="E91" s="285"/>
      <c r="F91" s="304">
        <f t="shared" si="3"/>
        <v>194</v>
      </c>
      <c r="G91" s="318"/>
      <c r="H91" s="319" t="s">
        <v>1287</v>
      </c>
    </row>
    <row r="92" spans="1:8">
      <c r="A92" s="324">
        <v>85</v>
      </c>
      <c r="B92" s="321" t="s">
        <v>95</v>
      </c>
      <c r="C92" s="318" t="s">
        <v>134</v>
      </c>
      <c r="D92" s="293">
        <v>83</v>
      </c>
      <c r="E92" s="285"/>
      <c r="F92" s="304">
        <f t="shared" si="3"/>
        <v>83</v>
      </c>
      <c r="G92" s="318"/>
      <c r="H92" s="319" t="s">
        <v>1288</v>
      </c>
    </row>
    <row r="93" spans="1:8">
      <c r="A93" s="324">
        <v>86</v>
      </c>
      <c r="B93" s="286" t="s">
        <v>591</v>
      </c>
      <c r="C93" s="318" t="s">
        <v>46</v>
      </c>
      <c r="D93" s="293"/>
      <c r="E93" s="285"/>
      <c r="F93" s="287"/>
      <c r="G93" s="318"/>
      <c r="H93" s="319"/>
    </row>
    <row r="94" spans="1:8">
      <c r="A94" s="324">
        <v>87</v>
      </c>
      <c r="B94" s="321" t="s">
        <v>1191</v>
      </c>
      <c r="C94" s="318" t="s">
        <v>134</v>
      </c>
      <c r="D94" s="293">
        <v>44</v>
      </c>
      <c r="E94" s="285"/>
      <c r="F94" s="304">
        <f t="shared" ref="F94:F109" si="4">D94+E94</f>
        <v>44</v>
      </c>
      <c r="G94" s="318"/>
      <c r="H94" s="319" t="s">
        <v>1289</v>
      </c>
    </row>
    <row r="95" spans="1:8">
      <c r="A95" s="324">
        <v>88</v>
      </c>
      <c r="B95" s="321" t="s">
        <v>1192</v>
      </c>
      <c r="C95" s="318" t="s">
        <v>134</v>
      </c>
      <c r="D95" s="293">
        <v>66</v>
      </c>
      <c r="E95" s="285"/>
      <c r="F95" s="304">
        <f t="shared" si="4"/>
        <v>66</v>
      </c>
      <c r="G95" s="318"/>
      <c r="H95" s="319" t="s">
        <v>1290</v>
      </c>
    </row>
    <row r="96" spans="1:8">
      <c r="A96" s="324">
        <v>89</v>
      </c>
      <c r="B96" s="321" t="s">
        <v>1193</v>
      </c>
      <c r="C96" s="318" t="s">
        <v>134</v>
      </c>
      <c r="D96" s="293">
        <v>77</v>
      </c>
      <c r="E96" s="285"/>
      <c r="F96" s="304">
        <f t="shared" si="4"/>
        <v>77</v>
      </c>
      <c r="G96" s="318"/>
      <c r="H96" s="319" t="s">
        <v>1291</v>
      </c>
    </row>
    <row r="97" spans="1:8">
      <c r="A97" s="324">
        <v>90</v>
      </c>
      <c r="B97" s="321" t="s">
        <v>1392</v>
      </c>
      <c r="C97" s="318" t="s">
        <v>134</v>
      </c>
      <c r="D97" s="293">
        <f>132/5</f>
        <v>26.4</v>
      </c>
      <c r="E97" s="285"/>
      <c r="F97" s="304">
        <f t="shared" si="4"/>
        <v>26.4</v>
      </c>
      <c r="G97" s="318" t="s">
        <v>1391</v>
      </c>
      <c r="H97" s="319" t="s">
        <v>1393</v>
      </c>
    </row>
    <row r="98" spans="1:8" s="375" customFormat="1">
      <c r="A98" s="369">
        <v>91</v>
      </c>
      <c r="B98" s="370" t="s">
        <v>1196</v>
      </c>
      <c r="C98" s="340" t="s">
        <v>285</v>
      </c>
      <c r="D98" s="339">
        <v>4005</v>
      </c>
      <c r="E98" s="371"/>
      <c r="F98" s="372">
        <f t="shared" si="4"/>
        <v>4005</v>
      </c>
      <c r="G98" s="340"/>
      <c r="H98" s="373" t="s">
        <v>1292</v>
      </c>
    </row>
    <row r="99" spans="1:8" s="375" customFormat="1">
      <c r="A99" s="369">
        <v>92</v>
      </c>
      <c r="B99" s="370" t="s">
        <v>1197</v>
      </c>
      <c r="C99" s="340" t="s">
        <v>285</v>
      </c>
      <c r="D99" s="339">
        <f>D98</f>
        <v>4005</v>
      </c>
      <c r="E99" s="371"/>
      <c r="F99" s="372">
        <f t="shared" si="4"/>
        <v>4005</v>
      </c>
      <c r="G99" s="340"/>
      <c r="H99" s="373" t="s">
        <v>1292</v>
      </c>
    </row>
    <row r="100" spans="1:8" s="375" customFormat="1">
      <c r="A100" s="369">
        <v>93</v>
      </c>
      <c r="B100" s="370" t="s">
        <v>1198</v>
      </c>
      <c r="C100" s="340" t="s">
        <v>285</v>
      </c>
      <c r="D100" s="339">
        <f>D99</f>
        <v>4005</v>
      </c>
      <c r="E100" s="371"/>
      <c r="F100" s="372">
        <f t="shared" si="4"/>
        <v>4005</v>
      </c>
      <c r="G100" s="340"/>
      <c r="H100" s="373" t="s">
        <v>1292</v>
      </c>
    </row>
    <row r="101" spans="1:8" s="375" customFormat="1">
      <c r="A101" s="369">
        <v>94</v>
      </c>
      <c r="B101" s="370" t="s">
        <v>1199</v>
      </c>
      <c r="C101" s="340" t="s">
        <v>285</v>
      </c>
      <c r="D101" s="339">
        <f>D100</f>
        <v>4005</v>
      </c>
      <c r="E101" s="371"/>
      <c r="F101" s="372">
        <f t="shared" si="4"/>
        <v>4005</v>
      </c>
      <c r="G101" s="340"/>
      <c r="H101" s="373" t="s">
        <v>1293</v>
      </c>
    </row>
    <row r="102" spans="1:8">
      <c r="A102" s="324">
        <v>95</v>
      </c>
      <c r="B102" s="321" t="s">
        <v>1061</v>
      </c>
      <c r="C102" s="318" t="s">
        <v>50</v>
      </c>
      <c r="D102" s="293">
        <f>(1/(0.226*0.2))*44</f>
        <v>973.45132743362831</v>
      </c>
      <c r="E102" s="285"/>
      <c r="F102" s="287">
        <f t="shared" si="4"/>
        <v>973.45132743362831</v>
      </c>
      <c r="G102" s="318"/>
      <c r="H102" s="319" t="s">
        <v>1294</v>
      </c>
    </row>
    <row r="103" spans="1:8" s="263" customFormat="1">
      <c r="A103" s="319">
        <v>96</v>
      </c>
      <c r="B103" s="302" t="s">
        <v>1062</v>
      </c>
      <c r="C103" s="319" t="s">
        <v>50</v>
      </c>
      <c r="D103" s="293">
        <f>(1/(0.226*0.2))*50</f>
        <v>1106.1946902654868</v>
      </c>
      <c r="E103" s="293"/>
      <c r="F103" s="296">
        <f t="shared" si="4"/>
        <v>1106.1946902654868</v>
      </c>
      <c r="G103" s="319"/>
      <c r="H103" s="319" t="s">
        <v>1295</v>
      </c>
    </row>
    <row r="104" spans="1:8">
      <c r="A104" s="324">
        <v>97</v>
      </c>
      <c r="B104" s="321" t="s">
        <v>1083</v>
      </c>
      <c r="C104" s="318" t="s">
        <v>50</v>
      </c>
      <c r="D104" s="293">
        <f>(1/(0.226*0.2))*58</f>
        <v>1283.1858407079646</v>
      </c>
      <c r="E104" s="285"/>
      <c r="F104" s="287">
        <f t="shared" si="4"/>
        <v>1283.1858407079646</v>
      </c>
      <c r="G104" s="318"/>
      <c r="H104" s="319" t="s">
        <v>1296</v>
      </c>
    </row>
    <row r="105" spans="1:8">
      <c r="A105" s="324">
        <v>98</v>
      </c>
      <c r="B105" s="321" t="s">
        <v>201</v>
      </c>
      <c r="C105" s="318" t="s">
        <v>74</v>
      </c>
      <c r="D105" s="293">
        <v>139</v>
      </c>
      <c r="E105" s="285"/>
      <c r="F105" s="287">
        <f t="shared" si="4"/>
        <v>139</v>
      </c>
      <c r="G105" s="318"/>
      <c r="H105" s="319" t="s">
        <v>1324</v>
      </c>
    </row>
    <row r="106" spans="1:8" s="399" customFormat="1">
      <c r="A106" s="392">
        <v>99</v>
      </c>
      <c r="B106" s="413" t="s">
        <v>13</v>
      </c>
      <c r="C106" s="394" t="s">
        <v>74</v>
      </c>
      <c r="D106" s="395"/>
      <c r="E106" s="396"/>
      <c r="F106" s="397"/>
      <c r="G106" s="394"/>
      <c r="H106" s="398"/>
    </row>
    <row r="107" spans="1:8">
      <c r="A107" s="324">
        <v>100</v>
      </c>
      <c r="B107" s="321" t="s">
        <v>1299</v>
      </c>
      <c r="C107" s="318" t="s">
        <v>46</v>
      </c>
      <c r="D107" s="293">
        <f>139/8</f>
        <v>17.375</v>
      </c>
      <c r="E107" s="285"/>
      <c r="F107" s="304">
        <f t="shared" si="4"/>
        <v>17.375</v>
      </c>
      <c r="G107" s="322"/>
      <c r="H107" s="319" t="s">
        <v>1298</v>
      </c>
    </row>
    <row r="108" spans="1:8" s="436" customFormat="1">
      <c r="A108" s="428">
        <v>101</v>
      </c>
      <c r="B108" s="429" t="s">
        <v>248</v>
      </c>
      <c r="C108" s="430" t="s">
        <v>252</v>
      </c>
      <c r="D108" s="431">
        <v>144</v>
      </c>
      <c r="E108" s="432"/>
      <c r="F108" s="433">
        <f t="shared" si="4"/>
        <v>144</v>
      </c>
      <c r="G108" s="434"/>
      <c r="H108" s="435" t="s">
        <v>1300</v>
      </c>
    </row>
    <row r="109" spans="1:8">
      <c r="A109" s="324">
        <v>102</v>
      </c>
      <c r="B109" s="286" t="s">
        <v>151</v>
      </c>
      <c r="C109" s="318" t="s">
        <v>74</v>
      </c>
      <c r="D109" s="293">
        <v>138</v>
      </c>
      <c r="E109" s="285"/>
      <c r="F109" s="304">
        <f t="shared" si="4"/>
        <v>138</v>
      </c>
      <c r="G109" s="318"/>
      <c r="H109" s="319" t="s">
        <v>1301</v>
      </c>
    </row>
    <row r="110" spans="1:8" s="412" customFormat="1" ht="36">
      <c r="A110" s="398">
        <v>103</v>
      </c>
      <c r="B110" s="410" t="s">
        <v>1190</v>
      </c>
      <c r="C110" s="398" t="s">
        <v>50</v>
      </c>
      <c r="D110" s="395"/>
      <c r="E110" s="395"/>
      <c r="F110" s="411"/>
      <c r="G110" s="398"/>
      <c r="H110" s="398"/>
    </row>
    <row r="111" spans="1:8">
      <c r="A111" s="324">
        <v>104</v>
      </c>
      <c r="B111" s="321" t="s">
        <v>704</v>
      </c>
      <c r="C111" s="318" t="s">
        <v>107</v>
      </c>
      <c r="D111" s="293">
        <v>140</v>
      </c>
      <c r="E111" s="285"/>
      <c r="F111" s="304">
        <f t="shared" ref="F111:F133" si="5">D111+E111</f>
        <v>140</v>
      </c>
      <c r="G111" s="318"/>
      <c r="H111" s="319" t="s">
        <v>1302</v>
      </c>
    </row>
    <row r="112" spans="1:8">
      <c r="A112" s="324">
        <v>105</v>
      </c>
      <c r="B112" s="321" t="s">
        <v>1303</v>
      </c>
      <c r="C112" s="318" t="s">
        <v>134</v>
      </c>
      <c r="D112" s="293">
        <v>358</v>
      </c>
      <c r="E112" s="285"/>
      <c r="F112" s="304">
        <f t="shared" si="5"/>
        <v>358</v>
      </c>
      <c r="G112" s="318"/>
      <c r="H112" s="319" t="s">
        <v>1304</v>
      </c>
    </row>
    <row r="113" spans="1:8">
      <c r="A113" s="324">
        <v>106</v>
      </c>
      <c r="B113" s="286" t="s">
        <v>105</v>
      </c>
      <c r="C113" s="318" t="s">
        <v>74</v>
      </c>
      <c r="D113" s="293">
        <v>578</v>
      </c>
      <c r="E113" s="285"/>
      <c r="F113" s="304">
        <f t="shared" si="5"/>
        <v>578</v>
      </c>
      <c r="G113" s="318"/>
      <c r="H113" s="319" t="s">
        <v>1305</v>
      </c>
    </row>
    <row r="114" spans="1:8" s="263" customFormat="1" ht="24">
      <c r="A114" s="319">
        <v>107</v>
      </c>
      <c r="B114" s="298" t="s">
        <v>1306</v>
      </c>
      <c r="C114" s="319" t="s">
        <v>68</v>
      </c>
      <c r="D114" s="293">
        <f>25*2620</f>
        <v>65500</v>
      </c>
      <c r="E114" s="293"/>
      <c r="F114" s="306">
        <f t="shared" si="5"/>
        <v>65500</v>
      </c>
      <c r="G114" s="307" t="s">
        <v>1084</v>
      </c>
      <c r="H114" s="319" t="s">
        <v>1307</v>
      </c>
    </row>
    <row r="115" spans="1:8">
      <c r="A115" s="324">
        <v>108</v>
      </c>
      <c r="B115" s="321" t="s">
        <v>602</v>
      </c>
      <c r="C115" s="318" t="s">
        <v>74</v>
      </c>
      <c r="D115" s="293">
        <v>22</v>
      </c>
      <c r="E115" s="285"/>
      <c r="F115" s="287">
        <f t="shared" si="5"/>
        <v>22</v>
      </c>
      <c r="G115" s="318"/>
      <c r="H115" s="319" t="s">
        <v>1309</v>
      </c>
    </row>
    <row r="116" spans="1:8" s="263" customFormat="1">
      <c r="A116" s="319">
        <v>109</v>
      </c>
      <c r="B116" s="298" t="s">
        <v>1077</v>
      </c>
      <c r="C116" s="319" t="s">
        <v>50</v>
      </c>
      <c r="D116" s="293">
        <v>2079</v>
      </c>
      <c r="E116" s="293"/>
      <c r="F116" s="306">
        <f t="shared" si="5"/>
        <v>2079</v>
      </c>
      <c r="G116" s="307"/>
      <c r="H116" s="319" t="s">
        <v>1340</v>
      </c>
    </row>
    <row r="117" spans="1:8" s="263" customFormat="1">
      <c r="A117" s="319">
        <v>110</v>
      </c>
      <c r="B117" s="298" t="s">
        <v>1076</v>
      </c>
      <c r="C117" s="319" t="s">
        <v>50</v>
      </c>
      <c r="D117" s="293">
        <v>2079</v>
      </c>
      <c r="E117" s="293"/>
      <c r="F117" s="306">
        <f t="shared" si="5"/>
        <v>2079</v>
      </c>
      <c r="G117" s="307"/>
      <c r="H117" s="319" t="s">
        <v>1341</v>
      </c>
    </row>
    <row r="118" spans="1:8" s="412" customFormat="1">
      <c r="A118" s="392">
        <v>111</v>
      </c>
      <c r="B118" s="410" t="s">
        <v>985</v>
      </c>
      <c r="C118" s="398" t="s">
        <v>74</v>
      </c>
      <c r="D118" s="395"/>
      <c r="E118" s="395"/>
      <c r="F118" s="414"/>
      <c r="G118" s="398"/>
      <c r="H118" s="398"/>
    </row>
    <row r="119" spans="1:8">
      <c r="A119" s="324">
        <v>112</v>
      </c>
      <c r="B119" s="303" t="s">
        <v>1085</v>
      </c>
      <c r="C119" s="318" t="s">
        <v>596</v>
      </c>
      <c r="D119" s="293">
        <v>627</v>
      </c>
      <c r="E119" s="285"/>
      <c r="F119" s="304">
        <f t="shared" si="5"/>
        <v>627</v>
      </c>
      <c r="G119" s="318"/>
      <c r="H119" s="400" t="s">
        <v>1310</v>
      </c>
    </row>
    <row r="120" spans="1:8">
      <c r="A120" s="324">
        <v>113</v>
      </c>
      <c r="B120" s="303" t="s">
        <v>1311</v>
      </c>
      <c r="C120" s="318" t="s">
        <v>134</v>
      </c>
      <c r="D120" s="293">
        <v>1544</v>
      </c>
      <c r="E120" s="285"/>
      <c r="F120" s="304">
        <f t="shared" si="5"/>
        <v>1544</v>
      </c>
      <c r="G120" s="318"/>
      <c r="H120" s="401" t="s">
        <v>1312</v>
      </c>
    </row>
    <row r="121" spans="1:8" s="399" customFormat="1" ht="36">
      <c r="A121" s="392">
        <v>114</v>
      </c>
      <c r="B121" s="415" t="s">
        <v>1086</v>
      </c>
      <c r="C121" s="394" t="s">
        <v>50</v>
      </c>
      <c r="D121" s="395">
        <f>27*10.76</f>
        <v>290.52</v>
      </c>
      <c r="E121" s="396"/>
      <c r="F121" s="397" t="s">
        <v>1208</v>
      </c>
      <c r="G121" s="416"/>
      <c r="H121" s="426" t="s">
        <v>1401</v>
      </c>
    </row>
    <row r="122" spans="1:8">
      <c r="A122" s="324">
        <v>115</v>
      </c>
      <c r="B122" s="303" t="s">
        <v>214</v>
      </c>
      <c r="C122" s="318" t="s">
        <v>74</v>
      </c>
      <c r="D122" s="293">
        <v>130</v>
      </c>
      <c r="E122" s="285"/>
      <c r="F122" s="304">
        <f t="shared" si="5"/>
        <v>130</v>
      </c>
      <c r="G122" s="318"/>
      <c r="H122" s="319" t="s">
        <v>1313</v>
      </c>
    </row>
    <row r="123" spans="1:8">
      <c r="A123" s="324">
        <v>116</v>
      </c>
      <c r="B123" s="292" t="s">
        <v>986</v>
      </c>
      <c r="C123" s="318" t="s">
        <v>74</v>
      </c>
      <c r="D123" s="293">
        <v>140</v>
      </c>
      <c r="E123" s="285"/>
      <c r="F123" s="304">
        <f t="shared" si="5"/>
        <v>140</v>
      </c>
      <c r="G123" s="318"/>
      <c r="H123" s="401" t="s">
        <v>1314</v>
      </c>
    </row>
    <row r="124" spans="1:8" ht="22.8">
      <c r="A124" s="324">
        <v>117</v>
      </c>
      <c r="B124" s="321" t="s">
        <v>200</v>
      </c>
      <c r="C124" s="318" t="s">
        <v>604</v>
      </c>
      <c r="D124" s="293">
        <v>2304</v>
      </c>
      <c r="E124" s="285"/>
      <c r="F124" s="287">
        <f t="shared" si="5"/>
        <v>2304</v>
      </c>
      <c r="G124" s="321" t="s">
        <v>1039</v>
      </c>
      <c r="H124" s="348" t="s">
        <v>1315</v>
      </c>
    </row>
    <row r="125" spans="1:8">
      <c r="A125" s="324">
        <v>118</v>
      </c>
      <c r="B125" s="303" t="s">
        <v>196</v>
      </c>
      <c r="C125" s="318" t="s">
        <v>74</v>
      </c>
      <c r="D125" s="293">
        <v>130</v>
      </c>
      <c r="E125" s="285"/>
      <c r="F125" s="304">
        <f t="shared" si="5"/>
        <v>130</v>
      </c>
      <c r="G125" s="318"/>
      <c r="H125" s="401" t="s">
        <v>1316</v>
      </c>
    </row>
    <row r="126" spans="1:8">
      <c r="A126" s="324">
        <v>119</v>
      </c>
      <c r="B126" s="303" t="s">
        <v>225</v>
      </c>
      <c r="C126" s="318" t="s">
        <v>74</v>
      </c>
      <c r="D126" s="293">
        <v>170</v>
      </c>
      <c r="E126" s="285"/>
      <c r="F126" s="304">
        <f t="shared" si="5"/>
        <v>170</v>
      </c>
      <c r="G126" s="318"/>
      <c r="H126" s="401" t="s">
        <v>1317</v>
      </c>
    </row>
    <row r="127" spans="1:8">
      <c r="A127" s="324">
        <v>120</v>
      </c>
      <c r="B127" s="303" t="s">
        <v>817</v>
      </c>
      <c r="C127" s="318" t="s">
        <v>74</v>
      </c>
      <c r="D127" s="293">
        <v>170</v>
      </c>
      <c r="E127" s="285"/>
      <c r="F127" s="304">
        <f t="shared" si="5"/>
        <v>170</v>
      </c>
      <c r="G127" s="318"/>
      <c r="H127" s="401" t="s">
        <v>1317</v>
      </c>
    </row>
    <row r="128" spans="1:8">
      <c r="A128" s="324">
        <v>121</v>
      </c>
      <c r="B128" s="303" t="s">
        <v>226</v>
      </c>
      <c r="C128" s="318" t="s">
        <v>50</v>
      </c>
      <c r="D128" s="293">
        <f>185*35</f>
        <v>6475</v>
      </c>
      <c r="E128" s="285"/>
      <c r="F128" s="304">
        <f t="shared" si="5"/>
        <v>6475</v>
      </c>
      <c r="G128" s="318" t="s">
        <v>1087</v>
      </c>
      <c r="H128" s="401" t="s">
        <v>1318</v>
      </c>
    </row>
    <row r="129" spans="1:8">
      <c r="A129" s="324">
        <v>122</v>
      </c>
      <c r="B129" s="303" t="s">
        <v>622</v>
      </c>
      <c r="C129" s="318" t="s">
        <v>50</v>
      </c>
      <c r="D129" s="293">
        <f>185*40</f>
        <v>7400</v>
      </c>
      <c r="E129" s="285"/>
      <c r="F129" s="304">
        <f t="shared" si="5"/>
        <v>7400</v>
      </c>
      <c r="G129" s="318" t="s">
        <v>1201</v>
      </c>
      <c r="H129" s="401" t="s">
        <v>1318</v>
      </c>
    </row>
    <row r="130" spans="1:8">
      <c r="A130" s="324">
        <v>123</v>
      </c>
      <c r="B130" s="303" t="s">
        <v>812</v>
      </c>
      <c r="C130" s="318" t="s">
        <v>74</v>
      </c>
      <c r="D130" s="293">
        <v>130</v>
      </c>
      <c r="E130" s="285"/>
      <c r="F130" s="304">
        <f t="shared" si="5"/>
        <v>130</v>
      </c>
      <c r="G130" s="318"/>
      <c r="H130" s="319" t="s">
        <v>1316</v>
      </c>
    </row>
    <row r="131" spans="1:8" s="263" customFormat="1">
      <c r="A131" s="319">
        <v>124</v>
      </c>
      <c r="B131" s="302" t="s">
        <v>1320</v>
      </c>
      <c r="C131" s="319" t="s">
        <v>113</v>
      </c>
      <c r="D131" s="293">
        <f>185*60</f>
        <v>11100</v>
      </c>
      <c r="E131" s="293"/>
      <c r="F131" s="296">
        <f t="shared" si="5"/>
        <v>11100</v>
      </c>
      <c r="G131" s="319"/>
      <c r="H131" s="401" t="s">
        <v>1319</v>
      </c>
    </row>
    <row r="132" spans="1:8">
      <c r="A132" s="324">
        <v>125</v>
      </c>
      <c r="B132" s="321" t="s">
        <v>983</v>
      </c>
      <c r="C132" s="318" t="s">
        <v>68</v>
      </c>
      <c r="D132" s="293">
        <v>400</v>
      </c>
      <c r="E132" s="285"/>
      <c r="F132" s="287">
        <f t="shared" si="5"/>
        <v>400</v>
      </c>
      <c r="G132" s="318"/>
      <c r="H132" s="401" t="s">
        <v>1321</v>
      </c>
    </row>
    <row r="133" spans="1:8">
      <c r="A133" s="324">
        <v>126</v>
      </c>
      <c r="B133" s="321" t="s">
        <v>227</v>
      </c>
      <c r="C133" s="318" t="s">
        <v>134</v>
      </c>
      <c r="D133" s="293"/>
      <c r="E133" s="285"/>
      <c r="F133" s="304">
        <f t="shared" si="5"/>
        <v>0</v>
      </c>
      <c r="G133" s="318"/>
      <c r="H133" s="319"/>
    </row>
    <row r="134" spans="1:8">
      <c r="A134" s="324">
        <v>127</v>
      </c>
      <c r="B134" s="321" t="s">
        <v>228</v>
      </c>
      <c r="C134" s="318" t="s">
        <v>134</v>
      </c>
      <c r="D134" s="293" t="s">
        <v>701</v>
      </c>
      <c r="E134" s="285"/>
      <c r="F134" s="304"/>
      <c r="G134" s="318"/>
      <c r="H134" s="319"/>
    </row>
    <row r="135" spans="1:8" s="769" customFormat="1">
      <c r="A135" s="764">
        <v>128</v>
      </c>
      <c r="B135" s="765" t="s">
        <v>939</v>
      </c>
      <c r="C135" s="766" t="s">
        <v>68</v>
      </c>
      <c r="D135" s="767">
        <v>10500</v>
      </c>
      <c r="E135" s="767"/>
      <c r="F135" s="767">
        <f t="shared" ref="F135:F142" si="6">D135</f>
        <v>10500</v>
      </c>
      <c r="G135" s="766"/>
      <c r="H135" s="768" t="s">
        <v>1387</v>
      </c>
    </row>
    <row r="136" spans="1:8" s="769" customFormat="1">
      <c r="A136" s="764">
        <v>129</v>
      </c>
      <c r="B136" s="765" t="s">
        <v>946</v>
      </c>
      <c r="C136" s="766" t="s">
        <v>68</v>
      </c>
      <c r="D136" s="767">
        <v>11000</v>
      </c>
      <c r="E136" s="767"/>
      <c r="F136" s="767">
        <f t="shared" si="6"/>
        <v>11000</v>
      </c>
      <c r="G136" s="766"/>
      <c r="H136" s="768" t="s">
        <v>1394</v>
      </c>
    </row>
    <row r="137" spans="1:8" s="769" customFormat="1">
      <c r="A137" s="764">
        <v>130</v>
      </c>
      <c r="B137" s="765" t="s">
        <v>947</v>
      </c>
      <c r="C137" s="766" t="s">
        <v>68</v>
      </c>
      <c r="D137" s="767">
        <v>12000</v>
      </c>
      <c r="E137" s="767"/>
      <c r="F137" s="767">
        <f t="shared" si="6"/>
        <v>12000</v>
      </c>
      <c r="G137" s="766"/>
      <c r="H137" s="768" t="s">
        <v>1395</v>
      </c>
    </row>
    <row r="138" spans="1:8" s="769" customFormat="1">
      <c r="A138" s="764">
        <v>131</v>
      </c>
      <c r="B138" s="765" t="s">
        <v>948</v>
      </c>
      <c r="C138" s="766" t="s">
        <v>68</v>
      </c>
      <c r="D138" s="767">
        <v>13000</v>
      </c>
      <c r="E138" s="767"/>
      <c r="F138" s="767">
        <f t="shared" si="6"/>
        <v>13000</v>
      </c>
      <c r="G138" s="766"/>
      <c r="H138" s="768" t="s">
        <v>1396</v>
      </c>
    </row>
    <row r="139" spans="1:8" s="769" customFormat="1">
      <c r="A139" s="764">
        <v>132</v>
      </c>
      <c r="B139" s="765" t="s">
        <v>949</v>
      </c>
      <c r="C139" s="766" t="s">
        <v>68</v>
      </c>
      <c r="D139" s="767">
        <v>14000</v>
      </c>
      <c r="E139" s="767"/>
      <c r="F139" s="767">
        <f t="shared" si="6"/>
        <v>14000</v>
      </c>
      <c r="G139" s="766"/>
      <c r="H139" s="768" t="s">
        <v>1397</v>
      </c>
    </row>
    <row r="140" spans="1:8" s="769" customFormat="1">
      <c r="A140" s="764">
        <v>133</v>
      </c>
      <c r="B140" s="765" t="s">
        <v>1388</v>
      </c>
      <c r="C140" s="766" t="s">
        <v>68</v>
      </c>
      <c r="D140" s="767">
        <v>15000</v>
      </c>
      <c r="E140" s="767"/>
      <c r="F140" s="767">
        <f t="shared" si="6"/>
        <v>15000</v>
      </c>
      <c r="G140" s="766"/>
      <c r="H140" s="768" t="s">
        <v>1398</v>
      </c>
    </row>
    <row r="141" spans="1:8" s="769" customFormat="1">
      <c r="A141" s="764">
        <v>134</v>
      </c>
      <c r="B141" s="765" t="s">
        <v>1389</v>
      </c>
      <c r="C141" s="766" t="s">
        <v>68</v>
      </c>
      <c r="D141" s="767">
        <v>17000</v>
      </c>
      <c r="E141" s="767"/>
      <c r="F141" s="767">
        <f t="shared" si="6"/>
        <v>17000</v>
      </c>
      <c r="G141" s="766"/>
      <c r="H141" s="768" t="s">
        <v>1399</v>
      </c>
    </row>
    <row r="142" spans="1:8" s="769" customFormat="1">
      <c r="A142" s="764">
        <v>135</v>
      </c>
      <c r="B142" s="765" t="s">
        <v>1390</v>
      </c>
      <c r="C142" s="766" t="str">
        <f>C141</f>
        <v>Cum.</v>
      </c>
      <c r="D142" s="767">
        <v>18000</v>
      </c>
      <c r="E142" s="767"/>
      <c r="F142" s="767">
        <f t="shared" si="6"/>
        <v>18000</v>
      </c>
      <c r="G142" s="766"/>
      <c r="H142" s="768" t="s">
        <v>1400</v>
      </c>
    </row>
    <row r="143" spans="1:8">
      <c r="A143" s="417">
        <v>136</v>
      </c>
      <c r="B143" s="321" t="s">
        <v>82</v>
      </c>
      <c r="C143" s="318" t="s">
        <v>46</v>
      </c>
      <c r="D143" s="325">
        <f>139/10</f>
        <v>13.9</v>
      </c>
      <c r="E143" s="285"/>
      <c r="F143" s="304">
        <f>D143+E143</f>
        <v>13.9</v>
      </c>
      <c r="G143" s="318" t="s">
        <v>1322</v>
      </c>
      <c r="H143" s="401" t="s">
        <v>1297</v>
      </c>
    </row>
    <row r="144" spans="1:8" ht="11.25" customHeight="1">
      <c r="A144" s="417">
        <v>137</v>
      </c>
      <c r="B144" s="286" t="s">
        <v>705</v>
      </c>
      <c r="C144" s="318" t="s">
        <v>74</v>
      </c>
      <c r="D144" s="293">
        <v>191</v>
      </c>
      <c r="E144" s="285"/>
      <c r="F144" s="304">
        <f>D144+E144</f>
        <v>191</v>
      </c>
      <c r="G144" s="322"/>
      <c r="H144" s="299" t="s">
        <v>1323</v>
      </c>
    </row>
    <row r="145" spans="1:8">
      <c r="A145" s="417">
        <v>138</v>
      </c>
      <c r="B145" s="301" t="s">
        <v>191</v>
      </c>
      <c r="C145" s="318" t="s">
        <v>46</v>
      </c>
      <c r="D145" s="293">
        <v>103</v>
      </c>
      <c r="E145" s="285"/>
      <c r="F145" s="287">
        <f>D145+E145</f>
        <v>103</v>
      </c>
      <c r="G145" s="318" t="s">
        <v>1104</v>
      </c>
      <c r="H145" s="319" t="s">
        <v>1325</v>
      </c>
    </row>
    <row r="146" spans="1:8" s="347" customFormat="1">
      <c r="A146" s="417">
        <v>139</v>
      </c>
      <c r="B146" s="402" t="s">
        <v>969</v>
      </c>
      <c r="C146" s="343" t="s">
        <v>50</v>
      </c>
      <c r="D146" s="344"/>
      <c r="E146" s="345"/>
      <c r="F146" s="346"/>
      <c r="G146" s="343"/>
      <c r="H146" s="403"/>
    </row>
    <row r="147" spans="1:8" s="375" customFormat="1">
      <c r="A147" s="369">
        <v>140</v>
      </c>
      <c r="B147" s="370" t="s">
        <v>93</v>
      </c>
      <c r="C147" s="340" t="s">
        <v>134</v>
      </c>
      <c r="D147" s="339">
        <f>(0.79+1.05+1.05)/3</f>
        <v>0.96333333333333337</v>
      </c>
      <c r="E147" s="371"/>
      <c r="F147" s="372">
        <f t="shared" ref="F147:F161" si="7">D147+E147</f>
        <v>0.96333333333333337</v>
      </c>
      <c r="G147" s="370"/>
      <c r="H147" s="373" t="s">
        <v>1650</v>
      </c>
    </row>
    <row r="148" spans="1:8" s="380" customFormat="1">
      <c r="A148" s="369">
        <v>141</v>
      </c>
      <c r="B148" s="378" t="s">
        <v>310</v>
      </c>
      <c r="C148" s="373" t="s">
        <v>107</v>
      </c>
      <c r="D148" s="339">
        <f>170.5/1.13</f>
        <v>150.88495575221239</v>
      </c>
      <c r="E148" s="339"/>
      <c r="F148" s="379">
        <f t="shared" si="7"/>
        <v>150.88495575221239</v>
      </c>
      <c r="G148" s="373" t="s">
        <v>1651</v>
      </c>
      <c r="H148" s="377"/>
    </row>
    <row r="149" spans="1:8">
      <c r="A149" s="417">
        <v>142</v>
      </c>
      <c r="B149" s="321" t="s">
        <v>727</v>
      </c>
      <c r="C149" s="318" t="s">
        <v>74</v>
      </c>
      <c r="D149" s="293">
        <v>60</v>
      </c>
      <c r="E149" s="285"/>
      <c r="F149" s="304">
        <f t="shared" si="7"/>
        <v>60</v>
      </c>
      <c r="G149" s="318"/>
      <c r="H149" s="319" t="s">
        <v>1326</v>
      </c>
    </row>
    <row r="150" spans="1:8">
      <c r="A150" s="417">
        <v>143</v>
      </c>
      <c r="B150" s="321" t="s">
        <v>145</v>
      </c>
      <c r="C150" s="318" t="s">
        <v>107</v>
      </c>
      <c r="D150" s="293">
        <v>700</v>
      </c>
      <c r="E150" s="285"/>
      <c r="F150" s="304">
        <f t="shared" si="7"/>
        <v>700</v>
      </c>
      <c r="G150" s="318"/>
      <c r="H150" s="319" t="s">
        <v>1327</v>
      </c>
    </row>
    <row r="151" spans="1:8" s="419" customFormat="1">
      <c r="A151" s="417">
        <v>144</v>
      </c>
      <c r="B151" s="760" t="s">
        <v>746</v>
      </c>
      <c r="C151" s="418" t="s">
        <v>50</v>
      </c>
      <c r="D151" s="756">
        <v>690</v>
      </c>
      <c r="E151" s="761"/>
      <c r="F151" s="757">
        <f t="shared" si="7"/>
        <v>690</v>
      </c>
      <c r="G151" s="762"/>
      <c r="H151" s="763" t="s">
        <v>1328</v>
      </c>
    </row>
    <row r="152" spans="1:8" s="419" customFormat="1">
      <c r="A152" s="417">
        <v>145</v>
      </c>
      <c r="B152" s="760" t="s">
        <v>1195</v>
      </c>
      <c r="C152" s="418" t="s">
        <v>50</v>
      </c>
      <c r="D152" s="756">
        <v>1396</v>
      </c>
      <c r="E152" s="761"/>
      <c r="F152" s="757">
        <f t="shared" si="7"/>
        <v>1396</v>
      </c>
      <c r="G152" s="418"/>
      <c r="H152" s="763" t="s">
        <v>1329</v>
      </c>
    </row>
    <row r="153" spans="1:8" s="419" customFormat="1">
      <c r="A153" s="417">
        <v>146</v>
      </c>
      <c r="B153" s="760" t="s">
        <v>1224</v>
      </c>
      <c r="C153" s="418" t="s">
        <v>50</v>
      </c>
      <c r="D153" s="756">
        <v>252</v>
      </c>
      <c r="E153" s="761"/>
      <c r="F153" s="757">
        <f t="shared" si="7"/>
        <v>252</v>
      </c>
      <c r="G153" s="418"/>
      <c r="H153" s="763" t="s">
        <v>1330</v>
      </c>
    </row>
    <row r="154" spans="1:8" s="419" customFormat="1">
      <c r="A154" s="417">
        <v>147</v>
      </c>
      <c r="B154" s="760" t="s">
        <v>1225</v>
      </c>
      <c r="C154" s="418" t="s">
        <v>50</v>
      </c>
      <c r="D154" s="756"/>
      <c r="E154" s="761"/>
      <c r="F154" s="757">
        <f t="shared" si="7"/>
        <v>0</v>
      </c>
      <c r="G154" s="418"/>
      <c r="H154" s="763"/>
    </row>
    <row r="155" spans="1:8" s="419" customFormat="1">
      <c r="A155" s="417">
        <v>148</v>
      </c>
      <c r="B155" s="760" t="s">
        <v>1226</v>
      </c>
      <c r="C155" s="418" t="s">
        <v>50</v>
      </c>
      <c r="D155" s="756">
        <v>290</v>
      </c>
      <c r="E155" s="761"/>
      <c r="F155" s="757">
        <f t="shared" si="7"/>
        <v>290</v>
      </c>
      <c r="G155" s="418"/>
      <c r="H155" s="763" t="s">
        <v>1331</v>
      </c>
    </row>
    <row r="156" spans="1:8" s="419" customFormat="1">
      <c r="A156" s="417">
        <v>149</v>
      </c>
      <c r="B156" s="760" t="s">
        <v>1227</v>
      </c>
      <c r="C156" s="418" t="s">
        <v>50</v>
      </c>
      <c r="D156" s="756"/>
      <c r="E156" s="761"/>
      <c r="F156" s="757">
        <f t="shared" si="7"/>
        <v>0</v>
      </c>
      <c r="G156" s="418"/>
      <c r="H156" s="763"/>
    </row>
    <row r="157" spans="1:8" s="419" customFormat="1">
      <c r="A157" s="417">
        <v>150</v>
      </c>
      <c r="B157" s="760" t="s">
        <v>1228</v>
      </c>
      <c r="C157" s="418" t="s">
        <v>50</v>
      </c>
      <c r="D157" s="756">
        <f>44*10.76</f>
        <v>473.44</v>
      </c>
      <c r="E157" s="761"/>
      <c r="F157" s="757">
        <f t="shared" si="7"/>
        <v>473.44</v>
      </c>
      <c r="G157" s="418"/>
      <c r="H157" s="763" t="s">
        <v>1332</v>
      </c>
    </row>
    <row r="158" spans="1:8">
      <c r="A158" s="417">
        <v>151</v>
      </c>
      <c r="B158" s="303" t="s">
        <v>42</v>
      </c>
      <c r="C158" s="318" t="s">
        <v>50</v>
      </c>
      <c r="D158" s="293">
        <f>2.5*22</f>
        <v>55</v>
      </c>
      <c r="E158" s="285"/>
      <c r="F158" s="304">
        <f t="shared" si="7"/>
        <v>55</v>
      </c>
      <c r="G158" s="318" t="s">
        <v>1105</v>
      </c>
      <c r="H158" s="319" t="s">
        <v>1333</v>
      </c>
    </row>
    <row r="159" spans="1:8">
      <c r="A159" s="417">
        <v>152</v>
      </c>
      <c r="B159" s="292" t="s">
        <v>1183</v>
      </c>
      <c r="C159" s="318" t="s">
        <v>50</v>
      </c>
      <c r="D159" s="306">
        <v>1733</v>
      </c>
      <c r="E159" s="285"/>
      <c r="F159" s="304">
        <f t="shared" si="7"/>
        <v>1733</v>
      </c>
      <c r="G159" s="318"/>
      <c r="H159" s="319" t="s">
        <v>1334</v>
      </c>
    </row>
    <row r="160" spans="1:8">
      <c r="A160" s="417">
        <v>153</v>
      </c>
      <c r="B160" s="303" t="s">
        <v>1184</v>
      </c>
      <c r="C160" s="318" t="s">
        <v>50</v>
      </c>
      <c r="D160" s="293"/>
      <c r="E160" s="285"/>
      <c r="F160" s="304"/>
      <c r="G160" s="318"/>
      <c r="H160" s="318"/>
    </row>
    <row r="161" spans="1:8" s="263" customFormat="1">
      <c r="A161" s="417">
        <v>154</v>
      </c>
      <c r="B161" s="300" t="s">
        <v>1106</v>
      </c>
      <c r="C161" s="319" t="s">
        <v>113</v>
      </c>
      <c r="D161" s="306">
        <f>185*3.281</f>
        <v>606.98500000000001</v>
      </c>
      <c r="E161" s="293"/>
      <c r="F161" s="306">
        <f t="shared" si="7"/>
        <v>606.98500000000001</v>
      </c>
      <c r="G161" s="308"/>
      <c r="H161" s="319" t="s">
        <v>1335</v>
      </c>
    </row>
    <row r="162" spans="1:8" s="391" customFormat="1">
      <c r="A162" s="417">
        <v>155</v>
      </c>
      <c r="B162" s="404" t="s">
        <v>979</v>
      </c>
      <c r="C162" s="367" t="s">
        <v>113</v>
      </c>
      <c r="D162" s="389"/>
      <c r="E162" s="364"/>
      <c r="F162" s="389"/>
      <c r="G162" s="367"/>
      <c r="H162" s="367"/>
    </row>
    <row r="163" spans="1:8" s="391" customFormat="1">
      <c r="A163" s="417">
        <v>156</v>
      </c>
      <c r="B163" s="388" t="s">
        <v>40</v>
      </c>
      <c r="C163" s="367" t="s">
        <v>74</v>
      </c>
      <c r="D163" s="364"/>
      <c r="E163" s="364"/>
      <c r="F163" s="389"/>
      <c r="G163" s="367"/>
      <c r="H163" s="367"/>
    </row>
    <row r="164" spans="1:8" s="391" customFormat="1" ht="24">
      <c r="A164" s="417">
        <v>157</v>
      </c>
      <c r="B164" s="388" t="s">
        <v>976</v>
      </c>
      <c r="C164" s="367" t="s">
        <v>604</v>
      </c>
      <c r="D164" s="364"/>
      <c r="E164" s="364"/>
      <c r="F164" s="405"/>
      <c r="G164" s="367"/>
      <c r="H164" s="367"/>
    </row>
    <row r="165" spans="1:8" s="375" customFormat="1">
      <c r="A165" s="369">
        <v>158</v>
      </c>
      <c r="B165" s="370" t="s">
        <v>1229</v>
      </c>
      <c r="C165" s="373" t="s">
        <v>107</v>
      </c>
      <c r="D165" s="379">
        <v>153</v>
      </c>
      <c r="E165" s="339"/>
      <c r="F165" s="379">
        <f t="shared" ref="F165:F177" si="8">D165+E165</f>
        <v>153</v>
      </c>
      <c r="G165" s="378"/>
      <c r="H165" s="373" t="s">
        <v>1273</v>
      </c>
    </row>
    <row r="166" spans="1:8" s="375" customFormat="1">
      <c r="A166" s="369">
        <v>159</v>
      </c>
      <c r="B166" s="370" t="s">
        <v>1230</v>
      </c>
      <c r="C166" s="373" t="s">
        <v>107</v>
      </c>
      <c r="D166" s="379">
        <v>153</v>
      </c>
      <c r="E166" s="339"/>
      <c r="F166" s="379">
        <f t="shared" si="8"/>
        <v>153</v>
      </c>
      <c r="G166" s="373"/>
      <c r="H166" s="373" t="s">
        <v>1274</v>
      </c>
    </row>
    <row r="167" spans="1:8">
      <c r="A167" s="417">
        <v>160</v>
      </c>
      <c r="B167" s="286" t="s">
        <v>1107</v>
      </c>
      <c r="C167" s="319" t="s">
        <v>603</v>
      </c>
      <c r="D167" s="293">
        <v>1568</v>
      </c>
      <c r="E167" s="293"/>
      <c r="F167" s="306">
        <f t="shared" si="8"/>
        <v>1568</v>
      </c>
      <c r="G167" s="319"/>
      <c r="H167" s="401" t="s">
        <v>1336</v>
      </c>
    </row>
    <row r="168" spans="1:8" s="368" customFormat="1">
      <c r="A168" s="417">
        <v>161</v>
      </c>
      <c r="B168" s="406" t="s">
        <v>758</v>
      </c>
      <c r="C168" s="367" t="s">
        <v>603</v>
      </c>
      <c r="D168" s="364"/>
      <c r="E168" s="364"/>
      <c r="F168" s="389">
        <f t="shared" si="8"/>
        <v>0</v>
      </c>
      <c r="G168" s="367" t="s">
        <v>1337</v>
      </c>
      <c r="H168" s="367" t="s">
        <v>1257</v>
      </c>
    </row>
    <row r="169" spans="1:8">
      <c r="A169" s="417">
        <v>162</v>
      </c>
      <c r="B169" s="286" t="s">
        <v>1339</v>
      </c>
      <c r="C169" s="319" t="s">
        <v>50</v>
      </c>
      <c r="D169" s="293">
        <f>40*185</f>
        <v>7400</v>
      </c>
      <c r="E169" s="293"/>
      <c r="F169" s="306">
        <f t="shared" si="8"/>
        <v>7400</v>
      </c>
      <c r="G169" s="319"/>
      <c r="H169" s="319" t="s">
        <v>1338</v>
      </c>
    </row>
    <row r="170" spans="1:8" s="375" customFormat="1">
      <c r="A170" s="369">
        <v>163</v>
      </c>
      <c r="B170" s="370" t="s">
        <v>186</v>
      </c>
      <c r="C170" s="340" t="s">
        <v>74</v>
      </c>
      <c r="D170" s="339">
        <v>116</v>
      </c>
      <c r="E170" s="371"/>
      <c r="F170" s="372">
        <f t="shared" si="8"/>
        <v>116</v>
      </c>
      <c r="G170" s="340"/>
      <c r="H170" s="373" t="s">
        <v>1301</v>
      </c>
    </row>
    <row r="171" spans="1:8" s="368" customFormat="1">
      <c r="A171" s="417">
        <v>164</v>
      </c>
      <c r="B171" s="362" t="s">
        <v>390</v>
      </c>
      <c r="C171" s="363" t="s">
        <v>1040</v>
      </c>
      <c r="D171" s="364"/>
      <c r="E171" s="365"/>
      <c r="F171" s="407">
        <f t="shared" si="8"/>
        <v>0</v>
      </c>
      <c r="G171" s="363"/>
      <c r="H171" s="367"/>
    </row>
    <row r="172" spans="1:8" s="375" customFormat="1">
      <c r="A172" s="369">
        <v>165</v>
      </c>
      <c r="B172" s="774" t="s">
        <v>57</v>
      </c>
      <c r="C172" s="340" t="s">
        <v>68</v>
      </c>
      <c r="D172" s="339">
        <v>1900</v>
      </c>
      <c r="E172" s="372"/>
      <c r="F172" s="372">
        <f t="shared" si="8"/>
        <v>1900</v>
      </c>
      <c r="G172" s="753"/>
      <c r="H172" s="373" t="s">
        <v>1342</v>
      </c>
    </row>
    <row r="173" spans="1:8" s="375" customFormat="1">
      <c r="A173" s="369">
        <v>166</v>
      </c>
      <c r="B173" s="774" t="s">
        <v>1194</v>
      </c>
      <c r="C173" s="340" t="s">
        <v>68</v>
      </c>
      <c r="D173" s="339">
        <v>2200</v>
      </c>
      <c r="E173" s="372"/>
      <c r="F173" s="372">
        <v>2200</v>
      </c>
      <c r="G173" s="753"/>
      <c r="H173" s="373" t="s">
        <v>1343</v>
      </c>
    </row>
    <row r="174" spans="1:8" s="375" customFormat="1">
      <c r="A174" s="369">
        <v>167</v>
      </c>
      <c r="B174" s="774" t="s">
        <v>974</v>
      </c>
      <c r="C174" s="340" t="s">
        <v>68</v>
      </c>
      <c r="D174" s="339">
        <v>1930</v>
      </c>
      <c r="E174" s="372"/>
      <c r="F174" s="372">
        <f t="shared" si="8"/>
        <v>1930</v>
      </c>
      <c r="G174" s="753"/>
      <c r="H174" s="373" t="s">
        <v>1343</v>
      </c>
    </row>
    <row r="175" spans="1:8" s="375" customFormat="1">
      <c r="A175" s="369">
        <v>168</v>
      </c>
      <c r="B175" s="774" t="s">
        <v>580</v>
      </c>
      <c r="C175" s="340" t="s">
        <v>68</v>
      </c>
      <c r="D175" s="339">
        <v>1430</v>
      </c>
      <c r="E175" s="371"/>
      <c r="F175" s="777">
        <v>1430</v>
      </c>
      <c r="G175" s="340"/>
      <c r="H175" s="373" t="s">
        <v>1286</v>
      </c>
    </row>
    <row r="176" spans="1:8">
      <c r="A176" s="417">
        <v>169</v>
      </c>
      <c r="B176" s="286" t="s">
        <v>117</v>
      </c>
      <c r="C176" s="318" t="s">
        <v>46</v>
      </c>
      <c r="D176" s="293">
        <v>23</v>
      </c>
      <c r="E176" s="285"/>
      <c r="F176" s="304">
        <f t="shared" si="8"/>
        <v>23</v>
      </c>
      <c r="G176" s="318"/>
      <c r="H176" s="319" t="s">
        <v>1344</v>
      </c>
    </row>
    <row r="177" spans="1:8">
      <c r="A177" s="417">
        <v>170</v>
      </c>
      <c r="B177" s="286" t="s">
        <v>255</v>
      </c>
      <c r="C177" s="318" t="s">
        <v>46</v>
      </c>
      <c r="D177" s="293">
        <v>7</v>
      </c>
      <c r="E177" s="285"/>
      <c r="F177" s="304">
        <f t="shared" si="8"/>
        <v>7</v>
      </c>
      <c r="G177" s="322"/>
      <c r="H177" s="319" t="s">
        <v>1345</v>
      </c>
    </row>
    <row r="178" spans="1:8" s="368" customFormat="1">
      <c r="A178" s="417">
        <v>171</v>
      </c>
      <c r="B178" s="362" t="s">
        <v>178</v>
      </c>
      <c r="C178" s="363" t="s">
        <v>74</v>
      </c>
      <c r="D178" s="364"/>
      <c r="E178" s="365"/>
      <c r="F178" s="407"/>
      <c r="G178" s="363"/>
      <c r="H178" s="408"/>
    </row>
    <row r="179" spans="1:8">
      <c r="A179" s="417">
        <v>172</v>
      </c>
      <c r="B179" s="321" t="s">
        <v>69</v>
      </c>
      <c r="C179" s="318" t="s">
        <v>46</v>
      </c>
      <c r="D179" s="293">
        <v>1200</v>
      </c>
      <c r="E179" s="285"/>
      <c r="F179" s="304">
        <f t="shared" ref="F179:F217" si="9">D179+E179</f>
        <v>1200</v>
      </c>
      <c r="G179" s="318"/>
      <c r="H179" s="319"/>
    </row>
    <row r="180" spans="1:8">
      <c r="A180" s="417">
        <v>173</v>
      </c>
      <c r="B180" s="292" t="s">
        <v>221</v>
      </c>
      <c r="C180" s="320" t="s">
        <v>50</v>
      </c>
      <c r="D180" s="293"/>
      <c r="E180" s="285"/>
      <c r="F180" s="304" t="s">
        <v>1208</v>
      </c>
      <c r="G180" s="318"/>
      <c r="H180" s="319"/>
    </row>
    <row r="181" spans="1:8" s="375" customFormat="1">
      <c r="A181" s="369">
        <v>174</v>
      </c>
      <c r="B181" s="370" t="s">
        <v>19</v>
      </c>
      <c r="C181" s="340" t="s">
        <v>74</v>
      </c>
      <c r="D181" s="339">
        <v>168.3</v>
      </c>
      <c r="E181" s="371"/>
      <c r="F181" s="372">
        <f t="shared" si="9"/>
        <v>168.3</v>
      </c>
      <c r="G181" s="340"/>
      <c r="H181" s="373" t="s">
        <v>1319</v>
      </c>
    </row>
    <row r="182" spans="1:8" s="375" customFormat="1">
      <c r="A182" s="369">
        <v>175</v>
      </c>
      <c r="B182" s="370" t="s">
        <v>121</v>
      </c>
      <c r="C182" s="340" t="s">
        <v>107</v>
      </c>
      <c r="D182" s="339">
        <v>153</v>
      </c>
      <c r="E182" s="371"/>
      <c r="F182" s="372">
        <f t="shared" si="9"/>
        <v>153</v>
      </c>
      <c r="G182" s="340"/>
      <c r="H182" s="373" t="s">
        <v>1346</v>
      </c>
    </row>
    <row r="183" spans="1:8">
      <c r="A183" s="417">
        <v>176</v>
      </c>
      <c r="B183" s="286" t="s">
        <v>1189</v>
      </c>
      <c r="C183" s="318" t="s">
        <v>74</v>
      </c>
      <c r="D183" s="293">
        <v>130</v>
      </c>
      <c r="E183" s="285"/>
      <c r="F183" s="304">
        <f t="shared" si="9"/>
        <v>130</v>
      </c>
      <c r="G183" s="318"/>
      <c r="H183" s="319" t="s">
        <v>1347</v>
      </c>
    </row>
    <row r="184" spans="1:8">
      <c r="A184" s="417">
        <v>177</v>
      </c>
      <c r="B184" s="303" t="s">
        <v>600</v>
      </c>
      <c r="C184" s="318" t="s">
        <v>74</v>
      </c>
      <c r="D184" s="293">
        <v>130</v>
      </c>
      <c r="E184" s="285"/>
      <c r="F184" s="304">
        <f t="shared" si="9"/>
        <v>130</v>
      </c>
      <c r="G184" s="318"/>
      <c r="H184" s="319" t="s">
        <v>1347</v>
      </c>
    </row>
    <row r="185" spans="1:8" ht="36">
      <c r="A185" s="417">
        <v>178</v>
      </c>
      <c r="B185" s="303" t="s">
        <v>1231</v>
      </c>
      <c r="C185" s="319" t="s">
        <v>113</v>
      </c>
      <c r="D185" s="293">
        <f>1500*3.281</f>
        <v>4921.5</v>
      </c>
      <c r="E185" s="293"/>
      <c r="F185" s="296">
        <f t="shared" si="9"/>
        <v>4921.5</v>
      </c>
      <c r="G185" s="319"/>
      <c r="H185" s="319" t="s">
        <v>1348</v>
      </c>
    </row>
    <row r="186" spans="1:8">
      <c r="A186" s="417">
        <v>179</v>
      </c>
      <c r="B186" s="286" t="s">
        <v>818</v>
      </c>
      <c r="C186" s="319" t="s">
        <v>113</v>
      </c>
      <c r="D186" s="293">
        <f>1.31*350</f>
        <v>458.5</v>
      </c>
      <c r="E186" s="293"/>
      <c r="F186" s="296">
        <f t="shared" si="9"/>
        <v>458.5</v>
      </c>
      <c r="G186" s="319"/>
      <c r="H186" s="851" t="s">
        <v>1349</v>
      </c>
    </row>
    <row r="187" spans="1:8">
      <c r="A187" s="417">
        <v>180</v>
      </c>
      <c r="B187" s="286" t="s">
        <v>560</v>
      </c>
      <c r="C187" s="319" t="s">
        <v>113</v>
      </c>
      <c r="D187" s="293">
        <f>1.31*350</f>
        <v>458.5</v>
      </c>
      <c r="E187" s="293"/>
      <c r="F187" s="296">
        <f t="shared" si="9"/>
        <v>458.5</v>
      </c>
      <c r="G187" s="319"/>
      <c r="H187" s="851"/>
    </row>
    <row r="188" spans="1:8" ht="11.25" customHeight="1">
      <c r="A188" s="417">
        <v>181</v>
      </c>
      <c r="B188" s="286" t="s">
        <v>562</v>
      </c>
      <c r="C188" s="319" t="s">
        <v>113</v>
      </c>
      <c r="D188" s="293">
        <f>1.31*350</f>
        <v>458.5</v>
      </c>
      <c r="E188" s="293"/>
      <c r="F188" s="296">
        <f t="shared" si="9"/>
        <v>458.5</v>
      </c>
      <c r="G188" s="319"/>
      <c r="H188" s="851"/>
    </row>
    <row r="189" spans="1:8" s="375" customFormat="1">
      <c r="A189" s="369">
        <v>182</v>
      </c>
      <c r="B189" s="370" t="s">
        <v>153</v>
      </c>
      <c r="C189" s="373" t="s">
        <v>68</v>
      </c>
      <c r="D189" s="339">
        <v>1910</v>
      </c>
      <c r="E189" s="339"/>
      <c r="F189" s="379">
        <f t="shared" si="9"/>
        <v>1910</v>
      </c>
      <c r="G189" s="373"/>
      <c r="H189" s="373" t="s">
        <v>1350</v>
      </c>
    </row>
    <row r="190" spans="1:8" s="375" customFormat="1">
      <c r="A190" s="369">
        <v>183</v>
      </c>
      <c r="B190" s="370" t="s">
        <v>154</v>
      </c>
      <c r="C190" s="373" t="s">
        <v>68</v>
      </c>
      <c r="D190" s="339">
        <v>1810</v>
      </c>
      <c r="E190" s="339"/>
      <c r="F190" s="379">
        <f t="shared" si="9"/>
        <v>1810</v>
      </c>
      <c r="G190" s="373"/>
      <c r="H190" s="373" t="s">
        <v>1351</v>
      </c>
    </row>
    <row r="191" spans="1:8" s="375" customFormat="1">
      <c r="A191" s="369">
        <v>184</v>
      </c>
      <c r="B191" s="370" t="s">
        <v>1065</v>
      </c>
      <c r="C191" s="373" t="s">
        <v>68</v>
      </c>
      <c r="D191" s="339">
        <v>1220</v>
      </c>
      <c r="E191" s="339"/>
      <c r="F191" s="379">
        <f t="shared" si="9"/>
        <v>1220</v>
      </c>
      <c r="G191" s="373"/>
      <c r="H191" s="373" t="s">
        <v>1352</v>
      </c>
    </row>
    <row r="192" spans="1:8">
      <c r="A192" s="417">
        <v>185</v>
      </c>
      <c r="B192" s="286" t="s">
        <v>594</v>
      </c>
      <c r="C192" s="318" t="s">
        <v>46</v>
      </c>
      <c r="D192" s="293"/>
      <c r="E192" s="285"/>
      <c r="F192" s="379">
        <f t="shared" si="9"/>
        <v>0</v>
      </c>
      <c r="G192" s="318"/>
      <c r="H192" s="319"/>
    </row>
    <row r="193" spans="1:8" s="375" customFormat="1">
      <c r="A193" s="369">
        <v>186</v>
      </c>
      <c r="B193" s="370" t="s">
        <v>599</v>
      </c>
      <c r="C193" s="340" t="s">
        <v>50</v>
      </c>
      <c r="D193" s="339">
        <v>242</v>
      </c>
      <c r="E193" s="371"/>
      <c r="F193" s="379">
        <f t="shared" si="9"/>
        <v>242</v>
      </c>
      <c r="G193" s="340"/>
      <c r="H193" s="373"/>
    </row>
    <row r="194" spans="1:8">
      <c r="A194" s="417">
        <v>187</v>
      </c>
      <c r="B194" s="321" t="s">
        <v>320</v>
      </c>
      <c r="C194" s="318" t="s">
        <v>74</v>
      </c>
      <c r="D194" s="293"/>
      <c r="E194" s="285"/>
      <c r="F194" s="379">
        <f t="shared" si="9"/>
        <v>0</v>
      </c>
      <c r="G194" s="318"/>
      <c r="H194" s="319"/>
    </row>
    <row r="195" spans="1:8">
      <c r="A195" s="417">
        <v>188</v>
      </c>
      <c r="B195" s="321" t="s">
        <v>194</v>
      </c>
      <c r="C195" s="318" t="s">
        <v>68</v>
      </c>
      <c r="D195" s="293">
        <v>1760</v>
      </c>
      <c r="E195" s="285"/>
      <c r="F195" s="304">
        <f t="shared" si="9"/>
        <v>1760</v>
      </c>
      <c r="G195" s="318"/>
      <c r="H195" s="319" t="s">
        <v>1353</v>
      </c>
    </row>
    <row r="196" spans="1:8">
      <c r="A196" s="417">
        <v>189</v>
      </c>
      <c r="B196" s="321" t="s">
        <v>123</v>
      </c>
      <c r="C196" s="318" t="s">
        <v>50</v>
      </c>
      <c r="D196" s="293">
        <f>1776/20</f>
        <v>88.8</v>
      </c>
      <c r="E196" s="285"/>
      <c r="F196" s="304">
        <f t="shared" si="9"/>
        <v>88.8</v>
      </c>
      <c r="G196" s="318"/>
      <c r="H196" s="319" t="s">
        <v>1268</v>
      </c>
    </row>
    <row r="197" spans="1:8">
      <c r="A197" s="417">
        <v>190</v>
      </c>
      <c r="B197" s="321" t="s">
        <v>1187</v>
      </c>
      <c r="C197" s="318" t="s">
        <v>107</v>
      </c>
      <c r="D197" s="293">
        <v>140</v>
      </c>
      <c r="E197" s="285"/>
      <c r="F197" s="304">
        <f t="shared" si="9"/>
        <v>140</v>
      </c>
      <c r="G197" s="318"/>
      <c r="H197" s="319" t="s">
        <v>1354</v>
      </c>
    </row>
    <row r="198" spans="1:8">
      <c r="A198" s="417">
        <v>191</v>
      </c>
      <c r="B198" s="321" t="s">
        <v>1188</v>
      </c>
      <c r="C198" s="318" t="s">
        <v>107</v>
      </c>
      <c r="D198" s="293">
        <f>D197</f>
        <v>140</v>
      </c>
      <c r="E198" s="285"/>
      <c r="F198" s="304">
        <f t="shared" si="9"/>
        <v>140</v>
      </c>
      <c r="G198" s="318"/>
      <c r="H198" s="319" t="s">
        <v>1354</v>
      </c>
    </row>
    <row r="199" spans="1:8">
      <c r="A199" s="417">
        <v>192</v>
      </c>
      <c r="B199" s="321" t="s">
        <v>1073</v>
      </c>
      <c r="C199" s="318" t="s">
        <v>50</v>
      </c>
      <c r="D199" s="306">
        <v>1733</v>
      </c>
      <c r="E199" s="285"/>
      <c r="F199" s="304">
        <f t="shared" si="9"/>
        <v>1733</v>
      </c>
      <c r="G199" s="318"/>
      <c r="H199" s="318" t="s">
        <v>1355</v>
      </c>
    </row>
    <row r="200" spans="1:8">
      <c r="A200" s="417">
        <v>193</v>
      </c>
      <c r="B200" s="321" t="s">
        <v>706</v>
      </c>
      <c r="C200" s="318" t="s">
        <v>50</v>
      </c>
      <c r="D200" s="306">
        <f>132*10.76</f>
        <v>1420.32</v>
      </c>
      <c r="E200" s="285"/>
      <c r="F200" s="287">
        <f t="shared" si="9"/>
        <v>1420.32</v>
      </c>
      <c r="G200" s="318"/>
      <c r="H200" s="318" t="s">
        <v>1356</v>
      </c>
    </row>
    <row r="201" spans="1:8" s="263" customFormat="1">
      <c r="A201" s="417">
        <v>194</v>
      </c>
      <c r="B201" s="295" t="s">
        <v>254</v>
      </c>
      <c r="C201" s="319" t="s">
        <v>71</v>
      </c>
      <c r="D201" s="293">
        <f>105*1000</f>
        <v>105000</v>
      </c>
      <c r="E201" s="293"/>
      <c r="F201" s="306">
        <f t="shared" si="9"/>
        <v>105000</v>
      </c>
      <c r="G201" s="308"/>
      <c r="H201" s="409" t="s">
        <v>1357</v>
      </c>
    </row>
    <row r="202" spans="1:8">
      <c r="A202" s="417">
        <v>195</v>
      </c>
      <c r="B202" s="321" t="s">
        <v>136</v>
      </c>
      <c r="C202" s="318" t="s">
        <v>134</v>
      </c>
      <c r="D202" s="293">
        <v>63</v>
      </c>
      <c r="E202" s="285"/>
      <c r="F202" s="304">
        <f t="shared" si="9"/>
        <v>63</v>
      </c>
      <c r="G202" s="318"/>
      <c r="H202" s="319" t="s">
        <v>1358</v>
      </c>
    </row>
    <row r="203" spans="1:8">
      <c r="A203" s="417">
        <v>196</v>
      </c>
      <c r="B203" s="321" t="s">
        <v>137</v>
      </c>
      <c r="C203" s="318" t="s">
        <v>134</v>
      </c>
      <c r="D203" s="293">
        <v>79</v>
      </c>
      <c r="E203" s="285"/>
      <c r="F203" s="304">
        <f t="shared" si="9"/>
        <v>79</v>
      </c>
      <c r="G203" s="318"/>
      <c r="H203" s="319" t="s">
        <v>1359</v>
      </c>
    </row>
    <row r="204" spans="1:8">
      <c r="A204" s="417">
        <v>197</v>
      </c>
      <c r="B204" s="321" t="s">
        <v>138</v>
      </c>
      <c r="C204" s="318" t="s">
        <v>134</v>
      </c>
      <c r="D204" s="293">
        <v>110</v>
      </c>
      <c r="E204" s="285"/>
      <c r="F204" s="304">
        <f t="shared" si="9"/>
        <v>110</v>
      </c>
      <c r="G204" s="318"/>
      <c r="H204" s="319" t="s">
        <v>1360</v>
      </c>
    </row>
    <row r="205" spans="1:8" s="368" customFormat="1">
      <c r="A205" s="417">
        <v>198</v>
      </c>
      <c r="B205" s="362" t="s">
        <v>213</v>
      </c>
      <c r="C205" s="363" t="s">
        <v>46</v>
      </c>
      <c r="D205" s="364"/>
      <c r="E205" s="365"/>
      <c r="F205" s="366"/>
      <c r="G205" s="363"/>
      <c r="H205" s="367"/>
    </row>
    <row r="206" spans="1:8">
      <c r="A206" s="417">
        <v>199</v>
      </c>
      <c r="B206" s="321" t="s">
        <v>43</v>
      </c>
      <c r="C206" s="318" t="s">
        <v>46</v>
      </c>
      <c r="D206" s="293">
        <v>870</v>
      </c>
      <c r="E206" s="285"/>
      <c r="F206" s="304">
        <f t="shared" si="9"/>
        <v>870</v>
      </c>
      <c r="G206" s="318"/>
      <c r="H206" s="400" t="s">
        <v>1361</v>
      </c>
    </row>
    <row r="207" spans="1:8" ht="12.75" customHeight="1">
      <c r="A207" s="417">
        <v>200</v>
      </c>
      <c r="B207" s="321" t="s">
        <v>1232</v>
      </c>
      <c r="C207" s="318" t="s">
        <v>50</v>
      </c>
      <c r="D207" s="293">
        <f>70*10.76</f>
        <v>753.19999999999993</v>
      </c>
      <c r="E207" s="285"/>
      <c r="F207" s="304">
        <f t="shared" si="9"/>
        <v>753.19999999999993</v>
      </c>
      <c r="G207" s="318"/>
      <c r="H207" s="319"/>
    </row>
    <row r="208" spans="1:8" s="263" customFormat="1">
      <c r="A208" s="417">
        <v>201</v>
      </c>
      <c r="B208" s="302" t="s">
        <v>1233</v>
      </c>
      <c r="C208" s="319" t="s">
        <v>50</v>
      </c>
      <c r="D208" s="293">
        <v>1700</v>
      </c>
      <c r="E208" s="293"/>
      <c r="F208" s="306">
        <f t="shared" si="9"/>
        <v>1700</v>
      </c>
      <c r="G208" s="299"/>
      <c r="H208" s="319" t="s">
        <v>1366</v>
      </c>
    </row>
    <row r="209" spans="1:250" s="263" customFormat="1">
      <c r="A209" s="417">
        <v>202</v>
      </c>
      <c r="B209" s="302" t="s">
        <v>1369</v>
      </c>
      <c r="C209" s="319" t="s">
        <v>113</v>
      </c>
      <c r="D209" s="293">
        <f>((1800/7.16)*10.76)/0.6</f>
        <v>4508.3798882681567</v>
      </c>
      <c r="E209" s="293"/>
      <c r="F209" s="306">
        <f t="shared" si="9"/>
        <v>4508.3798882681567</v>
      </c>
      <c r="G209" s="299" t="s">
        <v>1368</v>
      </c>
      <c r="H209" s="319" t="s">
        <v>1367</v>
      </c>
      <c r="I209" s="335"/>
    </row>
    <row r="210" spans="1:250">
      <c r="A210" s="417">
        <v>203</v>
      </c>
      <c r="B210" s="321" t="s">
        <v>146</v>
      </c>
      <c r="C210" s="318" t="s">
        <v>107</v>
      </c>
      <c r="D210" s="293">
        <v>165</v>
      </c>
      <c r="E210" s="285"/>
      <c r="F210" s="304">
        <f t="shared" si="9"/>
        <v>165</v>
      </c>
      <c r="G210" s="318"/>
      <c r="H210" s="319" t="s">
        <v>1370</v>
      </c>
    </row>
    <row r="211" spans="1:250" s="368" customFormat="1">
      <c r="A211" s="417">
        <v>204</v>
      </c>
      <c r="B211" s="362" t="s">
        <v>1185</v>
      </c>
      <c r="C211" s="363" t="s">
        <v>50</v>
      </c>
      <c r="D211" s="364"/>
      <c r="E211" s="365"/>
      <c r="F211" s="366" t="s">
        <v>1208</v>
      </c>
      <c r="G211" s="363"/>
      <c r="H211" s="367"/>
    </row>
    <row r="212" spans="1:250" s="368" customFormat="1">
      <c r="A212" s="417">
        <v>205</v>
      </c>
      <c r="B212" s="362" t="s">
        <v>1186</v>
      </c>
      <c r="C212" s="363" t="s">
        <v>50</v>
      </c>
      <c r="D212" s="364"/>
      <c r="E212" s="365"/>
      <c r="F212" s="366" t="s">
        <v>1208</v>
      </c>
      <c r="G212" s="363"/>
      <c r="H212" s="367"/>
    </row>
    <row r="213" spans="1:250">
      <c r="A213" s="417">
        <v>206</v>
      </c>
      <c r="B213" s="321" t="s">
        <v>312</v>
      </c>
      <c r="C213" s="318" t="s">
        <v>285</v>
      </c>
      <c r="D213" s="293">
        <v>131</v>
      </c>
      <c r="E213" s="285"/>
      <c r="F213" s="304">
        <f t="shared" si="9"/>
        <v>131</v>
      </c>
      <c r="G213" s="322"/>
      <c r="H213" s="400" t="s">
        <v>1371</v>
      </c>
    </row>
    <row r="214" spans="1:250">
      <c r="A214" s="417">
        <v>207</v>
      </c>
      <c r="B214" s="321" t="s">
        <v>209</v>
      </c>
      <c r="C214" s="318" t="s">
        <v>74</v>
      </c>
      <c r="D214" s="293">
        <v>108</v>
      </c>
      <c r="E214" s="285"/>
      <c r="F214" s="304">
        <f t="shared" si="9"/>
        <v>108</v>
      </c>
      <c r="G214" s="318"/>
      <c r="H214" s="401" t="s">
        <v>1372</v>
      </c>
    </row>
    <row r="215" spans="1:250" ht="36">
      <c r="A215" s="417">
        <v>208</v>
      </c>
      <c r="B215" s="295" t="s">
        <v>267</v>
      </c>
      <c r="C215" s="319" t="s">
        <v>107</v>
      </c>
      <c r="D215" s="293">
        <v>0</v>
      </c>
      <c r="E215" s="293"/>
      <c r="F215" s="306">
        <f t="shared" si="9"/>
        <v>0</v>
      </c>
      <c r="G215" s="319"/>
      <c r="H215" s="427" t="s">
        <v>1422</v>
      </c>
    </row>
    <row r="216" spans="1:250">
      <c r="A216" s="417">
        <v>209</v>
      </c>
      <c r="B216" s="321" t="s">
        <v>144</v>
      </c>
      <c r="C216" s="318" t="s">
        <v>74</v>
      </c>
      <c r="D216" s="293">
        <v>110</v>
      </c>
      <c r="E216" s="285"/>
      <c r="F216" s="304">
        <f t="shared" si="9"/>
        <v>110</v>
      </c>
      <c r="G216" s="318"/>
      <c r="H216" s="319" t="s">
        <v>1373</v>
      </c>
    </row>
    <row r="217" spans="1:250">
      <c r="A217" s="417">
        <v>210</v>
      </c>
      <c r="B217" s="321" t="s">
        <v>1080</v>
      </c>
      <c r="C217" s="318" t="s">
        <v>285</v>
      </c>
      <c r="D217" s="293">
        <v>441</v>
      </c>
      <c r="E217" s="285"/>
      <c r="F217" s="287">
        <f t="shared" si="9"/>
        <v>441</v>
      </c>
      <c r="G217" s="322"/>
      <c r="H217" s="401" t="s">
        <v>1374</v>
      </c>
      <c r="IP217" s="288">
        <f>SUM(A217:IO217)</f>
        <v>1092</v>
      </c>
    </row>
    <row r="218" spans="1:250" s="368" customFormat="1">
      <c r="A218" s="417">
        <v>211</v>
      </c>
      <c r="B218" s="362" t="s">
        <v>189</v>
      </c>
      <c r="C218" s="363" t="s">
        <v>107</v>
      </c>
      <c r="D218" s="364"/>
      <c r="E218" s="365"/>
      <c r="F218" s="366"/>
      <c r="G218" s="363"/>
      <c r="H218" s="420" t="s">
        <v>1373</v>
      </c>
    </row>
    <row r="219" spans="1:250" s="368" customFormat="1">
      <c r="A219" s="417">
        <v>212</v>
      </c>
      <c r="B219" s="362" t="s">
        <v>188</v>
      </c>
      <c r="C219" s="363" t="s">
        <v>74</v>
      </c>
      <c r="D219" s="364"/>
      <c r="E219" s="365"/>
      <c r="F219" s="366"/>
      <c r="G219" s="363"/>
      <c r="H219" s="367"/>
    </row>
    <row r="220" spans="1:250" s="375" customFormat="1">
      <c r="A220" s="369">
        <v>213</v>
      </c>
      <c r="B220" s="370" t="s">
        <v>104</v>
      </c>
      <c r="C220" s="340" t="s">
        <v>71</v>
      </c>
      <c r="D220" s="379">
        <v>26400</v>
      </c>
      <c r="E220" s="371"/>
      <c r="F220" s="372">
        <f t="shared" ref="F220:F233" si="10">D220+E220</f>
        <v>26400</v>
      </c>
      <c r="G220" s="340"/>
      <c r="H220" s="778" t="s">
        <v>1375</v>
      </c>
    </row>
    <row r="221" spans="1:250">
      <c r="A221" s="417">
        <v>214</v>
      </c>
      <c r="B221" s="321" t="s">
        <v>114</v>
      </c>
      <c r="C221" s="318" t="s">
        <v>74</v>
      </c>
      <c r="D221" s="293">
        <v>35</v>
      </c>
      <c r="E221" s="285"/>
      <c r="F221" s="304">
        <f t="shared" si="10"/>
        <v>35</v>
      </c>
      <c r="G221" s="318"/>
      <c r="H221" s="401" t="s">
        <v>1376</v>
      </c>
    </row>
    <row r="222" spans="1:250">
      <c r="A222" s="417">
        <v>215</v>
      </c>
      <c r="B222" s="321" t="s">
        <v>1234</v>
      </c>
      <c r="C222" s="318" t="s">
        <v>68</v>
      </c>
      <c r="D222" s="293">
        <f>1968*35.28</f>
        <v>69431.040000000008</v>
      </c>
      <c r="E222" s="285"/>
      <c r="F222" s="304">
        <f t="shared" si="10"/>
        <v>69431.040000000008</v>
      </c>
      <c r="G222" s="318"/>
      <c r="H222" s="421" t="s">
        <v>1377</v>
      </c>
    </row>
    <row r="223" spans="1:250">
      <c r="A223" s="417">
        <v>216</v>
      </c>
      <c r="B223" s="321" t="s">
        <v>1235</v>
      </c>
      <c r="C223" s="318" t="s">
        <v>68</v>
      </c>
      <c r="D223" s="293">
        <f>2894*35.28</f>
        <v>102100.32</v>
      </c>
      <c r="E223" s="285"/>
      <c r="F223" s="304">
        <f t="shared" si="10"/>
        <v>102100.32</v>
      </c>
      <c r="G223" s="322"/>
      <c r="H223" s="401" t="s">
        <v>1378</v>
      </c>
    </row>
    <row r="224" spans="1:250">
      <c r="A224" s="417">
        <v>217</v>
      </c>
      <c r="B224" s="321" t="s">
        <v>512</v>
      </c>
      <c r="C224" s="318" t="s">
        <v>107</v>
      </c>
      <c r="D224" s="293">
        <v>485</v>
      </c>
      <c r="E224" s="285"/>
      <c r="F224" s="304">
        <f t="shared" si="10"/>
        <v>485</v>
      </c>
      <c r="G224" s="318"/>
      <c r="H224" s="401" t="s">
        <v>1379</v>
      </c>
    </row>
    <row r="225" spans="1:8">
      <c r="A225" s="417">
        <v>218</v>
      </c>
      <c r="B225" s="321" t="s">
        <v>1236</v>
      </c>
      <c r="C225" s="318" t="s">
        <v>68</v>
      </c>
      <c r="D225" s="293">
        <f>6000*35.28</f>
        <v>211680</v>
      </c>
      <c r="E225" s="285"/>
      <c r="F225" s="304">
        <f t="shared" si="10"/>
        <v>211680</v>
      </c>
      <c r="G225" s="322"/>
      <c r="H225" s="401" t="s">
        <v>1380</v>
      </c>
    </row>
    <row r="226" spans="1:8">
      <c r="A226" s="417">
        <v>219</v>
      </c>
      <c r="B226" s="321" t="s">
        <v>1237</v>
      </c>
      <c r="C226" s="318" t="s">
        <v>981</v>
      </c>
      <c r="D226" s="293">
        <f>3589*35.28</f>
        <v>126619.92</v>
      </c>
      <c r="E226" s="285"/>
      <c r="F226" s="304">
        <f t="shared" si="10"/>
        <v>126619.92</v>
      </c>
      <c r="G226" s="322"/>
      <c r="H226" s="401" t="s">
        <v>1381</v>
      </c>
    </row>
    <row r="227" spans="1:8">
      <c r="A227" s="417">
        <v>220</v>
      </c>
      <c r="B227" s="321" t="s">
        <v>1238</v>
      </c>
      <c r="C227" s="318" t="s">
        <v>113</v>
      </c>
      <c r="D227" s="293">
        <v>13</v>
      </c>
      <c r="E227" s="285"/>
      <c r="F227" s="304">
        <f t="shared" si="10"/>
        <v>13</v>
      </c>
      <c r="G227" s="322" t="s">
        <v>1362</v>
      </c>
      <c r="H227" s="848" t="s">
        <v>1382</v>
      </c>
    </row>
    <row r="228" spans="1:8">
      <c r="A228" s="417">
        <v>221</v>
      </c>
      <c r="B228" s="321" t="s">
        <v>1239</v>
      </c>
      <c r="C228" s="318" t="s">
        <v>113</v>
      </c>
      <c r="D228" s="293">
        <v>13</v>
      </c>
      <c r="E228" s="285"/>
      <c r="F228" s="304">
        <f t="shared" si="10"/>
        <v>13</v>
      </c>
      <c r="G228" s="322" t="s">
        <v>1363</v>
      </c>
      <c r="H228" s="849"/>
    </row>
    <row r="229" spans="1:8">
      <c r="A229" s="417">
        <v>222</v>
      </c>
      <c r="B229" s="321" t="s">
        <v>141</v>
      </c>
      <c r="C229" s="318" t="s">
        <v>113</v>
      </c>
      <c r="D229" s="293">
        <v>13</v>
      </c>
      <c r="E229" s="285"/>
      <c r="F229" s="304">
        <f t="shared" si="10"/>
        <v>13</v>
      </c>
      <c r="G229" s="322" t="s">
        <v>1364</v>
      </c>
      <c r="H229" s="849"/>
    </row>
    <row r="230" spans="1:8">
      <c r="A230" s="417">
        <v>223</v>
      </c>
      <c r="B230" s="321" t="s">
        <v>208</v>
      </c>
      <c r="C230" s="318" t="s">
        <v>113</v>
      </c>
      <c r="D230" s="293">
        <v>13</v>
      </c>
      <c r="E230" s="285"/>
      <c r="F230" s="304">
        <f t="shared" si="10"/>
        <v>13</v>
      </c>
      <c r="G230" s="322" t="s">
        <v>1365</v>
      </c>
      <c r="H230" s="850"/>
    </row>
    <row r="231" spans="1:8">
      <c r="A231" s="417">
        <v>224</v>
      </c>
      <c r="B231" s="321" t="s">
        <v>816</v>
      </c>
      <c r="C231" s="318" t="s">
        <v>74</v>
      </c>
      <c r="D231" s="293">
        <v>60</v>
      </c>
      <c r="E231" s="285"/>
      <c r="F231" s="287">
        <f t="shared" si="10"/>
        <v>60</v>
      </c>
      <c r="G231" s="318"/>
      <c r="H231" s="422" t="s">
        <v>1326</v>
      </c>
    </row>
    <row r="232" spans="1:8" s="263" customFormat="1" ht="24">
      <c r="A232" s="417">
        <v>225</v>
      </c>
      <c r="B232" s="302" t="s">
        <v>454</v>
      </c>
      <c r="C232" s="319" t="s">
        <v>50</v>
      </c>
      <c r="D232" s="293"/>
      <c r="E232" s="293"/>
      <c r="F232" s="296">
        <f t="shared" si="10"/>
        <v>0</v>
      </c>
      <c r="G232" s="319"/>
      <c r="H232" s="319"/>
    </row>
    <row r="233" spans="1:8">
      <c r="A233" s="417">
        <v>226</v>
      </c>
      <c r="B233" s="321" t="s">
        <v>1080</v>
      </c>
      <c r="C233" s="318" t="s">
        <v>596</v>
      </c>
      <c r="D233" s="293">
        <f>D217</f>
        <v>441</v>
      </c>
      <c r="E233" s="285"/>
      <c r="F233" s="304">
        <f t="shared" si="10"/>
        <v>441</v>
      </c>
      <c r="G233" s="318"/>
      <c r="H233" s="318" t="str">
        <f>H217</f>
        <v>25-995</v>
      </c>
    </row>
    <row r="234" spans="1:8">
      <c r="A234" s="291"/>
      <c r="D234" s="327"/>
      <c r="E234" s="294"/>
      <c r="F234" s="289"/>
    </row>
  </sheetData>
  <mergeCells count="9">
    <mergeCell ref="H227:H230"/>
    <mergeCell ref="H186:H188"/>
    <mergeCell ref="A7:B7"/>
    <mergeCell ref="A1:H1"/>
    <mergeCell ref="A2:H2"/>
    <mergeCell ref="A3:H3"/>
    <mergeCell ref="A5:H5"/>
    <mergeCell ref="A6:H6"/>
    <mergeCell ref="A4:H4"/>
  </mergeCells>
  <phoneticPr fontId="2" type="noConversion"/>
  <printOptions horizontalCentered="1"/>
  <pageMargins left="0.71" right="0.25" top="0.5" bottom="0.5" header="0" footer="0"/>
  <pageSetup paperSize="9" scale="85" orientation="portrait" verticalDpi="2400" r:id="rId1"/>
  <headerFooter alignWithMargins="0">
    <oddHeader>&amp;R&amp;P</oddHeader>
    <oddFooter>&amp;L&amp;UPrepared By :&amp;C&amp;UChecked By :&amp;R&amp;UApproved By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ABD30-6DC6-4254-98E5-134E7F1D8FB1}">
  <sheetPr>
    <tabColor rgb="FFFFFF00"/>
  </sheetPr>
  <dimension ref="A1:L3479"/>
  <sheetViews>
    <sheetView tabSelected="1" view="pageBreakPreview" topLeftCell="A879" zoomScale="120" zoomScaleNormal="110" zoomScaleSheetLayoutView="120" workbookViewId="0">
      <selection activeCell="E893" sqref="E893"/>
    </sheetView>
  </sheetViews>
  <sheetFormatPr defaultColWidth="9.109375" defaultRowHeight="13.2"/>
  <cols>
    <col min="1" max="1" width="8.44140625" style="443" customWidth="1"/>
    <col min="2" max="2" width="10.5546875" style="461" customWidth="1"/>
    <col min="3" max="3" width="32.5546875" style="443" customWidth="1"/>
    <col min="4" max="4" width="8.44140625" style="459" customWidth="1"/>
    <col min="5" max="5" width="6.44140625" style="459" customWidth="1"/>
    <col min="6" max="6" width="12.44140625" style="519" bestFit="1" customWidth="1"/>
    <col min="7" max="7" width="12.88671875" style="519" customWidth="1"/>
    <col min="8" max="8" width="12.44140625" style="519" customWidth="1"/>
    <col min="9" max="9" width="22.109375" style="443" bestFit="1" customWidth="1"/>
    <col min="10" max="10" width="11" style="443" bestFit="1" customWidth="1"/>
    <col min="11" max="16384" width="9.109375" style="443"/>
  </cols>
  <sheetData>
    <row r="1" spans="1:8" ht="12.75" customHeight="1">
      <c r="A1" s="916" t="s">
        <v>427</v>
      </c>
      <c r="B1" s="916"/>
      <c r="C1" s="916"/>
      <c r="D1" s="916"/>
      <c r="E1" s="916"/>
      <c r="F1" s="916"/>
      <c r="G1" s="916"/>
      <c r="H1" s="916"/>
    </row>
    <row r="2" spans="1:8" ht="12.75" customHeight="1">
      <c r="A2" s="444"/>
      <c r="B2" s="444"/>
      <c r="C2" s="444"/>
      <c r="D2" s="444"/>
      <c r="E2" s="444"/>
      <c r="F2" s="444"/>
      <c r="G2" s="444"/>
      <c r="H2" s="444"/>
    </row>
    <row r="3" spans="1:8" ht="32.4" customHeight="1">
      <c r="A3" s="445">
        <v>1.01</v>
      </c>
      <c r="B3" s="446" t="s">
        <v>269</v>
      </c>
      <c r="C3" s="891" t="s">
        <v>259</v>
      </c>
      <c r="D3" s="891"/>
      <c r="E3" s="891"/>
      <c r="F3" s="447" t="s">
        <v>46</v>
      </c>
      <c r="G3" s="448">
        <f>G6</f>
        <v>113.1</v>
      </c>
      <c r="H3" s="448">
        <f>G8</f>
        <v>130.06</v>
      </c>
    </row>
    <row r="4" spans="1:8">
      <c r="A4" s="449"/>
      <c r="B4" s="450" t="s">
        <v>80</v>
      </c>
      <c r="C4" s="451" t="s">
        <v>81</v>
      </c>
      <c r="D4" s="451" t="s">
        <v>44</v>
      </c>
      <c r="E4" s="451" t="s">
        <v>45</v>
      </c>
      <c r="F4" s="452" t="s">
        <v>58</v>
      </c>
      <c r="G4" s="452" t="s">
        <v>59</v>
      </c>
      <c r="H4" s="452" t="s">
        <v>52</v>
      </c>
    </row>
    <row r="5" spans="1:8">
      <c r="A5" s="453"/>
      <c r="B5" s="450" t="s">
        <v>60</v>
      </c>
      <c r="C5" s="454" t="s">
        <v>43</v>
      </c>
      <c r="D5" s="455">
        <v>0.13</v>
      </c>
      <c r="E5" s="456" t="s">
        <v>46</v>
      </c>
      <c r="F5" s="457">
        <f>'LABOUR 2082083'!F3</f>
        <v>870</v>
      </c>
      <c r="G5" s="457">
        <f>TRUNC(D5*F5,2)</f>
        <v>113.1</v>
      </c>
      <c r="H5" s="457"/>
    </row>
    <row r="6" spans="1:8">
      <c r="A6" s="453"/>
      <c r="B6" s="879" t="s">
        <v>53</v>
      </c>
      <c r="C6" s="880"/>
      <c r="D6" s="858" t="s">
        <v>61</v>
      </c>
      <c r="E6" s="859"/>
      <c r="F6" s="860"/>
      <c r="G6" s="457">
        <f>SUM(G5:G5)</f>
        <v>113.1</v>
      </c>
      <c r="H6" s="457"/>
    </row>
    <row r="7" spans="1:8">
      <c r="A7" s="453"/>
      <c r="B7" s="881"/>
      <c r="C7" s="882"/>
      <c r="D7" s="861" t="s">
        <v>573</v>
      </c>
      <c r="E7" s="862"/>
      <c r="F7" s="863"/>
      <c r="G7" s="457">
        <f>TRUNC(G6*15%,2)</f>
        <v>16.96</v>
      </c>
      <c r="H7" s="457"/>
    </row>
    <row r="8" spans="1:8">
      <c r="A8" s="453"/>
      <c r="B8" s="883"/>
      <c r="C8" s="884"/>
      <c r="D8" s="858" t="s">
        <v>47</v>
      </c>
      <c r="E8" s="859"/>
      <c r="F8" s="860"/>
      <c r="G8" s="457">
        <f>SUM(G6:G7)</f>
        <v>130.06</v>
      </c>
      <c r="H8" s="457"/>
    </row>
    <row r="9" spans="1:8">
      <c r="B9" s="458"/>
      <c r="C9" s="458"/>
      <c r="F9" s="459"/>
      <c r="G9" s="460"/>
      <c r="H9" s="460"/>
    </row>
    <row r="10" spans="1:8">
      <c r="C10" s="444"/>
      <c r="F10" s="462"/>
      <c r="G10" s="460"/>
      <c r="H10" s="460"/>
    </row>
    <row r="11" spans="1:8" ht="30" customHeight="1">
      <c r="A11" s="445">
        <v>1.02</v>
      </c>
      <c r="B11" s="446" t="s">
        <v>270</v>
      </c>
      <c r="C11" s="891" t="s">
        <v>260</v>
      </c>
      <c r="D11" s="891"/>
      <c r="E11" s="891"/>
      <c r="F11" s="447" t="s">
        <v>46</v>
      </c>
      <c r="G11" s="448">
        <f>G14</f>
        <v>339.3</v>
      </c>
      <c r="H11" s="448">
        <f>G16</f>
        <v>390.19</v>
      </c>
    </row>
    <row r="12" spans="1:8">
      <c r="B12" s="450" t="s">
        <v>80</v>
      </c>
      <c r="C12" s="451" t="s">
        <v>81</v>
      </c>
      <c r="D12" s="451" t="s">
        <v>44</v>
      </c>
      <c r="E12" s="451" t="s">
        <v>45</v>
      </c>
      <c r="F12" s="452" t="s">
        <v>58</v>
      </c>
      <c r="G12" s="452" t="s">
        <v>59</v>
      </c>
      <c r="H12" s="452" t="s">
        <v>52</v>
      </c>
    </row>
    <row r="13" spans="1:8">
      <c r="B13" s="450" t="s">
        <v>60</v>
      </c>
      <c r="C13" s="454" t="s">
        <v>43</v>
      </c>
      <c r="D13" s="455">
        <v>0.39</v>
      </c>
      <c r="E13" s="456" t="s">
        <v>46</v>
      </c>
      <c r="F13" s="457">
        <v>870</v>
      </c>
      <c r="G13" s="457">
        <f>TRUNC(D13*F13,2)</f>
        <v>339.3</v>
      </c>
      <c r="H13" s="457"/>
    </row>
    <row r="14" spans="1:8">
      <c r="B14" s="879" t="s">
        <v>53</v>
      </c>
      <c r="C14" s="880"/>
      <c r="D14" s="858" t="s">
        <v>61</v>
      </c>
      <c r="E14" s="859"/>
      <c r="F14" s="860"/>
      <c r="G14" s="457">
        <f>SUM(G13:G13)</f>
        <v>339.3</v>
      </c>
      <c r="H14" s="457"/>
    </row>
    <row r="15" spans="1:8">
      <c r="B15" s="881"/>
      <c r="C15" s="882"/>
      <c r="D15" s="861" t="s">
        <v>573</v>
      </c>
      <c r="E15" s="862"/>
      <c r="F15" s="863"/>
      <c r="G15" s="457">
        <f>TRUNC(G14*15%,2)</f>
        <v>50.89</v>
      </c>
      <c r="H15" s="457"/>
    </row>
    <row r="16" spans="1:8">
      <c r="B16" s="883"/>
      <c r="C16" s="884"/>
      <c r="D16" s="858" t="s">
        <v>47</v>
      </c>
      <c r="E16" s="859"/>
      <c r="F16" s="860"/>
      <c r="G16" s="457">
        <f>SUM(G14:G15)</f>
        <v>390.19</v>
      </c>
      <c r="H16" s="457"/>
    </row>
    <row r="17" spans="1:8">
      <c r="B17" s="463"/>
      <c r="C17" s="463"/>
      <c r="D17" s="464"/>
      <c r="E17" s="464"/>
      <c r="F17" s="465"/>
      <c r="G17" s="466"/>
      <c r="H17" s="466"/>
    </row>
    <row r="18" spans="1:8" ht="34.799999999999997" customHeight="1">
      <c r="A18" s="445">
        <v>1.03</v>
      </c>
      <c r="B18" s="446" t="s">
        <v>271</v>
      </c>
      <c r="C18" s="891" t="s">
        <v>261</v>
      </c>
      <c r="D18" s="891"/>
      <c r="E18" s="891"/>
      <c r="F18" s="447" t="s">
        <v>46</v>
      </c>
      <c r="G18" s="448">
        <f>G21</f>
        <v>852.6</v>
      </c>
      <c r="H18" s="448">
        <f>G23</f>
        <v>980.49</v>
      </c>
    </row>
    <row r="19" spans="1:8">
      <c r="B19" s="450" t="s">
        <v>80</v>
      </c>
      <c r="C19" s="451" t="s">
        <v>81</v>
      </c>
      <c r="D19" s="451" t="s">
        <v>44</v>
      </c>
      <c r="E19" s="451" t="s">
        <v>45</v>
      </c>
      <c r="F19" s="452" t="s">
        <v>58</v>
      </c>
      <c r="G19" s="452" t="s">
        <v>59</v>
      </c>
      <c r="H19" s="452" t="s">
        <v>52</v>
      </c>
    </row>
    <row r="20" spans="1:8">
      <c r="B20" s="450" t="s">
        <v>60</v>
      </c>
      <c r="C20" s="454" t="s">
        <v>43</v>
      </c>
      <c r="D20" s="455">
        <v>0.98</v>
      </c>
      <c r="E20" s="456" t="s">
        <v>46</v>
      </c>
      <c r="F20" s="457">
        <f>'LABOUR 2082083'!F3</f>
        <v>870</v>
      </c>
      <c r="G20" s="457">
        <f>TRUNC(D20*F20,2)</f>
        <v>852.6</v>
      </c>
      <c r="H20" s="457"/>
    </row>
    <row r="21" spans="1:8">
      <c r="B21" s="879" t="s">
        <v>53</v>
      </c>
      <c r="C21" s="880"/>
      <c r="D21" s="858" t="s">
        <v>61</v>
      </c>
      <c r="E21" s="859"/>
      <c r="F21" s="860"/>
      <c r="G21" s="457">
        <f>SUM(G20:G20)</f>
        <v>852.6</v>
      </c>
      <c r="H21" s="457"/>
    </row>
    <row r="22" spans="1:8">
      <c r="B22" s="881"/>
      <c r="C22" s="882"/>
      <c r="D22" s="861" t="s">
        <v>573</v>
      </c>
      <c r="E22" s="862"/>
      <c r="F22" s="863"/>
      <c r="G22" s="457">
        <f>TRUNC(G21*15%,2)</f>
        <v>127.89</v>
      </c>
      <c r="H22" s="457"/>
    </row>
    <row r="23" spans="1:8">
      <c r="B23" s="883"/>
      <c r="C23" s="884"/>
      <c r="D23" s="858" t="s">
        <v>47</v>
      </c>
      <c r="E23" s="859"/>
      <c r="F23" s="860"/>
      <c r="G23" s="457">
        <f>SUM(G21:G22)</f>
        <v>980.49</v>
      </c>
      <c r="H23" s="457"/>
    </row>
    <row r="24" spans="1:8">
      <c r="B24" s="463"/>
      <c r="C24" s="463"/>
      <c r="D24" s="464"/>
      <c r="E24" s="464"/>
      <c r="F24" s="467"/>
      <c r="G24" s="466"/>
      <c r="H24" s="466"/>
    </row>
    <row r="25" spans="1:8" ht="36.6" customHeight="1">
      <c r="A25" s="445">
        <v>1.04</v>
      </c>
      <c r="B25" s="446" t="s">
        <v>272</v>
      </c>
      <c r="C25" s="876" t="s">
        <v>262</v>
      </c>
      <c r="D25" s="877"/>
      <c r="E25" s="877"/>
      <c r="F25" s="447" t="s">
        <v>46</v>
      </c>
      <c r="G25" s="448">
        <f>G28</f>
        <v>348</v>
      </c>
      <c r="H25" s="448">
        <f>G30</f>
        <v>400.2</v>
      </c>
    </row>
    <row r="26" spans="1:8">
      <c r="B26" s="450" t="s">
        <v>80</v>
      </c>
      <c r="C26" s="451" t="s">
        <v>81</v>
      </c>
      <c r="D26" s="451" t="s">
        <v>44</v>
      </c>
      <c r="E26" s="451" t="s">
        <v>45</v>
      </c>
      <c r="F26" s="452" t="s">
        <v>58</v>
      </c>
      <c r="G26" s="452" t="s">
        <v>59</v>
      </c>
      <c r="H26" s="452" t="s">
        <v>52</v>
      </c>
    </row>
    <row r="27" spans="1:8">
      <c r="B27" s="468" t="s">
        <v>60</v>
      </c>
      <c r="C27" s="469" t="s">
        <v>43</v>
      </c>
      <c r="D27" s="470">
        <v>0.4</v>
      </c>
      <c r="E27" s="471" t="s">
        <v>46</v>
      </c>
      <c r="F27" s="457">
        <f>'LABOUR 2082083'!F3</f>
        <v>870</v>
      </c>
      <c r="G27" s="457">
        <f>TRUNC(D27*F27,2)</f>
        <v>348</v>
      </c>
      <c r="H27" s="472"/>
    </row>
    <row r="28" spans="1:8">
      <c r="B28" s="879" t="s">
        <v>53</v>
      </c>
      <c r="C28" s="880"/>
      <c r="D28" s="856" t="s">
        <v>61</v>
      </c>
      <c r="E28" s="856"/>
      <c r="F28" s="856"/>
      <c r="G28" s="457">
        <f>SUM(G27:G27)</f>
        <v>348</v>
      </c>
      <c r="H28" s="457"/>
    </row>
    <row r="29" spans="1:8">
      <c r="B29" s="881"/>
      <c r="C29" s="882"/>
      <c r="D29" s="857" t="s">
        <v>573</v>
      </c>
      <c r="E29" s="857"/>
      <c r="F29" s="857"/>
      <c r="G29" s="457">
        <f>TRUNC(G28*15%,2)</f>
        <v>52.2</v>
      </c>
      <c r="H29" s="457"/>
    </row>
    <row r="30" spans="1:8">
      <c r="B30" s="883"/>
      <c r="C30" s="884"/>
      <c r="D30" s="856" t="s">
        <v>47</v>
      </c>
      <c r="E30" s="856"/>
      <c r="F30" s="856"/>
      <c r="G30" s="457">
        <f>SUM(G28:G29)</f>
        <v>400.2</v>
      </c>
      <c r="H30" s="457"/>
    </row>
    <row r="31" spans="1:8">
      <c r="B31" s="458"/>
      <c r="C31" s="458"/>
      <c r="D31" s="473"/>
      <c r="E31" s="473"/>
      <c r="F31" s="474"/>
      <c r="G31" s="460"/>
      <c r="H31" s="460"/>
    </row>
    <row r="32" spans="1:8" ht="34.200000000000003" customHeight="1">
      <c r="A32" s="445">
        <v>1.05</v>
      </c>
      <c r="B32" s="446" t="s">
        <v>273</v>
      </c>
      <c r="C32" s="876" t="s">
        <v>263</v>
      </c>
      <c r="D32" s="877"/>
      <c r="E32" s="877"/>
      <c r="F32" s="447" t="s">
        <v>46</v>
      </c>
      <c r="G32" s="448">
        <f>G35</f>
        <v>376.3</v>
      </c>
      <c r="H32" s="448">
        <f>G37</f>
        <v>432.74</v>
      </c>
    </row>
    <row r="33" spans="1:8">
      <c r="B33" s="450" t="s">
        <v>80</v>
      </c>
      <c r="C33" s="451" t="s">
        <v>81</v>
      </c>
      <c r="D33" s="451" t="s">
        <v>44</v>
      </c>
      <c r="E33" s="451" t="s">
        <v>45</v>
      </c>
      <c r="F33" s="452" t="s">
        <v>58</v>
      </c>
      <c r="G33" s="452" t="s">
        <v>59</v>
      </c>
      <c r="H33" s="452" t="s">
        <v>52</v>
      </c>
    </row>
    <row r="34" spans="1:8">
      <c r="B34" s="468" t="s">
        <v>60</v>
      </c>
      <c r="C34" s="469" t="s">
        <v>43</v>
      </c>
      <c r="D34" s="470">
        <v>0.53</v>
      </c>
      <c r="E34" s="471" t="s">
        <v>46</v>
      </c>
      <c r="F34" s="457">
        <f>'LABOUR 2082083'!F11</f>
        <v>710</v>
      </c>
      <c r="G34" s="457">
        <f>TRUNC(D34*F34,2)</f>
        <v>376.3</v>
      </c>
      <c r="H34" s="472"/>
    </row>
    <row r="35" spans="1:8">
      <c r="B35" s="879" t="s">
        <v>53</v>
      </c>
      <c r="C35" s="880"/>
      <c r="D35" s="856" t="s">
        <v>61</v>
      </c>
      <c r="E35" s="856"/>
      <c r="F35" s="856"/>
      <c r="G35" s="457">
        <f>SUM(G34:G34)</f>
        <v>376.3</v>
      </c>
      <c r="H35" s="457"/>
    </row>
    <row r="36" spans="1:8">
      <c r="B36" s="881"/>
      <c r="C36" s="882"/>
      <c r="D36" s="857" t="s">
        <v>573</v>
      </c>
      <c r="E36" s="857"/>
      <c r="F36" s="857"/>
      <c r="G36" s="457">
        <f>TRUNC(G35*15%,2)</f>
        <v>56.44</v>
      </c>
      <c r="H36" s="457"/>
    </row>
    <row r="37" spans="1:8">
      <c r="B37" s="883"/>
      <c r="C37" s="884"/>
      <c r="D37" s="856" t="s">
        <v>47</v>
      </c>
      <c r="E37" s="856"/>
      <c r="F37" s="856"/>
      <c r="G37" s="457">
        <f>SUM(G35:G36)</f>
        <v>432.74</v>
      </c>
      <c r="H37" s="457"/>
    </row>
    <row r="38" spans="1:8">
      <c r="B38" s="463"/>
      <c r="C38" s="463"/>
      <c r="D38" s="464"/>
      <c r="E38" s="464"/>
      <c r="F38" s="467"/>
      <c r="G38" s="466"/>
      <c r="H38" s="466"/>
    </row>
    <row r="39" spans="1:8" ht="26.25" customHeight="1">
      <c r="A39" s="445">
        <v>1.06</v>
      </c>
      <c r="B39" s="446" t="s">
        <v>274</v>
      </c>
      <c r="C39" s="876" t="s">
        <v>264</v>
      </c>
      <c r="D39" s="877"/>
      <c r="E39" s="877"/>
      <c r="F39" s="447" t="s">
        <v>46</v>
      </c>
      <c r="G39" s="448">
        <f>G42</f>
        <v>2192.4</v>
      </c>
      <c r="H39" s="448">
        <f>G44</f>
        <v>2521.2600000000002</v>
      </c>
    </row>
    <row r="40" spans="1:8">
      <c r="B40" s="450" t="s">
        <v>80</v>
      </c>
      <c r="C40" s="451" t="s">
        <v>81</v>
      </c>
      <c r="D40" s="451" t="s">
        <v>44</v>
      </c>
      <c r="E40" s="451" t="s">
        <v>45</v>
      </c>
      <c r="F40" s="452" t="s">
        <v>58</v>
      </c>
      <c r="G40" s="452" t="s">
        <v>59</v>
      </c>
      <c r="H40" s="452" t="s">
        <v>52</v>
      </c>
    </row>
    <row r="41" spans="1:8">
      <c r="B41" s="468" t="s">
        <v>60</v>
      </c>
      <c r="C41" s="469" t="s">
        <v>43</v>
      </c>
      <c r="D41" s="470">
        <v>2.52</v>
      </c>
      <c r="E41" s="471" t="s">
        <v>46</v>
      </c>
      <c r="F41" s="457">
        <f>'LABOUR 2082083'!F3</f>
        <v>870</v>
      </c>
      <c r="G41" s="457">
        <f>TRUNC(D41*F41,2)</f>
        <v>2192.4</v>
      </c>
      <c r="H41" s="472"/>
    </row>
    <row r="42" spans="1:8">
      <c r="B42" s="879" t="s">
        <v>53</v>
      </c>
      <c r="C42" s="880"/>
      <c r="D42" s="856" t="s">
        <v>61</v>
      </c>
      <c r="E42" s="856"/>
      <c r="F42" s="856"/>
      <c r="G42" s="457">
        <f>SUM(G41:G41)</f>
        <v>2192.4</v>
      </c>
      <c r="H42" s="457"/>
    </row>
    <row r="43" spans="1:8">
      <c r="B43" s="881"/>
      <c r="C43" s="882"/>
      <c r="D43" s="857" t="s">
        <v>573</v>
      </c>
      <c r="E43" s="857"/>
      <c r="F43" s="857"/>
      <c r="G43" s="457">
        <f>TRUNC(G42*15%,2)</f>
        <v>328.86</v>
      </c>
      <c r="H43" s="457"/>
    </row>
    <row r="44" spans="1:8">
      <c r="B44" s="883"/>
      <c r="C44" s="884"/>
      <c r="D44" s="856" t="s">
        <v>47</v>
      </c>
      <c r="E44" s="856"/>
      <c r="F44" s="856"/>
      <c r="G44" s="457">
        <f>SUM(G42:G43)</f>
        <v>2521.2600000000002</v>
      </c>
      <c r="H44" s="457"/>
    </row>
    <row r="45" spans="1:8">
      <c r="B45" s="458"/>
      <c r="C45" s="458"/>
      <c r="F45" s="459"/>
      <c r="G45" s="460"/>
      <c r="H45" s="460"/>
    </row>
    <row r="46" spans="1:8">
      <c r="B46" s="458"/>
      <c r="C46" s="458"/>
      <c r="D46" s="473"/>
      <c r="E46" s="473"/>
      <c r="F46" s="474"/>
      <c r="G46" s="460"/>
      <c r="H46" s="460"/>
    </row>
    <row r="47" spans="1:8" ht="26.25" customHeight="1">
      <c r="A47" s="445">
        <v>1.07</v>
      </c>
      <c r="B47" s="446" t="s">
        <v>265</v>
      </c>
      <c r="C47" s="876" t="s">
        <v>1167</v>
      </c>
      <c r="D47" s="949"/>
      <c r="E47" s="950"/>
      <c r="F47" s="447" t="s">
        <v>50</v>
      </c>
      <c r="G47" s="448">
        <f>TRUNC(G50/10,2)</f>
        <v>20.010000000000002</v>
      </c>
      <c r="H47" s="448">
        <f>TRUNC(G52/10,2)</f>
        <v>23.01</v>
      </c>
    </row>
    <row r="48" spans="1:8">
      <c r="B48" s="450" t="s">
        <v>80</v>
      </c>
      <c r="C48" s="451" t="s">
        <v>81</v>
      </c>
      <c r="D48" s="451" t="s">
        <v>44</v>
      </c>
      <c r="E48" s="451" t="s">
        <v>45</v>
      </c>
      <c r="F48" s="452" t="s">
        <v>58</v>
      </c>
      <c r="G48" s="452" t="s">
        <v>59</v>
      </c>
      <c r="H48" s="452" t="s">
        <v>52</v>
      </c>
    </row>
    <row r="49" spans="1:8">
      <c r="B49" s="450" t="s">
        <v>60</v>
      </c>
      <c r="C49" s="454" t="s">
        <v>43</v>
      </c>
      <c r="D49" s="455">
        <v>0.23</v>
      </c>
      <c r="E49" s="451" t="s">
        <v>46</v>
      </c>
      <c r="F49" s="457">
        <f>'LABOUR 2082083'!F3</f>
        <v>870</v>
      </c>
      <c r="G49" s="457">
        <f>TRUNC(D49*F49,2)</f>
        <v>200.1</v>
      </c>
      <c r="H49" s="452"/>
    </row>
    <row r="50" spans="1:8">
      <c r="B50" s="879" t="s">
        <v>125</v>
      </c>
      <c r="C50" s="941"/>
      <c r="D50" s="858" t="s">
        <v>61</v>
      </c>
      <c r="E50" s="859"/>
      <c r="F50" s="860"/>
      <c r="G50" s="457">
        <f>SUM(G49:G49)</f>
        <v>200.1</v>
      </c>
      <c r="H50" s="457"/>
    </row>
    <row r="51" spans="1:8">
      <c r="B51" s="942"/>
      <c r="C51" s="943"/>
      <c r="D51" s="861" t="s">
        <v>573</v>
      </c>
      <c r="E51" s="862"/>
      <c r="F51" s="863"/>
      <c r="G51" s="457">
        <f>TRUNC(G50*15%,2)</f>
        <v>30.01</v>
      </c>
      <c r="H51" s="457"/>
    </row>
    <row r="52" spans="1:8">
      <c r="B52" s="942"/>
      <c r="C52" s="943"/>
      <c r="D52" s="929" t="s">
        <v>47</v>
      </c>
      <c r="E52" s="930"/>
      <c r="F52" s="931"/>
      <c r="G52" s="475">
        <f>SUM(G50:G51)</f>
        <v>230.10999999999999</v>
      </c>
      <c r="H52" s="475"/>
    </row>
    <row r="53" spans="1:8">
      <c r="B53" s="443"/>
      <c r="D53" s="476"/>
      <c r="E53" s="476"/>
      <c r="F53" s="476"/>
      <c r="G53" s="477"/>
      <c r="H53" s="477"/>
    </row>
    <row r="54" spans="1:8">
      <c r="B54" s="478"/>
      <c r="C54" s="478"/>
      <c r="D54" s="476"/>
      <c r="E54" s="476"/>
      <c r="F54" s="476"/>
      <c r="G54" s="477"/>
      <c r="H54" s="477"/>
    </row>
    <row r="55" spans="1:8" s="483" customFormat="1" ht="49.2" customHeight="1">
      <c r="A55" s="479">
        <v>1.08</v>
      </c>
      <c r="B55" s="480" t="s">
        <v>266</v>
      </c>
      <c r="C55" s="946" t="s">
        <v>1453</v>
      </c>
      <c r="D55" s="947"/>
      <c r="E55" s="948"/>
      <c r="F55" s="481" t="s">
        <v>204</v>
      </c>
      <c r="G55" s="482">
        <f>G58</f>
        <v>8.6999999999999993</v>
      </c>
      <c r="H55" s="482">
        <f>G60</f>
        <v>10</v>
      </c>
    </row>
    <row r="56" spans="1:8" ht="12.75" customHeight="1">
      <c r="B56" s="450" t="s">
        <v>80</v>
      </c>
      <c r="C56" s="451" t="s">
        <v>81</v>
      </c>
      <c r="D56" s="451" t="s">
        <v>44</v>
      </c>
      <c r="E56" s="451" t="s">
        <v>45</v>
      </c>
      <c r="F56" s="452" t="s">
        <v>58</v>
      </c>
      <c r="G56" s="452" t="s">
        <v>59</v>
      </c>
      <c r="H56" s="452" t="s">
        <v>52</v>
      </c>
    </row>
    <row r="57" spans="1:8" ht="12.75" customHeight="1">
      <c r="B57" s="450" t="s">
        <v>60</v>
      </c>
      <c r="C57" s="484" t="s">
        <v>43</v>
      </c>
      <c r="D57" s="455">
        <v>0.01</v>
      </c>
      <c r="E57" s="451" t="s">
        <v>46</v>
      </c>
      <c r="F57" s="457">
        <f>'LABOUR 2082083'!F3</f>
        <v>870</v>
      </c>
      <c r="G57" s="457">
        <f>TRUNC(D57*F57,2)</f>
        <v>8.6999999999999993</v>
      </c>
      <c r="H57" s="457"/>
    </row>
    <row r="58" spans="1:8" ht="12.75" customHeight="1">
      <c r="B58" s="879" t="s">
        <v>124</v>
      </c>
      <c r="C58" s="941"/>
      <c r="D58" s="858" t="s">
        <v>61</v>
      </c>
      <c r="E58" s="859"/>
      <c r="F58" s="860"/>
      <c r="G58" s="457">
        <f>SUM(G57:G57)</f>
        <v>8.6999999999999993</v>
      </c>
      <c r="H58" s="457"/>
    </row>
    <row r="59" spans="1:8" ht="12.75" customHeight="1">
      <c r="B59" s="942"/>
      <c r="C59" s="943"/>
      <c r="D59" s="861" t="s">
        <v>573</v>
      </c>
      <c r="E59" s="862"/>
      <c r="F59" s="863"/>
      <c r="G59" s="457">
        <f>TRUNC(G58*15%,2)</f>
        <v>1.3</v>
      </c>
      <c r="H59" s="457"/>
    </row>
    <row r="60" spans="1:8" ht="12.75" customHeight="1">
      <c r="B60" s="944"/>
      <c r="C60" s="945"/>
      <c r="D60" s="858" t="s">
        <v>47</v>
      </c>
      <c r="E60" s="859"/>
      <c r="F60" s="860"/>
      <c r="G60" s="457">
        <f>SUM(G58:G59)</f>
        <v>10</v>
      </c>
      <c r="H60" s="457"/>
    </row>
    <row r="61" spans="1:8" ht="12.75" customHeight="1">
      <c r="C61" s="485"/>
      <c r="D61" s="486"/>
      <c r="E61" s="486"/>
      <c r="F61" s="487"/>
      <c r="G61" s="487"/>
      <c r="H61" s="487"/>
    </row>
    <row r="62" spans="1:8" ht="24" customHeight="1">
      <c r="A62" s="445">
        <v>1.0900000000000001</v>
      </c>
      <c r="B62" s="446" t="s">
        <v>587</v>
      </c>
      <c r="C62" s="876" t="s">
        <v>588</v>
      </c>
      <c r="D62" s="877"/>
      <c r="E62" s="877"/>
      <c r="F62" s="447" t="s">
        <v>46</v>
      </c>
      <c r="G62" s="448">
        <f>G72</f>
        <v>44270</v>
      </c>
      <c r="H62" s="448">
        <f>G74</f>
        <v>50910.5</v>
      </c>
    </row>
    <row r="63" spans="1:8" ht="12.75" customHeight="1">
      <c r="B63" s="450" t="s">
        <v>80</v>
      </c>
      <c r="C63" s="451" t="s">
        <v>81</v>
      </c>
      <c r="D63" s="451" t="s">
        <v>44</v>
      </c>
      <c r="E63" s="451" t="s">
        <v>45</v>
      </c>
      <c r="F63" s="452" t="s">
        <v>58</v>
      </c>
      <c r="G63" s="452" t="s">
        <v>59</v>
      </c>
      <c r="H63" s="452" t="s">
        <v>52</v>
      </c>
    </row>
    <row r="64" spans="1:8" ht="12.75" customHeight="1">
      <c r="B64" s="450" t="s">
        <v>60</v>
      </c>
      <c r="C64" s="484" t="s">
        <v>69</v>
      </c>
      <c r="D64" s="488">
        <v>1</v>
      </c>
      <c r="E64" s="451" t="s">
        <v>46</v>
      </c>
      <c r="F64" s="457">
        <f>LOOKUP(C64,'Basic Rate'!$B$8:$B$328,'Basic Rate'!$F$8:$F$328)</f>
        <v>1200</v>
      </c>
      <c r="G64" s="457">
        <f>TRUNC(D64*F64,2)</f>
        <v>1200</v>
      </c>
      <c r="H64" s="457"/>
    </row>
    <row r="65" spans="1:8" ht="12.75" customHeight="1">
      <c r="B65" s="450"/>
      <c r="C65" s="484" t="s">
        <v>43</v>
      </c>
      <c r="D65" s="488">
        <v>2</v>
      </c>
      <c r="E65" s="451" t="s">
        <v>46</v>
      </c>
      <c r="F65" s="457">
        <f>LOOKUP(C65,'Basic Rate'!$B$8:$B$328,'Basic Rate'!$F$8:$F$328)</f>
        <v>870</v>
      </c>
      <c r="G65" s="457">
        <f t="shared" ref="G65:G71" si="0">TRUNC(D65*F65,2)</f>
        <v>1740</v>
      </c>
      <c r="H65" s="457"/>
    </row>
    <row r="66" spans="1:8" ht="12.75" customHeight="1">
      <c r="B66" s="450"/>
      <c r="C66" s="454" t="s">
        <v>590</v>
      </c>
      <c r="D66" s="488">
        <v>4</v>
      </c>
      <c r="E66" s="451" t="s">
        <v>46</v>
      </c>
      <c r="F66" s="452">
        <f>'Basic Rate'!F71</f>
        <v>0</v>
      </c>
      <c r="G66" s="457">
        <f t="shared" si="0"/>
        <v>0</v>
      </c>
      <c r="H66" s="452"/>
    </row>
    <row r="67" spans="1:8" ht="12.75" customHeight="1">
      <c r="B67" s="450"/>
      <c r="C67" s="454" t="s">
        <v>591</v>
      </c>
      <c r="D67" s="488">
        <v>1</v>
      </c>
      <c r="E67" s="451" t="s">
        <v>46</v>
      </c>
      <c r="F67" s="457">
        <f>LOOKUP(C67,'Basic Rate'!$B$8:$B$328,'Basic Rate'!$F$8:$F$328)</f>
        <v>0</v>
      </c>
      <c r="G67" s="457">
        <f t="shared" si="0"/>
        <v>0</v>
      </c>
      <c r="H67" s="452"/>
    </row>
    <row r="68" spans="1:8" ht="12.75" customHeight="1">
      <c r="B68" s="450"/>
      <c r="C68" s="454" t="s">
        <v>592</v>
      </c>
      <c r="D68" s="488">
        <v>15</v>
      </c>
      <c r="E68" s="451" t="s">
        <v>46</v>
      </c>
      <c r="F68" s="457">
        <f>'Basic Rate'!F61</f>
        <v>22</v>
      </c>
      <c r="G68" s="457">
        <f t="shared" si="0"/>
        <v>330</v>
      </c>
      <c r="H68" s="452"/>
    </row>
    <row r="69" spans="1:8" ht="145.19999999999999">
      <c r="B69" s="450"/>
      <c r="C69" s="489" t="s">
        <v>1471</v>
      </c>
      <c r="D69" s="488">
        <v>1</v>
      </c>
      <c r="E69" s="451" t="s">
        <v>605</v>
      </c>
      <c r="F69" s="457">
        <v>20000</v>
      </c>
      <c r="G69" s="457">
        <f t="shared" si="0"/>
        <v>20000</v>
      </c>
      <c r="H69" s="452" t="s">
        <v>86</v>
      </c>
    </row>
    <row r="70" spans="1:8" ht="26.4">
      <c r="B70" s="450"/>
      <c r="C70" s="490" t="s">
        <v>606</v>
      </c>
      <c r="D70" s="488">
        <v>8</v>
      </c>
      <c r="E70" s="451" t="s">
        <v>285</v>
      </c>
      <c r="F70" s="457">
        <v>2000</v>
      </c>
      <c r="G70" s="457">
        <f t="shared" si="0"/>
        <v>16000</v>
      </c>
      <c r="H70" s="452"/>
    </row>
    <row r="71" spans="1:8" ht="12.75" customHeight="1">
      <c r="B71" s="491"/>
      <c r="C71" s="489" t="s">
        <v>607</v>
      </c>
      <c r="D71" s="488">
        <v>1</v>
      </c>
      <c r="E71" s="451" t="s">
        <v>46</v>
      </c>
      <c r="F71" s="492">
        <v>5000</v>
      </c>
      <c r="G71" s="457">
        <f t="shared" si="0"/>
        <v>5000</v>
      </c>
      <c r="H71" s="452"/>
    </row>
    <row r="72" spans="1:8" ht="12.75" customHeight="1">
      <c r="B72" s="879" t="s">
        <v>589</v>
      </c>
      <c r="C72" s="941"/>
      <c r="D72" s="858" t="s">
        <v>61</v>
      </c>
      <c r="E72" s="859"/>
      <c r="F72" s="860"/>
      <c r="G72" s="457">
        <f>SUM(G64:G71)</f>
        <v>44270</v>
      </c>
      <c r="H72" s="457"/>
    </row>
    <row r="73" spans="1:8" ht="12.75" customHeight="1">
      <c r="B73" s="942"/>
      <c r="C73" s="943"/>
      <c r="D73" s="861" t="s">
        <v>573</v>
      </c>
      <c r="E73" s="862"/>
      <c r="F73" s="863"/>
      <c r="G73" s="457">
        <f>TRUNC(G72*15%,2)</f>
        <v>6640.5</v>
      </c>
      <c r="H73" s="457"/>
    </row>
    <row r="74" spans="1:8" ht="12.75" customHeight="1">
      <c r="B74" s="944"/>
      <c r="C74" s="945"/>
      <c r="D74" s="858" t="s">
        <v>47</v>
      </c>
      <c r="E74" s="859"/>
      <c r="F74" s="860"/>
      <c r="G74" s="457">
        <f>SUM(G72:G73)</f>
        <v>50910.5</v>
      </c>
      <c r="H74" s="457"/>
    </row>
    <row r="75" spans="1:8" ht="11.25" customHeight="1">
      <c r="B75" s="443"/>
      <c r="F75" s="459"/>
      <c r="G75" s="460"/>
      <c r="H75" s="460"/>
    </row>
    <row r="76" spans="1:8" ht="11.25" customHeight="1">
      <c r="A76" s="916" t="s">
        <v>428</v>
      </c>
      <c r="B76" s="916"/>
      <c r="C76" s="916"/>
      <c r="D76" s="916"/>
      <c r="E76" s="916"/>
      <c r="F76" s="916"/>
      <c r="G76" s="916"/>
      <c r="H76" s="916"/>
    </row>
    <row r="77" spans="1:8">
      <c r="C77" s="444"/>
      <c r="F77" s="462"/>
      <c r="G77" s="460"/>
      <c r="H77" s="460"/>
    </row>
    <row r="78" spans="1:8" s="493" customFormat="1" ht="45.6" customHeight="1">
      <c r="A78" s="445">
        <v>2.0099999999999998</v>
      </c>
      <c r="B78" s="446" t="s">
        <v>275</v>
      </c>
      <c r="C78" s="953" t="s">
        <v>1454</v>
      </c>
      <c r="D78" s="954"/>
      <c r="E78" s="955"/>
      <c r="F78" s="448" t="s">
        <v>68</v>
      </c>
      <c r="G78" s="448">
        <f>G82</f>
        <v>627.27</v>
      </c>
      <c r="H78" s="448">
        <f>G84</f>
        <v>721.36</v>
      </c>
    </row>
    <row r="79" spans="1:8">
      <c r="B79" s="450" t="s">
        <v>80</v>
      </c>
      <c r="C79" s="451" t="s">
        <v>81</v>
      </c>
      <c r="D79" s="451" t="s">
        <v>44</v>
      </c>
      <c r="E79" s="451" t="s">
        <v>45</v>
      </c>
      <c r="F79" s="452" t="s">
        <v>58</v>
      </c>
      <c r="G79" s="452" t="s">
        <v>59</v>
      </c>
      <c r="H79" s="452" t="s">
        <v>52</v>
      </c>
    </row>
    <row r="80" spans="1:8">
      <c r="B80" s="450" t="s">
        <v>60</v>
      </c>
      <c r="C80" s="484" t="s">
        <v>43</v>
      </c>
      <c r="D80" s="455">
        <v>0.7</v>
      </c>
      <c r="E80" s="451" t="s">
        <v>46</v>
      </c>
      <c r="F80" s="457">
        <f>'LABOUR 2082083'!F3</f>
        <v>870</v>
      </c>
      <c r="G80" s="457">
        <f>TRUNC(D80*F80,2)</f>
        <v>609</v>
      </c>
      <c r="H80" s="457"/>
    </row>
    <row r="81" spans="1:8">
      <c r="B81" s="450" t="s">
        <v>63</v>
      </c>
      <c r="C81" s="484" t="s">
        <v>181</v>
      </c>
      <c r="D81" s="956" t="s">
        <v>64</v>
      </c>
      <c r="E81" s="957"/>
      <c r="F81" s="958"/>
      <c r="G81" s="457">
        <f>TRUNC(G80*3%,2)</f>
        <v>18.27</v>
      </c>
      <c r="H81" s="457"/>
    </row>
    <row r="82" spans="1:8">
      <c r="B82" s="855" t="s">
        <v>62</v>
      </c>
      <c r="C82" s="855"/>
      <c r="D82" s="856" t="s">
        <v>61</v>
      </c>
      <c r="E82" s="856"/>
      <c r="F82" s="856"/>
      <c r="G82" s="457">
        <f>SUM(G80:G81)</f>
        <v>627.27</v>
      </c>
      <c r="H82" s="457"/>
    </row>
    <row r="83" spans="1:8">
      <c r="B83" s="855"/>
      <c r="C83" s="855"/>
      <c r="D83" s="857" t="s">
        <v>573</v>
      </c>
      <c r="E83" s="857"/>
      <c r="F83" s="857"/>
      <c r="G83" s="457">
        <f>TRUNC(G82*15%,2)</f>
        <v>94.09</v>
      </c>
      <c r="H83" s="457"/>
    </row>
    <row r="84" spans="1:8">
      <c r="B84" s="855"/>
      <c r="C84" s="855"/>
      <c r="D84" s="856" t="s">
        <v>47</v>
      </c>
      <c r="E84" s="856"/>
      <c r="F84" s="856"/>
      <c r="G84" s="442">
        <f>SUM(G82:G83)</f>
        <v>721.36</v>
      </c>
      <c r="H84" s="457"/>
    </row>
    <row r="85" spans="1:8">
      <c r="C85" s="444"/>
      <c r="F85" s="462"/>
      <c r="G85" s="460"/>
      <c r="H85" s="460"/>
    </row>
    <row r="86" spans="1:8" ht="13.8">
      <c r="A86" s="445">
        <v>2.02</v>
      </c>
      <c r="B86" s="446" t="s">
        <v>276</v>
      </c>
      <c r="C86" s="876" t="s">
        <v>1455</v>
      </c>
      <c r="D86" s="877"/>
      <c r="E86" s="878"/>
      <c r="F86" s="448" t="s">
        <v>68</v>
      </c>
      <c r="G86" s="448">
        <f>G90</f>
        <v>716.88</v>
      </c>
      <c r="H86" s="448">
        <f>G92</f>
        <v>824.41</v>
      </c>
    </row>
    <row r="87" spans="1:8" ht="12" customHeight="1">
      <c r="B87" s="450" t="s">
        <v>80</v>
      </c>
      <c r="C87" s="451" t="s">
        <v>81</v>
      </c>
      <c r="D87" s="451" t="s">
        <v>44</v>
      </c>
      <c r="E87" s="451" t="s">
        <v>45</v>
      </c>
      <c r="F87" s="452" t="s">
        <v>58</v>
      </c>
      <c r="G87" s="452" t="s">
        <v>59</v>
      </c>
      <c r="H87" s="452" t="s">
        <v>52</v>
      </c>
    </row>
    <row r="88" spans="1:8">
      <c r="B88" s="450" t="s">
        <v>60</v>
      </c>
      <c r="C88" s="484" t="s">
        <v>43</v>
      </c>
      <c r="D88" s="455">
        <v>0.8</v>
      </c>
      <c r="E88" s="451" t="s">
        <v>46</v>
      </c>
      <c r="F88" s="457">
        <f>'LABOUR 2082083'!F3</f>
        <v>870</v>
      </c>
      <c r="G88" s="457">
        <f>TRUNC(D88*F88,2)</f>
        <v>696</v>
      </c>
      <c r="H88" s="457"/>
    </row>
    <row r="89" spans="1:8" ht="15" customHeight="1">
      <c r="B89" s="450" t="s">
        <v>63</v>
      </c>
      <c r="C89" s="484" t="s">
        <v>65</v>
      </c>
      <c r="D89" s="956" t="s">
        <v>64</v>
      </c>
      <c r="E89" s="957"/>
      <c r="F89" s="958"/>
      <c r="G89" s="457">
        <f>TRUNC(G88*3%,2)</f>
        <v>20.88</v>
      </c>
      <c r="H89" s="457"/>
    </row>
    <row r="90" spans="1:8" ht="16.649999999999999" customHeight="1">
      <c r="B90" s="855" t="s">
        <v>62</v>
      </c>
      <c r="C90" s="855"/>
      <c r="D90" s="856" t="s">
        <v>61</v>
      </c>
      <c r="E90" s="856"/>
      <c r="F90" s="856"/>
      <c r="G90" s="457">
        <f>SUM(G88:G89)</f>
        <v>716.88</v>
      </c>
      <c r="H90" s="457"/>
    </row>
    <row r="91" spans="1:8" ht="15.6" customHeight="1">
      <c r="B91" s="855"/>
      <c r="C91" s="855"/>
      <c r="D91" s="857" t="s">
        <v>573</v>
      </c>
      <c r="E91" s="857"/>
      <c r="F91" s="857"/>
      <c r="G91" s="457">
        <f>TRUNC(G90*15%,2)</f>
        <v>107.53</v>
      </c>
      <c r="H91" s="457"/>
    </row>
    <row r="92" spans="1:8" ht="12" customHeight="1">
      <c r="B92" s="935"/>
      <c r="C92" s="935"/>
      <c r="D92" s="885" t="s">
        <v>47</v>
      </c>
      <c r="E92" s="885"/>
      <c r="F92" s="885"/>
      <c r="G92" s="475">
        <f>SUM(G90:G91)</f>
        <v>824.41</v>
      </c>
      <c r="H92" s="475"/>
    </row>
    <row r="93" spans="1:8">
      <c r="B93" s="494"/>
      <c r="C93" s="494"/>
      <c r="D93" s="476"/>
      <c r="E93" s="476"/>
      <c r="F93" s="476"/>
      <c r="G93" s="477"/>
      <c r="H93" s="477"/>
    </row>
    <row r="94" spans="1:8">
      <c r="C94" s="459"/>
      <c r="F94" s="462"/>
      <c r="G94" s="460"/>
      <c r="H94" s="460"/>
    </row>
    <row r="95" spans="1:8" ht="39" customHeight="1">
      <c r="A95" s="445">
        <v>2.0299999999999998</v>
      </c>
      <c r="B95" s="446" t="s">
        <v>277</v>
      </c>
      <c r="C95" s="876" t="s">
        <v>268</v>
      </c>
      <c r="D95" s="877"/>
      <c r="E95" s="878"/>
      <c r="F95" s="447" t="s">
        <v>68</v>
      </c>
      <c r="G95" s="448">
        <f>G98</f>
        <v>435</v>
      </c>
      <c r="H95" s="448">
        <f>G100</f>
        <v>500.25</v>
      </c>
    </row>
    <row r="96" spans="1:8">
      <c r="B96" s="450" t="s">
        <v>80</v>
      </c>
      <c r="C96" s="451" t="s">
        <v>81</v>
      </c>
      <c r="D96" s="451" t="s">
        <v>44</v>
      </c>
      <c r="E96" s="451" t="s">
        <v>45</v>
      </c>
      <c r="F96" s="452" t="s">
        <v>58</v>
      </c>
      <c r="G96" s="452" t="s">
        <v>59</v>
      </c>
      <c r="H96" s="452" t="s">
        <v>52</v>
      </c>
    </row>
    <row r="97" spans="1:10">
      <c r="B97" s="450" t="s">
        <v>60</v>
      </c>
      <c r="C97" s="484" t="s">
        <v>43</v>
      </c>
      <c r="D97" s="455">
        <v>0.5</v>
      </c>
      <c r="E97" s="451" t="s">
        <v>46</v>
      </c>
      <c r="F97" s="457">
        <f>'LABOUR 2082083'!F3</f>
        <v>870</v>
      </c>
      <c r="G97" s="457">
        <f>TRUNC(D97*F97,2)</f>
        <v>435</v>
      </c>
      <c r="H97" s="457"/>
    </row>
    <row r="98" spans="1:10">
      <c r="B98" s="855" t="s">
        <v>62</v>
      </c>
      <c r="C98" s="855"/>
      <c r="D98" s="856" t="s">
        <v>61</v>
      </c>
      <c r="E98" s="856"/>
      <c r="F98" s="856"/>
      <c r="G98" s="457">
        <f>SUM(G97:G97)</f>
        <v>435</v>
      </c>
      <c r="H98" s="457"/>
    </row>
    <row r="99" spans="1:10">
      <c r="B99" s="855"/>
      <c r="C99" s="855"/>
      <c r="D99" s="857" t="s">
        <v>573</v>
      </c>
      <c r="E99" s="857"/>
      <c r="F99" s="857"/>
      <c r="G99" s="457">
        <f>TRUNC(G98*15%,2)</f>
        <v>65.25</v>
      </c>
      <c r="H99" s="457"/>
    </row>
    <row r="100" spans="1:10" ht="12.75" customHeight="1">
      <c r="B100" s="855"/>
      <c r="C100" s="855"/>
      <c r="D100" s="856" t="s">
        <v>47</v>
      </c>
      <c r="E100" s="856"/>
      <c r="F100" s="856"/>
      <c r="G100" s="457">
        <f>SUM(G98:G99)</f>
        <v>500.25</v>
      </c>
      <c r="H100" s="457"/>
    </row>
    <row r="101" spans="1:10" ht="12.75" customHeight="1">
      <c r="C101" s="444"/>
      <c r="F101" s="474"/>
      <c r="G101" s="460"/>
      <c r="H101" s="460"/>
    </row>
    <row r="102" spans="1:10" ht="12.75" customHeight="1">
      <c r="C102" s="444"/>
      <c r="F102" s="474"/>
      <c r="G102" s="460"/>
      <c r="H102" s="460"/>
    </row>
    <row r="103" spans="1:10" s="495" customFormat="1" ht="43.2" customHeight="1">
      <c r="A103" s="445">
        <v>2.04</v>
      </c>
      <c r="B103" s="446" t="s">
        <v>277</v>
      </c>
      <c r="C103" s="888" t="s">
        <v>1129</v>
      </c>
      <c r="D103" s="889"/>
      <c r="E103" s="889"/>
      <c r="F103" s="447" t="s">
        <v>68</v>
      </c>
      <c r="G103" s="448">
        <f>G108</f>
        <v>1035</v>
      </c>
      <c r="H103" s="448">
        <f>G110</f>
        <v>1190.25</v>
      </c>
    </row>
    <row r="104" spans="1:10">
      <c r="B104" s="450" t="s">
        <v>80</v>
      </c>
      <c r="C104" s="451" t="s">
        <v>81</v>
      </c>
      <c r="D104" s="451" t="s">
        <v>44</v>
      </c>
      <c r="E104" s="451" t="s">
        <v>45</v>
      </c>
      <c r="F104" s="452" t="s">
        <v>58</v>
      </c>
      <c r="G104" s="452" t="s">
        <v>59</v>
      </c>
      <c r="H104" s="452" t="s">
        <v>52</v>
      </c>
    </row>
    <row r="105" spans="1:10">
      <c r="B105" s="450" t="s">
        <v>60</v>
      </c>
      <c r="C105" s="484" t="s">
        <v>43</v>
      </c>
      <c r="D105" s="455">
        <v>0.5</v>
      </c>
      <c r="E105" s="451" t="s">
        <v>46</v>
      </c>
      <c r="F105" s="457">
        <f>'LABOUR 2082083'!F3</f>
        <v>870</v>
      </c>
      <c r="G105" s="457">
        <f>TRUNC(D105*F105,2)</f>
        <v>435</v>
      </c>
      <c r="H105" s="457"/>
      <c r="J105" s="496">
        <f>G105</f>
        <v>435</v>
      </c>
    </row>
    <row r="106" spans="1:10" ht="12.75" customHeight="1">
      <c r="B106" s="864" t="s">
        <v>63</v>
      </c>
      <c r="C106" s="484" t="s">
        <v>147</v>
      </c>
      <c r="D106" s="497">
        <v>1.5</v>
      </c>
      <c r="E106" s="498" t="s">
        <v>68</v>
      </c>
      <c r="F106" s="457">
        <f>'Basic Rate'!F132</f>
        <v>400</v>
      </c>
      <c r="G106" s="457">
        <f>TRUNC(D106*F106,2)</f>
        <v>600</v>
      </c>
      <c r="H106" s="457"/>
      <c r="I106" s="443">
        <v>350</v>
      </c>
      <c r="J106" s="443">
        <f>I106*D106</f>
        <v>525</v>
      </c>
    </row>
    <row r="107" spans="1:10">
      <c r="B107" s="868"/>
      <c r="C107" s="484" t="s">
        <v>267</v>
      </c>
      <c r="D107" s="497">
        <v>5</v>
      </c>
      <c r="E107" s="498" t="s">
        <v>107</v>
      </c>
      <c r="F107" s="457">
        <f>'Basic Rate'!F215</f>
        <v>0</v>
      </c>
      <c r="G107" s="457">
        <f>INT(D107*F107*100)/100</f>
        <v>0</v>
      </c>
      <c r="H107" s="457"/>
      <c r="J107" s="496">
        <f>G107</f>
        <v>0</v>
      </c>
    </row>
    <row r="108" spans="1:10">
      <c r="B108" s="855" t="s">
        <v>62</v>
      </c>
      <c r="C108" s="855"/>
      <c r="D108" s="856" t="s">
        <v>61</v>
      </c>
      <c r="E108" s="856"/>
      <c r="F108" s="856"/>
      <c r="G108" s="457">
        <f>SUM(G105:G107)</f>
        <v>1035</v>
      </c>
      <c r="H108" s="457"/>
    </row>
    <row r="109" spans="1:10">
      <c r="B109" s="855"/>
      <c r="C109" s="855"/>
      <c r="D109" s="857" t="s">
        <v>573</v>
      </c>
      <c r="E109" s="857"/>
      <c r="F109" s="857"/>
      <c r="G109" s="457">
        <f>TRUNC(G108*15%,2)</f>
        <v>155.25</v>
      </c>
      <c r="H109" s="457"/>
    </row>
    <row r="110" spans="1:10" ht="12.75" customHeight="1">
      <c r="B110" s="855"/>
      <c r="C110" s="855"/>
      <c r="D110" s="856" t="s">
        <v>47</v>
      </c>
      <c r="E110" s="856"/>
      <c r="F110" s="856"/>
      <c r="G110" s="457">
        <f>SUM(G108:G109)</f>
        <v>1190.25</v>
      </c>
      <c r="H110" s="457"/>
    </row>
    <row r="111" spans="1:10" ht="12.75" customHeight="1">
      <c r="A111" s="499"/>
      <c r="B111" s="463"/>
      <c r="C111" s="463"/>
      <c r="D111" s="464"/>
      <c r="E111" s="464"/>
      <c r="F111" s="500"/>
      <c r="G111" s="466"/>
      <c r="H111" s="466"/>
    </row>
    <row r="112" spans="1:10" ht="27.6">
      <c r="A112" s="445">
        <v>2.0499999999999998</v>
      </c>
      <c r="B112" s="501" t="s">
        <v>278</v>
      </c>
      <c r="C112" s="951" t="s">
        <v>66</v>
      </c>
      <c r="D112" s="952"/>
      <c r="E112" s="952"/>
      <c r="F112" s="502" t="s">
        <v>68</v>
      </c>
      <c r="G112" s="503">
        <f>G115</f>
        <v>217.5</v>
      </c>
      <c r="H112" s="503">
        <f>G117</f>
        <v>250.12</v>
      </c>
    </row>
    <row r="113" spans="1:8">
      <c r="B113" s="450" t="s">
        <v>80</v>
      </c>
      <c r="C113" s="451" t="s">
        <v>81</v>
      </c>
      <c r="D113" s="451" t="s">
        <v>44</v>
      </c>
      <c r="E113" s="451" t="s">
        <v>45</v>
      </c>
      <c r="F113" s="452" t="s">
        <v>58</v>
      </c>
      <c r="G113" s="452" t="s">
        <v>59</v>
      </c>
      <c r="H113" s="452" t="s">
        <v>52</v>
      </c>
    </row>
    <row r="114" spans="1:8">
      <c r="B114" s="450" t="s">
        <v>60</v>
      </c>
      <c r="C114" s="484" t="s">
        <v>43</v>
      </c>
      <c r="D114" s="455">
        <v>0.25</v>
      </c>
      <c r="E114" s="451" t="s">
        <v>46</v>
      </c>
      <c r="F114" s="457">
        <f>'LABOUR 2082083'!F3</f>
        <v>870</v>
      </c>
      <c r="G114" s="457">
        <f>TRUNC(D114*F114,2)</f>
        <v>217.5</v>
      </c>
      <c r="H114" s="457"/>
    </row>
    <row r="115" spans="1:8">
      <c r="B115" s="855" t="s">
        <v>62</v>
      </c>
      <c r="C115" s="855"/>
      <c r="D115" s="856" t="s">
        <v>61</v>
      </c>
      <c r="E115" s="856"/>
      <c r="F115" s="856"/>
      <c r="G115" s="457">
        <f>SUM(G114:G114)</f>
        <v>217.5</v>
      </c>
      <c r="H115" s="457"/>
    </row>
    <row r="116" spans="1:8">
      <c r="B116" s="855"/>
      <c r="C116" s="855"/>
      <c r="D116" s="857" t="s">
        <v>573</v>
      </c>
      <c r="E116" s="857"/>
      <c r="F116" s="857"/>
      <c r="G116" s="457">
        <f>TRUNC(G115*15%,2)</f>
        <v>32.619999999999997</v>
      </c>
      <c r="H116" s="457"/>
    </row>
    <row r="117" spans="1:8" ht="12.75" customHeight="1">
      <c r="B117" s="935"/>
      <c r="C117" s="935"/>
      <c r="D117" s="885" t="s">
        <v>47</v>
      </c>
      <c r="E117" s="885"/>
      <c r="F117" s="885"/>
      <c r="G117" s="475">
        <f>SUM(G115:G116)</f>
        <v>250.12</v>
      </c>
      <c r="H117" s="475"/>
    </row>
    <row r="118" spans="1:8" ht="12.75" customHeight="1">
      <c r="B118" s="504"/>
      <c r="C118" s="504"/>
      <c r="D118" s="498"/>
      <c r="E118" s="498"/>
      <c r="F118" s="498"/>
      <c r="G118" s="505"/>
      <c r="H118" s="505"/>
    </row>
    <row r="119" spans="1:8" ht="27.6">
      <c r="A119" s="445">
        <v>2.06</v>
      </c>
      <c r="B119" s="501" t="s">
        <v>278</v>
      </c>
      <c r="C119" s="951" t="s">
        <v>1130</v>
      </c>
      <c r="D119" s="952"/>
      <c r="E119" s="952"/>
      <c r="F119" s="502" t="s">
        <v>68</v>
      </c>
      <c r="G119" s="503">
        <f>G123</f>
        <v>737.5</v>
      </c>
      <c r="H119" s="503">
        <f>G125</f>
        <v>848.12</v>
      </c>
    </row>
    <row r="120" spans="1:8">
      <c r="B120" s="450" t="s">
        <v>80</v>
      </c>
      <c r="C120" s="451" t="s">
        <v>81</v>
      </c>
      <c r="D120" s="451" t="s">
        <v>44</v>
      </c>
      <c r="E120" s="451" t="s">
        <v>45</v>
      </c>
      <c r="F120" s="452" t="s">
        <v>58</v>
      </c>
      <c r="G120" s="452" t="s">
        <v>59</v>
      </c>
      <c r="H120" s="452" t="s">
        <v>52</v>
      </c>
    </row>
    <row r="121" spans="1:8">
      <c r="B121" s="450" t="s">
        <v>60</v>
      </c>
      <c r="C121" s="484" t="s">
        <v>43</v>
      </c>
      <c r="D121" s="455">
        <v>0.25</v>
      </c>
      <c r="E121" s="451" t="s">
        <v>46</v>
      </c>
      <c r="F121" s="457">
        <f>'LABOUR 2082083'!F3</f>
        <v>870</v>
      </c>
      <c r="G121" s="457">
        <f>TRUNC(D121*F121,2)</f>
        <v>217.5</v>
      </c>
      <c r="H121" s="457"/>
    </row>
    <row r="122" spans="1:8" ht="12.75" customHeight="1">
      <c r="B122" s="468" t="s">
        <v>63</v>
      </c>
      <c r="C122" s="484" t="str">
        <f>C106</f>
        <v xml:space="preserve">Mud </v>
      </c>
      <c r="D122" s="497">
        <v>1.3</v>
      </c>
      <c r="E122" s="498" t="s">
        <v>68</v>
      </c>
      <c r="F122" s="457">
        <f>'Basic Rate'!F132</f>
        <v>400</v>
      </c>
      <c r="G122" s="457">
        <f>TRUNC(D122*F122,2)</f>
        <v>520</v>
      </c>
      <c r="H122" s="457"/>
    </row>
    <row r="123" spans="1:8">
      <c r="B123" s="855" t="s">
        <v>62</v>
      </c>
      <c r="C123" s="855"/>
      <c r="D123" s="856" t="s">
        <v>61</v>
      </c>
      <c r="E123" s="856"/>
      <c r="F123" s="856"/>
      <c r="G123" s="457">
        <f>SUM(G121:G122)</f>
        <v>737.5</v>
      </c>
      <c r="H123" s="457"/>
    </row>
    <row r="124" spans="1:8">
      <c r="B124" s="855"/>
      <c r="C124" s="855"/>
      <c r="D124" s="857" t="s">
        <v>573</v>
      </c>
      <c r="E124" s="857"/>
      <c r="F124" s="857"/>
      <c r="G124" s="457">
        <f>TRUNC(G123*15%,2)</f>
        <v>110.62</v>
      </c>
      <c r="H124" s="457"/>
    </row>
    <row r="125" spans="1:8" ht="12.75" customHeight="1">
      <c r="B125" s="855"/>
      <c r="C125" s="855"/>
      <c r="D125" s="856" t="s">
        <v>47</v>
      </c>
      <c r="E125" s="856"/>
      <c r="F125" s="856"/>
      <c r="G125" s="457">
        <f>SUM(G123:G124)</f>
        <v>848.12</v>
      </c>
      <c r="H125" s="457"/>
    </row>
    <row r="126" spans="1:8">
      <c r="B126" s="463"/>
      <c r="C126" s="463"/>
      <c r="D126" s="464"/>
      <c r="E126" s="464"/>
      <c r="F126" s="500"/>
      <c r="G126" s="466"/>
      <c r="H126" s="506"/>
    </row>
    <row r="127" spans="1:8" ht="25.5" customHeight="1">
      <c r="A127" s="507">
        <v>2.0699999999999998</v>
      </c>
      <c r="B127" s="501" t="s">
        <v>279</v>
      </c>
      <c r="C127" s="888" t="s">
        <v>67</v>
      </c>
      <c r="D127" s="889"/>
      <c r="E127" s="890"/>
      <c r="F127" s="447" t="s">
        <v>68</v>
      </c>
      <c r="G127" s="448">
        <f>G132</f>
        <v>3029</v>
      </c>
      <c r="H127" s="448">
        <f>G134</f>
        <v>3483.35</v>
      </c>
    </row>
    <row r="128" spans="1:8">
      <c r="B128" s="450" t="s">
        <v>80</v>
      </c>
      <c r="C128" s="451" t="s">
        <v>81</v>
      </c>
      <c r="D128" s="451" t="s">
        <v>44</v>
      </c>
      <c r="E128" s="451" t="s">
        <v>45</v>
      </c>
      <c r="F128" s="452" t="s">
        <v>58</v>
      </c>
      <c r="G128" s="452" t="s">
        <v>59</v>
      </c>
      <c r="H128" s="452" t="s">
        <v>52</v>
      </c>
    </row>
    <row r="129" spans="1:8">
      <c r="B129" s="450" t="s">
        <v>60</v>
      </c>
      <c r="C129" s="484" t="s">
        <v>43</v>
      </c>
      <c r="D129" s="455">
        <v>0.7</v>
      </c>
      <c r="E129" s="451" t="s">
        <v>46</v>
      </c>
      <c r="F129" s="457">
        <f>'LABOUR 2082083'!F3</f>
        <v>870</v>
      </c>
      <c r="G129" s="457">
        <f>TRUNC(D129*F129,2)</f>
        <v>609</v>
      </c>
      <c r="H129" s="457"/>
    </row>
    <row r="130" spans="1:8" ht="12.75" customHeight="1">
      <c r="B130" s="864" t="s">
        <v>63</v>
      </c>
      <c r="C130" s="484" t="s">
        <v>57</v>
      </c>
      <c r="D130" s="455">
        <v>1.1000000000000001</v>
      </c>
      <c r="E130" s="456" t="s">
        <v>68</v>
      </c>
      <c r="F130" s="457">
        <f>'Basic Rate'!F173</f>
        <v>2200</v>
      </c>
      <c r="G130" s="457">
        <f>TRUNC(D130*F130,2)</f>
        <v>2420</v>
      </c>
      <c r="H130" s="508" t="s">
        <v>755</v>
      </c>
    </row>
    <row r="131" spans="1:8">
      <c r="B131" s="865"/>
      <c r="C131" s="484" t="s">
        <v>267</v>
      </c>
      <c r="D131" s="455">
        <v>5</v>
      </c>
      <c r="E131" s="456" t="s">
        <v>68</v>
      </c>
      <c r="F131" s="457">
        <f>$F$107</f>
        <v>0</v>
      </c>
      <c r="G131" s="457">
        <f>TRUNC(D131*F131,2)</f>
        <v>0</v>
      </c>
      <c r="H131" s="457"/>
    </row>
    <row r="132" spans="1:8">
      <c r="B132" s="855" t="s">
        <v>62</v>
      </c>
      <c r="C132" s="855"/>
      <c r="D132" s="856" t="s">
        <v>61</v>
      </c>
      <c r="E132" s="856"/>
      <c r="F132" s="856"/>
      <c r="G132" s="457">
        <f>SUM(G129:G131)</f>
        <v>3029</v>
      </c>
      <c r="H132" s="457"/>
    </row>
    <row r="133" spans="1:8">
      <c r="B133" s="855"/>
      <c r="C133" s="855"/>
      <c r="D133" s="857" t="s">
        <v>573</v>
      </c>
      <c r="E133" s="857"/>
      <c r="F133" s="857"/>
      <c r="G133" s="457">
        <f>TRUNC(G132*15%,2)</f>
        <v>454.35</v>
      </c>
      <c r="H133" s="457"/>
    </row>
    <row r="134" spans="1:8">
      <c r="B134" s="855"/>
      <c r="C134" s="855"/>
      <c r="D134" s="856" t="s">
        <v>47</v>
      </c>
      <c r="E134" s="856"/>
      <c r="F134" s="856"/>
      <c r="G134" s="457">
        <f>SUM(G132:G133)</f>
        <v>3483.35</v>
      </c>
      <c r="H134" s="457"/>
    </row>
    <row r="135" spans="1:8">
      <c r="C135" s="444"/>
      <c r="F135" s="474"/>
      <c r="G135" s="460"/>
      <c r="H135" s="460"/>
    </row>
    <row r="136" spans="1:8" ht="25.5" customHeight="1">
      <c r="A136" s="507">
        <v>2.08</v>
      </c>
      <c r="B136" s="446" t="s">
        <v>280</v>
      </c>
      <c r="C136" s="891" t="s">
        <v>692</v>
      </c>
      <c r="D136" s="891"/>
      <c r="E136" s="891"/>
      <c r="F136" s="447" t="s">
        <v>68</v>
      </c>
      <c r="G136" s="448">
        <f>G140</f>
        <v>2225.5</v>
      </c>
      <c r="H136" s="448">
        <f>G142</f>
        <v>2559.3200000000002</v>
      </c>
    </row>
    <row r="137" spans="1:8">
      <c r="B137" s="450" t="s">
        <v>80</v>
      </c>
      <c r="C137" s="451" t="s">
        <v>81</v>
      </c>
      <c r="D137" s="451" t="s">
        <v>44</v>
      </c>
      <c r="E137" s="451" t="s">
        <v>45</v>
      </c>
      <c r="F137" s="452" t="s">
        <v>58</v>
      </c>
      <c r="G137" s="452" t="s">
        <v>59</v>
      </c>
      <c r="H137" s="452" t="s">
        <v>52</v>
      </c>
    </row>
    <row r="138" spans="1:8">
      <c r="B138" s="450" t="s">
        <v>60</v>
      </c>
      <c r="C138" s="484" t="s">
        <v>43</v>
      </c>
      <c r="D138" s="455">
        <v>0.75</v>
      </c>
      <c r="E138" s="451" t="s">
        <v>46</v>
      </c>
      <c r="F138" s="457">
        <f>'LABOUR 2082083'!F3</f>
        <v>870</v>
      </c>
      <c r="G138" s="457">
        <f>TRUNC(D138*F138,2)</f>
        <v>652.5</v>
      </c>
      <c r="H138" s="457"/>
    </row>
    <row r="139" spans="1:8" ht="12.75" customHeight="1">
      <c r="B139" s="468" t="s">
        <v>63</v>
      </c>
      <c r="C139" s="484" t="s">
        <v>691</v>
      </c>
      <c r="D139" s="455">
        <v>1.1000000000000001</v>
      </c>
      <c r="E139" s="456" t="s">
        <v>68</v>
      </c>
      <c r="F139" s="457">
        <f>'Basic Rate'!F175</f>
        <v>1430</v>
      </c>
      <c r="G139" s="457">
        <f>TRUNC(D139*F139,2)</f>
        <v>1573</v>
      </c>
      <c r="H139" s="452"/>
    </row>
    <row r="140" spans="1:8">
      <c r="B140" s="855" t="s">
        <v>62</v>
      </c>
      <c r="C140" s="855"/>
      <c r="D140" s="856" t="s">
        <v>61</v>
      </c>
      <c r="E140" s="856"/>
      <c r="F140" s="856"/>
      <c r="G140" s="457">
        <f>SUM(G138:G139)</f>
        <v>2225.5</v>
      </c>
      <c r="H140" s="457"/>
    </row>
    <row r="141" spans="1:8">
      <c r="B141" s="855"/>
      <c r="C141" s="855"/>
      <c r="D141" s="857" t="s">
        <v>573</v>
      </c>
      <c r="E141" s="857"/>
      <c r="F141" s="857"/>
      <c r="G141" s="457">
        <f>TRUNC(G140*15%,2)</f>
        <v>333.82</v>
      </c>
      <c r="H141" s="457"/>
    </row>
    <row r="142" spans="1:8">
      <c r="B142" s="855"/>
      <c r="C142" s="855"/>
      <c r="D142" s="856" t="s">
        <v>47</v>
      </c>
      <c r="E142" s="856"/>
      <c r="F142" s="856"/>
      <c r="G142" s="457">
        <f>SUM(G140:G141)</f>
        <v>2559.3200000000002</v>
      </c>
      <c r="H142" s="457"/>
    </row>
    <row r="143" spans="1:8">
      <c r="B143" s="458"/>
      <c r="C143" s="458"/>
      <c r="F143" s="459"/>
      <c r="G143" s="460"/>
      <c r="H143" s="460"/>
    </row>
    <row r="144" spans="1:8" ht="13.8">
      <c r="A144" s="507">
        <v>2.09</v>
      </c>
      <c r="B144" s="446" t="s">
        <v>1079</v>
      </c>
      <c r="C144" s="891" t="s">
        <v>282</v>
      </c>
      <c r="D144" s="891"/>
      <c r="E144" s="891"/>
      <c r="F144" s="447" t="s">
        <v>693</v>
      </c>
      <c r="G144" s="448">
        <f>G147</f>
        <v>220.5</v>
      </c>
      <c r="H144" s="448">
        <f>G149</f>
        <v>253.57</v>
      </c>
    </row>
    <row r="145" spans="1:8">
      <c r="B145" s="450" t="s">
        <v>80</v>
      </c>
      <c r="C145" s="451" t="s">
        <v>81</v>
      </c>
      <c r="D145" s="451" t="s">
        <v>44</v>
      </c>
      <c r="E145" s="451" t="s">
        <v>45</v>
      </c>
      <c r="F145" s="452" t="s">
        <v>58</v>
      </c>
      <c r="G145" s="452" t="s">
        <v>59</v>
      </c>
      <c r="H145" s="452" t="s">
        <v>52</v>
      </c>
    </row>
    <row r="146" spans="1:8">
      <c r="B146" s="468" t="s">
        <v>63</v>
      </c>
      <c r="C146" s="484" t="s">
        <v>1110</v>
      </c>
      <c r="D146" s="455">
        <v>0.5</v>
      </c>
      <c r="E146" s="456" t="s">
        <v>285</v>
      </c>
      <c r="F146" s="457">
        <f>'Basic Rate'!F233</f>
        <v>441</v>
      </c>
      <c r="G146" s="457">
        <f>TRUNC(D146*F146,2)</f>
        <v>220.5</v>
      </c>
      <c r="H146" s="452"/>
    </row>
    <row r="147" spans="1:8">
      <c r="B147" s="855" t="s">
        <v>1116</v>
      </c>
      <c r="C147" s="855"/>
      <c r="D147" s="856" t="s">
        <v>61</v>
      </c>
      <c r="E147" s="856"/>
      <c r="F147" s="856"/>
      <c r="G147" s="457">
        <f>SUM(G146:G146)</f>
        <v>220.5</v>
      </c>
      <c r="H147" s="457"/>
    </row>
    <row r="148" spans="1:8">
      <c r="B148" s="855"/>
      <c r="C148" s="855"/>
      <c r="D148" s="857" t="s">
        <v>573</v>
      </c>
      <c r="E148" s="857"/>
      <c r="F148" s="857"/>
      <c r="G148" s="457">
        <f>TRUNC(G147*15%,2)</f>
        <v>33.07</v>
      </c>
      <c r="H148" s="457"/>
    </row>
    <row r="149" spans="1:8">
      <c r="B149" s="855"/>
      <c r="C149" s="855"/>
      <c r="D149" s="856" t="s">
        <v>47</v>
      </c>
      <c r="E149" s="856"/>
      <c r="F149" s="856"/>
      <c r="G149" s="457">
        <f>SUM(G147:G148)</f>
        <v>253.57</v>
      </c>
      <c r="H149" s="457"/>
    </row>
    <row r="150" spans="1:8">
      <c r="B150" s="458"/>
      <c r="C150" s="458"/>
      <c r="F150" s="459"/>
      <c r="G150" s="460"/>
      <c r="H150" s="460"/>
    </row>
    <row r="151" spans="1:8" ht="25.5" customHeight="1">
      <c r="A151" s="507">
        <v>2.09</v>
      </c>
      <c r="B151" s="446" t="s">
        <v>281</v>
      </c>
      <c r="C151" s="891" t="s">
        <v>282</v>
      </c>
      <c r="D151" s="891"/>
      <c r="E151" s="891"/>
      <c r="F151" s="447" t="s">
        <v>693</v>
      </c>
      <c r="G151" s="448">
        <f>G156/5</f>
        <v>50.713999999999999</v>
      </c>
      <c r="H151" s="448">
        <f>G151</f>
        <v>50.713999999999999</v>
      </c>
    </row>
    <row r="152" spans="1:8">
      <c r="B152" s="450" t="s">
        <v>80</v>
      </c>
      <c r="C152" s="451" t="s">
        <v>81</v>
      </c>
      <c r="D152" s="451" t="s">
        <v>44</v>
      </c>
      <c r="E152" s="451" t="s">
        <v>45</v>
      </c>
      <c r="F152" s="452" t="s">
        <v>58</v>
      </c>
      <c r="G152" s="452" t="s">
        <v>59</v>
      </c>
      <c r="H152" s="452" t="s">
        <v>52</v>
      </c>
    </row>
    <row r="153" spans="1:8" ht="12.75" customHeight="1">
      <c r="B153" s="468" t="s">
        <v>63</v>
      </c>
      <c r="C153" s="484" t="s">
        <v>284</v>
      </c>
      <c r="D153" s="455">
        <v>0.5</v>
      </c>
      <c r="E153" s="456" t="s">
        <v>285</v>
      </c>
      <c r="F153" s="457">
        <f>LOOKUP(C153,'Basic Rate'!$B$8:$B$328,'Basic Rate'!$F$8:$F$328)</f>
        <v>441</v>
      </c>
      <c r="G153" s="457">
        <f>TRUNC(D153*F153,2)</f>
        <v>220.5</v>
      </c>
      <c r="H153" s="457"/>
    </row>
    <row r="154" spans="1:8">
      <c r="B154" s="855" t="s">
        <v>283</v>
      </c>
      <c r="C154" s="855"/>
      <c r="D154" s="856" t="s">
        <v>61</v>
      </c>
      <c r="E154" s="856"/>
      <c r="F154" s="856"/>
      <c r="G154" s="457">
        <f>SUM(G153:G153)</f>
        <v>220.5</v>
      </c>
      <c r="H154" s="457"/>
    </row>
    <row r="155" spans="1:8">
      <c r="B155" s="855"/>
      <c r="C155" s="855"/>
      <c r="D155" s="857" t="s">
        <v>573</v>
      </c>
      <c r="E155" s="857"/>
      <c r="F155" s="857"/>
      <c r="G155" s="457">
        <f>TRUNC(G154*15%,2)</f>
        <v>33.07</v>
      </c>
      <c r="H155" s="457"/>
    </row>
    <row r="156" spans="1:8">
      <c r="B156" s="855"/>
      <c r="C156" s="855"/>
      <c r="D156" s="856" t="s">
        <v>47</v>
      </c>
      <c r="E156" s="856"/>
      <c r="F156" s="856"/>
      <c r="G156" s="457">
        <f>SUM(G154:G155)</f>
        <v>253.57</v>
      </c>
      <c r="H156" s="457"/>
    </row>
    <row r="157" spans="1:8">
      <c r="B157" s="458"/>
      <c r="C157" s="458"/>
      <c r="F157" s="509"/>
      <c r="G157" s="460"/>
      <c r="H157" s="460"/>
    </row>
    <row r="158" spans="1:8" ht="25.5" customHeight="1">
      <c r="A158" s="507">
        <v>2.11</v>
      </c>
      <c r="B158" s="446" t="s">
        <v>694</v>
      </c>
      <c r="C158" s="891" t="s">
        <v>695</v>
      </c>
      <c r="D158" s="891"/>
      <c r="E158" s="891"/>
      <c r="F158" s="447" t="s">
        <v>68</v>
      </c>
      <c r="G158" s="448">
        <f>TRUNC(G161/100,2)</f>
        <v>26.18</v>
      </c>
      <c r="H158" s="448">
        <f>TRUNC(G163/100,2)</f>
        <v>30.11</v>
      </c>
    </row>
    <row r="159" spans="1:8">
      <c r="B159" s="450" t="s">
        <v>80</v>
      </c>
      <c r="C159" s="451" t="s">
        <v>81</v>
      </c>
      <c r="D159" s="451" t="s">
        <v>44</v>
      </c>
      <c r="E159" s="451" t="s">
        <v>45</v>
      </c>
      <c r="F159" s="452" t="s">
        <v>58</v>
      </c>
      <c r="G159" s="452" t="s">
        <v>59</v>
      </c>
      <c r="H159" s="452" t="s">
        <v>52</v>
      </c>
    </row>
    <row r="160" spans="1:8" ht="13.65" customHeight="1">
      <c r="B160" s="468" t="s">
        <v>313</v>
      </c>
      <c r="C160" s="454" t="s">
        <v>1107</v>
      </c>
      <c r="D160" s="455">
        <v>1.67</v>
      </c>
      <c r="E160" s="456" t="s">
        <v>285</v>
      </c>
      <c r="F160" s="510">
        <f>'Basic Rate'!F167</f>
        <v>1568</v>
      </c>
      <c r="G160" s="457">
        <f>TRUNC(D160*F160,2)</f>
        <v>2618.56</v>
      </c>
      <c r="H160" s="457"/>
    </row>
    <row r="161" spans="1:8">
      <c r="B161" s="855" t="s">
        <v>579</v>
      </c>
      <c r="C161" s="855"/>
      <c r="D161" s="856" t="s">
        <v>61</v>
      </c>
      <c r="E161" s="856"/>
      <c r="F161" s="856"/>
      <c r="G161" s="457">
        <f>SUM(G160:G160)</f>
        <v>2618.56</v>
      </c>
      <c r="H161" s="457"/>
    </row>
    <row r="162" spans="1:8">
      <c r="B162" s="855"/>
      <c r="C162" s="855"/>
      <c r="D162" s="857" t="s">
        <v>573</v>
      </c>
      <c r="E162" s="857"/>
      <c r="F162" s="857"/>
      <c r="G162" s="457">
        <f>TRUNC(G161*15%,2)</f>
        <v>392.78</v>
      </c>
      <c r="H162" s="457"/>
    </row>
    <row r="163" spans="1:8">
      <c r="B163" s="855"/>
      <c r="C163" s="855"/>
      <c r="D163" s="856" t="s">
        <v>47</v>
      </c>
      <c r="E163" s="856"/>
      <c r="F163" s="856"/>
      <c r="G163" s="457">
        <f>SUM(G161:G162)</f>
        <v>3011.34</v>
      </c>
      <c r="H163" s="457"/>
    </row>
    <row r="164" spans="1:8" ht="25.5" customHeight="1">
      <c r="A164" s="507">
        <v>2.12</v>
      </c>
      <c r="B164" s="446" t="s">
        <v>694</v>
      </c>
      <c r="C164" s="891" t="s">
        <v>696</v>
      </c>
      <c r="D164" s="891"/>
      <c r="E164" s="891"/>
      <c r="F164" s="447" t="s">
        <v>68</v>
      </c>
      <c r="G164" s="448">
        <f>TRUNC(G168/100,2)</f>
        <v>5.01</v>
      </c>
      <c r="H164" s="448">
        <f>TRUNC(G170/100,2)</f>
        <v>5.76</v>
      </c>
    </row>
    <row r="165" spans="1:8">
      <c r="B165" s="450" t="s">
        <v>80</v>
      </c>
      <c r="C165" s="451" t="s">
        <v>81</v>
      </c>
      <c r="D165" s="451" t="s">
        <v>44</v>
      </c>
      <c r="E165" s="451" t="s">
        <v>45</v>
      </c>
      <c r="F165" s="452" t="s">
        <v>58</v>
      </c>
      <c r="G165" s="452" t="s">
        <v>59</v>
      </c>
      <c r="H165" s="452" t="s">
        <v>52</v>
      </c>
    </row>
    <row r="166" spans="1:8">
      <c r="B166" s="468" t="s">
        <v>60</v>
      </c>
      <c r="C166" s="484" t="s">
        <v>43</v>
      </c>
      <c r="D166" s="511">
        <v>53</v>
      </c>
      <c r="E166" s="451" t="s">
        <v>697</v>
      </c>
      <c r="F166" s="457">
        <f>'LABOUR 2082083'!F3</f>
        <v>870</v>
      </c>
      <c r="G166" s="457">
        <f>TRUNC(D166*F166,2)</f>
        <v>46110</v>
      </c>
      <c r="H166" s="452"/>
    </row>
    <row r="167" spans="1:8" ht="13.65" customHeight="1">
      <c r="B167" s="468" t="s">
        <v>313</v>
      </c>
      <c r="C167" s="484" t="s">
        <v>1108</v>
      </c>
      <c r="D167" s="455">
        <v>1.67</v>
      </c>
      <c r="E167" s="456" t="s">
        <v>285</v>
      </c>
      <c r="F167" s="510">
        <v>300</v>
      </c>
      <c r="G167" s="457">
        <f>TRUNC(D167*F167,2)</f>
        <v>501</v>
      </c>
      <c r="H167" s="457"/>
    </row>
    <row r="168" spans="1:8">
      <c r="B168" s="855" t="s">
        <v>579</v>
      </c>
      <c r="C168" s="855"/>
      <c r="D168" s="856" t="s">
        <v>61</v>
      </c>
      <c r="E168" s="856"/>
      <c r="F168" s="856"/>
      <c r="G168" s="457">
        <f>SUM(G167:G167)</f>
        <v>501</v>
      </c>
      <c r="H168" s="457"/>
    </row>
    <row r="169" spans="1:8">
      <c r="B169" s="855"/>
      <c r="C169" s="855"/>
      <c r="D169" s="857" t="s">
        <v>573</v>
      </c>
      <c r="E169" s="857"/>
      <c r="F169" s="857"/>
      <c r="G169" s="457">
        <f>TRUNC(G168*15%,2)</f>
        <v>75.150000000000006</v>
      </c>
      <c r="H169" s="457"/>
    </row>
    <row r="170" spans="1:8">
      <c r="B170" s="855"/>
      <c r="C170" s="855"/>
      <c r="D170" s="856" t="s">
        <v>47</v>
      </c>
      <c r="E170" s="856"/>
      <c r="F170" s="856"/>
      <c r="G170" s="457">
        <f>SUM(G168:G169)</f>
        <v>576.15</v>
      </c>
      <c r="H170" s="457"/>
    </row>
    <row r="171" spans="1:8">
      <c r="B171" s="494"/>
      <c r="C171" s="494"/>
      <c r="D171" s="476"/>
      <c r="E171" s="476"/>
      <c r="F171" s="476"/>
      <c r="G171" s="477"/>
      <c r="H171" s="477"/>
    </row>
    <row r="172" spans="1:8" ht="25.5" customHeight="1">
      <c r="A172" s="507">
        <v>2.13</v>
      </c>
      <c r="B172" s="446" t="s">
        <v>286</v>
      </c>
      <c r="C172" s="927" t="s">
        <v>736</v>
      </c>
      <c r="D172" s="928"/>
      <c r="E172" s="928"/>
      <c r="F172" s="447" t="s">
        <v>68</v>
      </c>
      <c r="G172" s="448">
        <f>G176</f>
        <v>41.65</v>
      </c>
      <c r="H172" s="448">
        <f>G178</f>
        <v>47.89</v>
      </c>
    </row>
    <row r="173" spans="1:8">
      <c r="B173" s="450" t="s">
        <v>80</v>
      </c>
      <c r="C173" s="451" t="s">
        <v>81</v>
      </c>
      <c r="D173" s="451" t="s">
        <v>44</v>
      </c>
      <c r="E173" s="451" t="s">
        <v>45</v>
      </c>
      <c r="F173" s="452" t="s">
        <v>58</v>
      </c>
      <c r="G173" s="452" t="s">
        <v>59</v>
      </c>
      <c r="H173" s="452" t="s">
        <v>52</v>
      </c>
    </row>
    <row r="174" spans="1:8" ht="12.75" customHeight="1">
      <c r="B174" s="468" t="s">
        <v>63</v>
      </c>
      <c r="C174" s="484" t="s">
        <v>724</v>
      </c>
      <c r="D174" s="512">
        <v>0.12479999999999999</v>
      </c>
      <c r="E174" s="456" t="s">
        <v>107</v>
      </c>
      <c r="F174" s="457">
        <v>0</v>
      </c>
      <c r="G174" s="457">
        <f>TRUNC(D174*F174,2)</f>
        <v>0</v>
      </c>
      <c r="H174" s="457"/>
    </row>
    <row r="175" spans="1:8" ht="12.75" customHeight="1">
      <c r="B175" s="468" t="s">
        <v>313</v>
      </c>
      <c r="C175" s="484" t="s">
        <v>741</v>
      </c>
      <c r="D175" s="512">
        <v>1.04E-2</v>
      </c>
      <c r="E175" s="456" t="s">
        <v>285</v>
      </c>
      <c r="F175" s="510">
        <f>'Basic Rate'!F100</f>
        <v>4005</v>
      </c>
      <c r="G175" s="457">
        <f>TRUNC(D175*F175,2)</f>
        <v>41.65</v>
      </c>
      <c r="H175" s="457"/>
    </row>
    <row r="176" spans="1:8">
      <c r="B176" s="855" t="s">
        <v>62</v>
      </c>
      <c r="C176" s="855"/>
      <c r="D176" s="856" t="s">
        <v>61</v>
      </c>
      <c r="E176" s="856"/>
      <c r="F176" s="856"/>
      <c r="G176" s="457">
        <f>SUM(G174:G175)</f>
        <v>41.65</v>
      </c>
      <c r="H176" s="457"/>
    </row>
    <row r="177" spans="1:8">
      <c r="B177" s="855"/>
      <c r="C177" s="855"/>
      <c r="D177" s="857" t="s">
        <v>573</v>
      </c>
      <c r="E177" s="857"/>
      <c r="F177" s="857"/>
      <c r="G177" s="457">
        <f>TRUNC(G176*15%,2)</f>
        <v>6.24</v>
      </c>
      <c r="H177" s="457"/>
    </row>
    <row r="178" spans="1:8">
      <c r="B178" s="855"/>
      <c r="C178" s="855"/>
      <c r="D178" s="856" t="s">
        <v>47</v>
      </c>
      <c r="E178" s="856"/>
      <c r="F178" s="856"/>
      <c r="G178" s="457">
        <f>SUM(G176:G177)</f>
        <v>47.89</v>
      </c>
      <c r="H178" s="457"/>
    </row>
    <row r="179" spans="1:8">
      <c r="B179" s="458"/>
      <c r="C179" s="458"/>
      <c r="F179" s="509"/>
      <c r="G179" s="460"/>
      <c r="H179" s="460"/>
    </row>
    <row r="180" spans="1:8" ht="25.5" customHeight="1">
      <c r="A180" s="507">
        <v>2.14</v>
      </c>
      <c r="B180" s="446" t="s">
        <v>286</v>
      </c>
      <c r="C180" s="927" t="s">
        <v>737</v>
      </c>
      <c r="D180" s="928"/>
      <c r="E180" s="928"/>
      <c r="F180" s="447" t="s">
        <v>68</v>
      </c>
      <c r="G180" s="448">
        <f>G184</f>
        <v>50.06</v>
      </c>
      <c r="H180" s="448">
        <f>G186</f>
        <v>57.56</v>
      </c>
    </row>
    <row r="181" spans="1:8">
      <c r="B181" s="450" t="s">
        <v>80</v>
      </c>
      <c r="C181" s="451" t="s">
        <v>81</v>
      </c>
      <c r="D181" s="451" t="s">
        <v>44</v>
      </c>
      <c r="E181" s="451" t="s">
        <v>45</v>
      </c>
      <c r="F181" s="452" t="s">
        <v>58</v>
      </c>
      <c r="G181" s="452" t="s">
        <v>59</v>
      </c>
      <c r="H181" s="452" t="s">
        <v>52</v>
      </c>
    </row>
    <row r="182" spans="1:8" ht="12.75" customHeight="1">
      <c r="B182" s="468" t="s">
        <v>63</v>
      </c>
      <c r="C182" s="484" t="s">
        <v>724</v>
      </c>
      <c r="D182" s="512">
        <v>0.15</v>
      </c>
      <c r="E182" s="456" t="s">
        <v>107</v>
      </c>
      <c r="F182" s="457">
        <v>0</v>
      </c>
      <c r="G182" s="457">
        <f>TRUNC(D182*F182,2)</f>
        <v>0</v>
      </c>
      <c r="H182" s="457"/>
    </row>
    <row r="183" spans="1:8" ht="12.75" customHeight="1">
      <c r="B183" s="468" t="s">
        <v>313</v>
      </c>
      <c r="C183" s="484" t="s">
        <v>741</v>
      </c>
      <c r="D183" s="512">
        <v>1.2500000000000001E-2</v>
      </c>
      <c r="E183" s="456" t="s">
        <v>285</v>
      </c>
      <c r="F183" s="510">
        <f>'Basic Rate'!F100</f>
        <v>4005</v>
      </c>
      <c r="G183" s="457">
        <f>TRUNC(D183*F183,2)</f>
        <v>50.06</v>
      </c>
      <c r="H183" s="457"/>
    </row>
    <row r="184" spans="1:8">
      <c r="B184" s="855" t="s">
        <v>62</v>
      </c>
      <c r="C184" s="855"/>
      <c r="D184" s="856" t="s">
        <v>61</v>
      </c>
      <c r="E184" s="856"/>
      <c r="F184" s="856"/>
      <c r="G184" s="457">
        <f>SUM(G182:G183)</f>
        <v>50.06</v>
      </c>
      <c r="H184" s="457"/>
    </row>
    <row r="185" spans="1:8">
      <c r="B185" s="855"/>
      <c r="C185" s="855"/>
      <c r="D185" s="857" t="s">
        <v>573</v>
      </c>
      <c r="E185" s="857"/>
      <c r="F185" s="857"/>
      <c r="G185" s="457">
        <f>TRUNC(G184*15%,2)</f>
        <v>7.5</v>
      </c>
      <c r="H185" s="457"/>
    </row>
    <row r="186" spans="1:8">
      <c r="B186" s="855"/>
      <c r="C186" s="855"/>
      <c r="D186" s="856" t="s">
        <v>47</v>
      </c>
      <c r="E186" s="856"/>
      <c r="F186" s="856"/>
      <c r="G186" s="457">
        <f>SUM(G184:G185)</f>
        <v>57.56</v>
      </c>
      <c r="H186" s="457"/>
    </row>
    <row r="187" spans="1:8">
      <c r="B187" s="458"/>
      <c r="C187" s="458"/>
      <c r="F187" s="459"/>
      <c r="G187" s="460"/>
      <c r="H187" s="460"/>
    </row>
    <row r="188" spans="1:8" ht="25.5" customHeight="1">
      <c r="A188" s="507">
        <v>2.15</v>
      </c>
      <c r="B188" s="446" t="s">
        <v>286</v>
      </c>
      <c r="C188" s="927" t="s">
        <v>738</v>
      </c>
      <c r="D188" s="928"/>
      <c r="E188" s="928"/>
      <c r="F188" s="447" t="s">
        <v>68</v>
      </c>
      <c r="G188" s="448">
        <f>G192</f>
        <v>50.06</v>
      </c>
      <c r="H188" s="448">
        <f>G194</f>
        <v>57.56</v>
      </c>
    </row>
    <row r="189" spans="1:8">
      <c r="B189" s="450" t="s">
        <v>80</v>
      </c>
      <c r="C189" s="451" t="s">
        <v>81</v>
      </c>
      <c r="D189" s="451" t="s">
        <v>44</v>
      </c>
      <c r="E189" s="451" t="s">
        <v>45</v>
      </c>
      <c r="F189" s="452" t="s">
        <v>58</v>
      </c>
      <c r="G189" s="452" t="s">
        <v>59</v>
      </c>
      <c r="H189" s="452" t="s">
        <v>52</v>
      </c>
    </row>
    <row r="190" spans="1:8" ht="12.75" customHeight="1">
      <c r="B190" s="468" t="s">
        <v>63</v>
      </c>
      <c r="C190" s="484" t="s">
        <v>724</v>
      </c>
      <c r="D190" s="512">
        <v>0.15</v>
      </c>
      <c r="E190" s="456" t="s">
        <v>107</v>
      </c>
      <c r="F190" s="457">
        <v>0</v>
      </c>
      <c r="G190" s="457">
        <f>TRUNC(D190*F190,2)</f>
        <v>0</v>
      </c>
      <c r="H190" s="457"/>
    </row>
    <row r="191" spans="1:8" ht="12.75" customHeight="1">
      <c r="B191" s="468" t="s">
        <v>313</v>
      </c>
      <c r="C191" s="484" t="s">
        <v>741</v>
      </c>
      <c r="D191" s="512">
        <v>1.2500000000000001E-2</v>
      </c>
      <c r="E191" s="456" t="s">
        <v>285</v>
      </c>
      <c r="F191" s="510">
        <f>'Basic Rate'!F100</f>
        <v>4005</v>
      </c>
      <c r="G191" s="457">
        <f>TRUNC(D191*F191,2)</f>
        <v>50.06</v>
      </c>
      <c r="H191" s="457"/>
    </row>
    <row r="192" spans="1:8">
      <c r="B192" s="855" t="s">
        <v>62</v>
      </c>
      <c r="C192" s="855"/>
      <c r="D192" s="856" t="s">
        <v>61</v>
      </c>
      <c r="E192" s="856"/>
      <c r="F192" s="856"/>
      <c r="G192" s="457">
        <f>SUM(G190:G191)</f>
        <v>50.06</v>
      </c>
      <c r="H192" s="457"/>
    </row>
    <row r="193" spans="1:8">
      <c r="B193" s="855"/>
      <c r="C193" s="855"/>
      <c r="D193" s="857" t="s">
        <v>573</v>
      </c>
      <c r="E193" s="857"/>
      <c r="F193" s="857"/>
      <c r="G193" s="457">
        <f>TRUNC(G192*15%,2)</f>
        <v>7.5</v>
      </c>
      <c r="H193" s="457"/>
    </row>
    <row r="194" spans="1:8">
      <c r="B194" s="935"/>
      <c r="C194" s="935"/>
      <c r="D194" s="885" t="s">
        <v>47</v>
      </c>
      <c r="E194" s="885"/>
      <c r="F194" s="885"/>
      <c r="G194" s="475">
        <f>SUM(G192:G193)</f>
        <v>57.56</v>
      </c>
      <c r="H194" s="475"/>
    </row>
    <row r="195" spans="1:8">
      <c r="B195" s="494"/>
      <c r="C195" s="494"/>
      <c r="D195" s="476"/>
      <c r="E195" s="476"/>
      <c r="F195" s="476"/>
      <c r="G195" s="477"/>
      <c r="H195" s="477"/>
    </row>
    <row r="196" spans="1:8" ht="25.5" customHeight="1">
      <c r="A196" s="507">
        <v>2.16</v>
      </c>
      <c r="B196" s="446" t="s">
        <v>286</v>
      </c>
      <c r="C196" s="927" t="s">
        <v>739</v>
      </c>
      <c r="D196" s="928"/>
      <c r="E196" s="928"/>
      <c r="F196" s="447" t="s">
        <v>68</v>
      </c>
      <c r="G196" s="448">
        <f>G200</f>
        <v>27.63</v>
      </c>
      <c r="H196" s="448">
        <f>G202</f>
        <v>31.77</v>
      </c>
    </row>
    <row r="197" spans="1:8">
      <c r="B197" s="450" t="s">
        <v>80</v>
      </c>
      <c r="C197" s="451" t="s">
        <v>81</v>
      </c>
      <c r="D197" s="451" t="s">
        <v>44</v>
      </c>
      <c r="E197" s="451" t="s">
        <v>45</v>
      </c>
      <c r="F197" s="452" t="s">
        <v>58</v>
      </c>
      <c r="G197" s="452" t="s">
        <v>59</v>
      </c>
      <c r="H197" s="452" t="s">
        <v>52</v>
      </c>
    </row>
    <row r="198" spans="1:8" ht="12.75" customHeight="1">
      <c r="B198" s="468" t="s">
        <v>63</v>
      </c>
      <c r="C198" s="484" t="s">
        <v>724</v>
      </c>
      <c r="D198" s="512">
        <v>0.13800000000000001</v>
      </c>
      <c r="E198" s="456" t="s">
        <v>107</v>
      </c>
      <c r="F198" s="457">
        <v>0</v>
      </c>
      <c r="G198" s="457">
        <f>TRUNC(D198*F198,2)</f>
        <v>0</v>
      </c>
      <c r="H198" s="457"/>
    </row>
    <row r="199" spans="1:8" ht="12.75" customHeight="1">
      <c r="B199" s="468"/>
      <c r="C199" s="484" t="s">
        <v>742</v>
      </c>
      <c r="D199" s="512">
        <v>6.8999999999999999E-3</v>
      </c>
      <c r="E199" s="456" t="s">
        <v>285</v>
      </c>
      <c r="F199" s="457">
        <f>'Basic Rate'!F101</f>
        <v>4005</v>
      </c>
      <c r="G199" s="457">
        <f>TRUNC(D199*F199,2)</f>
        <v>27.63</v>
      </c>
      <c r="H199" s="457"/>
    </row>
    <row r="200" spans="1:8">
      <c r="B200" s="855" t="s">
        <v>62</v>
      </c>
      <c r="C200" s="855"/>
      <c r="D200" s="856" t="s">
        <v>61</v>
      </c>
      <c r="E200" s="856"/>
      <c r="F200" s="856"/>
      <c r="G200" s="457">
        <f>SUM(G198:G199)</f>
        <v>27.63</v>
      </c>
      <c r="H200" s="457"/>
    </row>
    <row r="201" spans="1:8">
      <c r="B201" s="855"/>
      <c r="C201" s="855"/>
      <c r="D201" s="857" t="s">
        <v>573</v>
      </c>
      <c r="E201" s="857"/>
      <c r="F201" s="857"/>
      <c r="G201" s="457">
        <f>TRUNC(G200*15%,2)</f>
        <v>4.1399999999999997</v>
      </c>
      <c r="H201" s="457"/>
    </row>
    <row r="202" spans="1:8">
      <c r="B202" s="855"/>
      <c r="C202" s="855"/>
      <c r="D202" s="856" t="s">
        <v>47</v>
      </c>
      <c r="E202" s="856"/>
      <c r="F202" s="856"/>
      <c r="G202" s="457">
        <f>SUM(G200:G201)</f>
        <v>31.77</v>
      </c>
      <c r="H202" s="457"/>
    </row>
    <row r="203" spans="1:8">
      <c r="B203" s="458"/>
      <c r="C203" s="458"/>
      <c r="F203" s="509"/>
      <c r="G203" s="460"/>
      <c r="H203" s="460"/>
    </row>
    <row r="204" spans="1:8" ht="25.5" customHeight="1">
      <c r="A204" s="507">
        <v>2.17</v>
      </c>
      <c r="B204" s="446" t="s">
        <v>286</v>
      </c>
      <c r="C204" s="927" t="s">
        <v>740</v>
      </c>
      <c r="D204" s="928"/>
      <c r="E204" s="928"/>
      <c r="F204" s="447" t="s">
        <v>68</v>
      </c>
      <c r="G204" s="448">
        <f>G208</f>
        <v>33.64</v>
      </c>
      <c r="H204" s="448">
        <f>G210</f>
        <v>38.68</v>
      </c>
    </row>
    <row r="205" spans="1:8">
      <c r="B205" s="450" t="s">
        <v>80</v>
      </c>
      <c r="C205" s="451" t="s">
        <v>81</v>
      </c>
      <c r="D205" s="451" t="s">
        <v>44</v>
      </c>
      <c r="E205" s="451" t="s">
        <v>45</v>
      </c>
      <c r="F205" s="452" t="s">
        <v>58</v>
      </c>
      <c r="G205" s="452" t="s">
        <v>59</v>
      </c>
      <c r="H205" s="452" t="s">
        <v>52</v>
      </c>
    </row>
    <row r="206" spans="1:8" ht="12.75" customHeight="1">
      <c r="B206" s="468" t="s">
        <v>63</v>
      </c>
      <c r="C206" s="484" t="s">
        <v>724</v>
      </c>
      <c r="D206" s="512">
        <v>0.16800000000000001</v>
      </c>
      <c r="E206" s="456" t="s">
        <v>107</v>
      </c>
      <c r="F206" s="457">
        <v>0</v>
      </c>
      <c r="G206" s="457">
        <f>TRUNC(D206*F206,2)</f>
        <v>0</v>
      </c>
      <c r="H206" s="457"/>
    </row>
    <row r="207" spans="1:8" ht="12.75" customHeight="1">
      <c r="B207" s="468"/>
      <c r="C207" s="484" t="s">
        <v>742</v>
      </c>
      <c r="D207" s="512">
        <v>8.3999999999999995E-3</v>
      </c>
      <c r="E207" s="456" t="s">
        <v>285</v>
      </c>
      <c r="F207" s="457">
        <f>'Basic Rate'!F101</f>
        <v>4005</v>
      </c>
      <c r="G207" s="457">
        <f>TRUNC(D207*F207,2)</f>
        <v>33.64</v>
      </c>
      <c r="H207" s="457"/>
    </row>
    <row r="208" spans="1:8">
      <c r="B208" s="855" t="s">
        <v>62</v>
      </c>
      <c r="C208" s="855"/>
      <c r="D208" s="856" t="s">
        <v>61</v>
      </c>
      <c r="E208" s="856"/>
      <c r="F208" s="856"/>
      <c r="G208" s="457">
        <f>SUM(G206:G207)</f>
        <v>33.64</v>
      </c>
      <c r="H208" s="457"/>
    </row>
    <row r="209" spans="1:8">
      <c r="B209" s="855"/>
      <c r="C209" s="855"/>
      <c r="D209" s="857" t="s">
        <v>573</v>
      </c>
      <c r="E209" s="857"/>
      <c r="F209" s="857"/>
      <c r="G209" s="457">
        <f>TRUNC(G208*15%,2)</f>
        <v>5.04</v>
      </c>
      <c r="H209" s="457"/>
    </row>
    <row r="210" spans="1:8">
      <c r="B210" s="855"/>
      <c r="C210" s="855"/>
      <c r="D210" s="856" t="s">
        <v>47</v>
      </c>
      <c r="E210" s="856"/>
      <c r="F210" s="856"/>
      <c r="G210" s="457">
        <f>SUM(G208:G209)</f>
        <v>38.68</v>
      </c>
      <c r="H210" s="457"/>
    </row>
    <row r="211" spans="1:8">
      <c r="B211" s="458"/>
      <c r="C211" s="458"/>
      <c r="F211" s="509"/>
      <c r="G211" s="460"/>
      <c r="H211" s="460"/>
    </row>
    <row r="212" spans="1:8" ht="12.75" customHeight="1">
      <c r="A212" s="916" t="s">
        <v>429</v>
      </c>
      <c r="B212" s="916"/>
      <c r="C212" s="916"/>
      <c r="D212" s="916"/>
      <c r="E212" s="916"/>
      <c r="F212" s="916"/>
      <c r="G212" s="916"/>
      <c r="H212" s="916"/>
    </row>
    <row r="213" spans="1:8" ht="27.6">
      <c r="A213" s="445">
        <v>3.01</v>
      </c>
      <c r="B213" s="446" t="s">
        <v>287</v>
      </c>
      <c r="C213" s="891" t="s">
        <v>1131</v>
      </c>
      <c r="D213" s="891"/>
      <c r="E213" s="891"/>
      <c r="F213" s="447" t="s">
        <v>68</v>
      </c>
      <c r="G213" s="448">
        <f>G223</f>
        <v>13587.22</v>
      </c>
      <c r="H213" s="448">
        <f>G225</f>
        <v>15625.3</v>
      </c>
    </row>
    <row r="214" spans="1:8">
      <c r="B214" s="450" t="s">
        <v>80</v>
      </c>
      <c r="C214" s="451" t="s">
        <v>81</v>
      </c>
      <c r="D214" s="451" t="s">
        <v>44</v>
      </c>
      <c r="E214" s="451" t="s">
        <v>45</v>
      </c>
      <c r="F214" s="452" t="s">
        <v>58</v>
      </c>
      <c r="G214" s="452" t="s">
        <v>59</v>
      </c>
      <c r="H214" s="452" t="s">
        <v>52</v>
      </c>
    </row>
    <row r="215" spans="1:8">
      <c r="B215" s="887" t="s">
        <v>60</v>
      </c>
      <c r="C215" s="484" t="s">
        <v>69</v>
      </c>
      <c r="D215" s="488">
        <v>1.5</v>
      </c>
      <c r="E215" s="451" t="s">
        <v>46</v>
      </c>
      <c r="F215" s="457">
        <f>'LABOUR 2082083'!F5</f>
        <v>1200</v>
      </c>
      <c r="G215" s="457">
        <f t="shared" ref="G215:G221" si="1">TRUNC(D215*F215,2)</f>
        <v>1800</v>
      </c>
      <c r="H215" s="513"/>
    </row>
    <row r="216" spans="1:8" ht="12.75" customHeight="1">
      <c r="B216" s="887"/>
      <c r="C216" s="484" t="s">
        <v>43</v>
      </c>
      <c r="D216" s="488">
        <v>2.2000000000000002</v>
      </c>
      <c r="E216" s="451" t="s">
        <v>46</v>
      </c>
      <c r="F216" s="457">
        <f>'LABOUR 2082083'!F3</f>
        <v>870</v>
      </c>
      <c r="G216" s="457">
        <f t="shared" si="1"/>
        <v>1914</v>
      </c>
      <c r="H216" s="513"/>
    </row>
    <row r="217" spans="1:8" ht="12.75" customHeight="1">
      <c r="B217" s="887"/>
      <c r="C217" s="484" t="s">
        <v>710</v>
      </c>
      <c r="D217" s="488">
        <v>0.2</v>
      </c>
      <c r="E217" s="451" t="s">
        <v>46</v>
      </c>
      <c r="F217" s="457">
        <f>'LABOUR 2082083'!F3</f>
        <v>870</v>
      </c>
      <c r="G217" s="457">
        <f t="shared" si="1"/>
        <v>174</v>
      </c>
      <c r="H217" s="513"/>
    </row>
    <row r="218" spans="1:8">
      <c r="B218" s="887" t="s">
        <v>63</v>
      </c>
      <c r="C218" s="484" t="s">
        <v>709</v>
      </c>
      <c r="D218" s="488">
        <v>560</v>
      </c>
      <c r="E218" s="451" t="s">
        <v>46</v>
      </c>
      <c r="F218" s="457">
        <f>'Basic Rate'!F33</f>
        <v>13</v>
      </c>
      <c r="G218" s="457">
        <f t="shared" si="1"/>
        <v>7280</v>
      </c>
      <c r="H218" s="513"/>
    </row>
    <row r="219" spans="1:8" s="495" customFormat="1">
      <c r="B219" s="887"/>
      <c r="C219" s="514" t="s">
        <v>70</v>
      </c>
      <c r="D219" s="515">
        <v>0.13</v>
      </c>
      <c r="E219" s="450" t="s">
        <v>71</v>
      </c>
      <c r="F219" s="516">
        <f>'Basic Rate'!F35</f>
        <v>14000</v>
      </c>
      <c r="G219" s="516">
        <f t="shared" si="1"/>
        <v>1820</v>
      </c>
      <c r="H219" s="517"/>
    </row>
    <row r="220" spans="1:8" s="495" customFormat="1">
      <c r="B220" s="887"/>
      <c r="C220" s="514" t="s">
        <v>72</v>
      </c>
      <c r="D220" s="515">
        <v>0.27</v>
      </c>
      <c r="E220" s="450" t="s">
        <v>68</v>
      </c>
      <c r="F220" s="516">
        <f>'Basic Rate'!F173</f>
        <v>2200</v>
      </c>
      <c r="G220" s="516">
        <f t="shared" si="1"/>
        <v>594</v>
      </c>
      <c r="H220" s="516"/>
    </row>
    <row r="221" spans="1:8" s="495" customFormat="1">
      <c r="B221" s="887"/>
      <c r="C221" s="514" t="s">
        <v>267</v>
      </c>
      <c r="D221" s="515">
        <v>150</v>
      </c>
      <c r="E221" s="450" t="s">
        <v>107</v>
      </c>
      <c r="F221" s="516">
        <f>'Basic Rate'!F215</f>
        <v>0</v>
      </c>
      <c r="G221" s="516">
        <f t="shared" si="1"/>
        <v>0</v>
      </c>
      <c r="H221" s="516"/>
    </row>
    <row r="222" spans="1:8">
      <c r="B222" s="887"/>
      <c r="C222" s="484" t="s">
        <v>711</v>
      </c>
      <c r="D222" s="518" t="s">
        <v>712</v>
      </c>
      <c r="E222" s="456"/>
      <c r="F222" s="513"/>
      <c r="G222" s="457">
        <f>3%*G217</f>
        <v>5.22</v>
      </c>
      <c r="H222" s="513"/>
    </row>
    <row r="223" spans="1:8">
      <c r="B223" s="855" t="s">
        <v>62</v>
      </c>
      <c r="C223" s="855"/>
      <c r="D223" s="858" t="s">
        <v>61</v>
      </c>
      <c r="E223" s="859"/>
      <c r="F223" s="860"/>
      <c r="G223" s="457">
        <f>SUM(G215:G222)</f>
        <v>13587.22</v>
      </c>
      <c r="H223" s="457"/>
    </row>
    <row r="224" spans="1:8" ht="12.75" customHeight="1">
      <c r="B224" s="855"/>
      <c r="C224" s="855"/>
      <c r="D224" s="861" t="s">
        <v>573</v>
      </c>
      <c r="E224" s="862"/>
      <c r="F224" s="863"/>
      <c r="G224" s="457">
        <f>INT(15%*G223*100)/100</f>
        <v>2038.08</v>
      </c>
      <c r="H224" s="457"/>
    </row>
    <row r="225" spans="1:8" ht="12.75" customHeight="1">
      <c r="B225" s="855"/>
      <c r="C225" s="855"/>
      <c r="D225" s="858" t="s">
        <v>47</v>
      </c>
      <c r="E225" s="859"/>
      <c r="F225" s="860"/>
      <c r="G225" s="457">
        <f>SUM(G223:G224)</f>
        <v>15625.3</v>
      </c>
      <c r="H225" s="457"/>
    </row>
    <row r="226" spans="1:8">
      <c r="F226" s="462"/>
    </row>
    <row r="227" spans="1:8" ht="27.6">
      <c r="A227" s="507">
        <v>3.02</v>
      </c>
      <c r="B227" s="446" t="s">
        <v>288</v>
      </c>
      <c r="C227" s="876" t="s">
        <v>1132</v>
      </c>
      <c r="D227" s="877"/>
      <c r="E227" s="877"/>
      <c r="F227" s="447" t="s">
        <v>68</v>
      </c>
      <c r="G227" s="448">
        <f>G237</f>
        <v>14035.27</v>
      </c>
      <c r="H227" s="448">
        <f>G239</f>
        <v>16140.560000000001</v>
      </c>
    </row>
    <row r="228" spans="1:8">
      <c r="B228" s="450" t="s">
        <v>80</v>
      </c>
      <c r="C228" s="451" t="s">
        <v>81</v>
      </c>
      <c r="D228" s="451" t="s">
        <v>44</v>
      </c>
      <c r="E228" s="451" t="s">
        <v>45</v>
      </c>
      <c r="F228" s="452" t="s">
        <v>58</v>
      </c>
      <c r="G228" s="452" t="s">
        <v>59</v>
      </c>
      <c r="H228" s="452" t="s">
        <v>52</v>
      </c>
    </row>
    <row r="229" spans="1:8">
      <c r="B229" s="887" t="s">
        <v>60</v>
      </c>
      <c r="C229" s="484" t="s">
        <v>69</v>
      </c>
      <c r="D229" s="488">
        <v>1.5</v>
      </c>
      <c r="E229" s="451" t="s">
        <v>46</v>
      </c>
      <c r="F229" s="457">
        <f t="shared" ref="F229:F235" si="2">F215</f>
        <v>1200</v>
      </c>
      <c r="G229" s="457">
        <f t="shared" ref="G229:G235" si="3">TRUNC(D229*F229,2)</f>
        <v>1800</v>
      </c>
      <c r="H229" s="457"/>
    </row>
    <row r="230" spans="1:8">
      <c r="B230" s="887"/>
      <c r="C230" s="484" t="s">
        <v>43</v>
      </c>
      <c r="D230" s="488">
        <v>2.2000000000000002</v>
      </c>
      <c r="E230" s="451" t="s">
        <v>46</v>
      </c>
      <c r="F230" s="457">
        <f t="shared" si="2"/>
        <v>870</v>
      </c>
      <c r="G230" s="457">
        <f t="shared" si="3"/>
        <v>1914</v>
      </c>
      <c r="H230" s="457"/>
    </row>
    <row r="231" spans="1:8">
      <c r="B231" s="887"/>
      <c r="C231" s="484" t="s">
        <v>43</v>
      </c>
      <c r="D231" s="488">
        <v>0.7</v>
      </c>
      <c r="E231" s="451" t="s">
        <v>46</v>
      </c>
      <c r="F231" s="457">
        <f t="shared" si="2"/>
        <v>870</v>
      </c>
      <c r="G231" s="457">
        <f t="shared" si="3"/>
        <v>609</v>
      </c>
      <c r="H231" s="457"/>
    </row>
    <row r="232" spans="1:8">
      <c r="B232" s="887" t="s">
        <v>63</v>
      </c>
      <c r="C232" s="484" t="s">
        <v>709</v>
      </c>
      <c r="D232" s="488">
        <v>560</v>
      </c>
      <c r="E232" s="451" t="s">
        <v>46</v>
      </c>
      <c r="F232" s="457">
        <f t="shared" si="2"/>
        <v>13</v>
      </c>
      <c r="G232" s="457">
        <f t="shared" si="3"/>
        <v>7280</v>
      </c>
      <c r="H232" s="457"/>
    </row>
    <row r="233" spans="1:8" s="495" customFormat="1">
      <c r="B233" s="887"/>
      <c r="C233" s="514" t="s">
        <v>70</v>
      </c>
      <c r="D233" s="515">
        <v>0.13</v>
      </c>
      <c r="E233" s="450" t="s">
        <v>71</v>
      </c>
      <c r="F233" s="516">
        <f t="shared" si="2"/>
        <v>14000</v>
      </c>
      <c r="G233" s="516">
        <f t="shared" si="3"/>
        <v>1820</v>
      </c>
      <c r="H233" s="517"/>
    </row>
    <row r="234" spans="1:8">
      <c r="B234" s="887"/>
      <c r="C234" s="484" t="s">
        <v>72</v>
      </c>
      <c r="D234" s="488">
        <v>0.27</v>
      </c>
      <c r="E234" s="451" t="s">
        <v>68</v>
      </c>
      <c r="F234" s="457">
        <f t="shared" si="2"/>
        <v>2200</v>
      </c>
      <c r="G234" s="457">
        <f t="shared" si="3"/>
        <v>594</v>
      </c>
      <c r="H234" s="457"/>
    </row>
    <row r="235" spans="1:8">
      <c r="B235" s="887"/>
      <c r="C235" s="484" t="s">
        <v>267</v>
      </c>
      <c r="D235" s="488">
        <v>150</v>
      </c>
      <c r="E235" s="451" t="s">
        <v>107</v>
      </c>
      <c r="F235" s="457">
        <f t="shared" si="2"/>
        <v>0</v>
      </c>
      <c r="G235" s="457">
        <f t="shared" si="3"/>
        <v>0</v>
      </c>
      <c r="H235" s="513"/>
    </row>
    <row r="236" spans="1:8">
      <c r="B236" s="887"/>
      <c r="C236" s="484" t="s">
        <v>711</v>
      </c>
      <c r="D236" s="518" t="s">
        <v>712</v>
      </c>
      <c r="E236" s="456"/>
      <c r="F236" s="520"/>
      <c r="G236" s="457">
        <f>3%*G231</f>
        <v>18.27</v>
      </c>
      <c r="H236" s="457"/>
    </row>
    <row r="237" spans="1:8">
      <c r="B237" s="855" t="s">
        <v>62</v>
      </c>
      <c r="C237" s="855"/>
      <c r="D237" s="856" t="s">
        <v>61</v>
      </c>
      <c r="E237" s="856"/>
      <c r="F237" s="856"/>
      <c r="G237" s="457">
        <f>SUM(G229:G236)</f>
        <v>14035.27</v>
      </c>
      <c r="H237" s="457"/>
    </row>
    <row r="238" spans="1:8">
      <c r="B238" s="855"/>
      <c r="C238" s="855"/>
      <c r="D238" s="857" t="s">
        <v>573</v>
      </c>
      <c r="E238" s="857"/>
      <c r="F238" s="857"/>
      <c r="G238" s="457">
        <f>INT(15%*G237*100)/100</f>
        <v>2105.29</v>
      </c>
      <c r="H238" s="457"/>
    </row>
    <row r="239" spans="1:8">
      <c r="B239" s="855"/>
      <c r="C239" s="855"/>
      <c r="D239" s="856" t="s">
        <v>47</v>
      </c>
      <c r="E239" s="856"/>
      <c r="F239" s="856"/>
      <c r="G239" s="457">
        <f>SUM(G237:G238)</f>
        <v>16140.560000000001</v>
      </c>
      <c r="H239" s="457"/>
    </row>
    <row r="241" spans="1:8" ht="27.6">
      <c r="A241" s="507">
        <v>3.03</v>
      </c>
      <c r="B241" s="446" t="s">
        <v>288</v>
      </c>
      <c r="C241" s="876" t="s">
        <v>1133</v>
      </c>
      <c r="D241" s="877"/>
      <c r="E241" s="877"/>
      <c r="F241" s="447" t="s">
        <v>68</v>
      </c>
      <c r="G241" s="448">
        <f>G251</f>
        <v>14662.54</v>
      </c>
      <c r="H241" s="448">
        <f>G253</f>
        <v>16861.920000000002</v>
      </c>
    </row>
    <row r="242" spans="1:8">
      <c r="B242" s="450" t="s">
        <v>80</v>
      </c>
      <c r="C242" s="451" t="s">
        <v>81</v>
      </c>
      <c r="D242" s="451" t="s">
        <v>44</v>
      </c>
      <c r="E242" s="451" t="s">
        <v>45</v>
      </c>
      <c r="F242" s="452" t="s">
        <v>58</v>
      </c>
      <c r="G242" s="452" t="s">
        <v>59</v>
      </c>
      <c r="H242" s="452" t="s">
        <v>52</v>
      </c>
    </row>
    <row r="243" spans="1:8">
      <c r="B243" s="887" t="s">
        <v>60</v>
      </c>
      <c r="C243" s="484" t="s">
        <v>69</v>
      </c>
      <c r="D243" s="488">
        <v>1.5</v>
      </c>
      <c r="E243" s="451" t="s">
        <v>46</v>
      </c>
      <c r="F243" s="457">
        <f>F229</f>
        <v>1200</v>
      </c>
      <c r="G243" s="457">
        <f t="shared" ref="G243:G249" si="4">TRUNC(D243*F243,2)</f>
        <v>1800</v>
      </c>
      <c r="H243" s="457"/>
    </row>
    <row r="244" spans="1:8">
      <c r="B244" s="887"/>
      <c r="C244" s="484" t="s">
        <v>43</v>
      </c>
      <c r="D244" s="488">
        <v>2.2000000000000002</v>
      </c>
      <c r="E244" s="451" t="s">
        <v>46</v>
      </c>
      <c r="F244" s="457">
        <f t="shared" ref="F244:F249" si="5">F230</f>
        <v>870</v>
      </c>
      <c r="G244" s="457">
        <f t="shared" si="4"/>
        <v>1914</v>
      </c>
      <c r="H244" s="457"/>
    </row>
    <row r="245" spans="1:8">
      <c r="B245" s="887"/>
      <c r="C245" s="484" t="s">
        <v>43</v>
      </c>
      <c r="D245" s="488">
        <v>1.4</v>
      </c>
      <c r="E245" s="451" t="s">
        <v>46</v>
      </c>
      <c r="F245" s="457">
        <f t="shared" si="5"/>
        <v>870</v>
      </c>
      <c r="G245" s="457">
        <f t="shared" si="4"/>
        <v>1218</v>
      </c>
      <c r="H245" s="457"/>
    </row>
    <row r="246" spans="1:8">
      <c r="B246" s="887" t="s">
        <v>63</v>
      </c>
      <c r="C246" s="484" t="s">
        <v>709</v>
      </c>
      <c r="D246" s="488">
        <f>D218</f>
        <v>560</v>
      </c>
      <c r="E246" s="451" t="s">
        <v>46</v>
      </c>
      <c r="F246" s="457">
        <f t="shared" si="5"/>
        <v>13</v>
      </c>
      <c r="G246" s="457">
        <f t="shared" si="4"/>
        <v>7280</v>
      </c>
      <c r="H246" s="457"/>
    </row>
    <row r="247" spans="1:8">
      <c r="B247" s="887"/>
      <c r="C247" s="484" t="s">
        <v>70</v>
      </c>
      <c r="D247" s="488">
        <v>0.13</v>
      </c>
      <c r="E247" s="451" t="s">
        <v>71</v>
      </c>
      <c r="F247" s="457">
        <f t="shared" si="5"/>
        <v>14000</v>
      </c>
      <c r="G247" s="457">
        <f t="shared" si="4"/>
        <v>1820</v>
      </c>
      <c r="H247" s="517"/>
    </row>
    <row r="248" spans="1:8">
      <c r="B248" s="887"/>
      <c r="C248" s="484" t="s">
        <v>793</v>
      </c>
      <c r="D248" s="488">
        <v>0.27</v>
      </c>
      <c r="E248" s="451" t="s">
        <v>68</v>
      </c>
      <c r="F248" s="457">
        <f t="shared" si="5"/>
        <v>2200</v>
      </c>
      <c r="G248" s="457">
        <f t="shared" si="4"/>
        <v>594</v>
      </c>
      <c r="H248" s="457"/>
    </row>
    <row r="249" spans="1:8">
      <c r="B249" s="887"/>
      <c r="C249" s="484" t="s">
        <v>267</v>
      </c>
      <c r="D249" s="488">
        <v>150</v>
      </c>
      <c r="E249" s="451" t="s">
        <v>107</v>
      </c>
      <c r="F249" s="457">
        <f t="shared" si="5"/>
        <v>0</v>
      </c>
      <c r="G249" s="457">
        <f t="shared" si="4"/>
        <v>0</v>
      </c>
      <c r="H249" s="513"/>
    </row>
    <row r="250" spans="1:8">
      <c r="B250" s="887"/>
      <c r="C250" s="484" t="s">
        <v>711</v>
      </c>
      <c r="D250" s="518" t="s">
        <v>712</v>
      </c>
      <c r="E250" s="456"/>
      <c r="F250" s="520"/>
      <c r="G250" s="457">
        <f>3%*G245</f>
        <v>36.54</v>
      </c>
      <c r="H250" s="457"/>
    </row>
    <row r="251" spans="1:8">
      <c r="B251" s="855" t="s">
        <v>62</v>
      </c>
      <c r="C251" s="855"/>
      <c r="D251" s="856" t="s">
        <v>61</v>
      </c>
      <c r="E251" s="856"/>
      <c r="F251" s="856"/>
      <c r="G251" s="457">
        <f>SUM(G243:G250)</f>
        <v>14662.54</v>
      </c>
      <c r="H251" s="457"/>
    </row>
    <row r="252" spans="1:8">
      <c r="B252" s="855"/>
      <c r="C252" s="855"/>
      <c r="D252" s="857" t="s">
        <v>573</v>
      </c>
      <c r="E252" s="857"/>
      <c r="F252" s="857"/>
      <c r="G252" s="457">
        <f>INT(15%*G251*100)/100</f>
        <v>2199.38</v>
      </c>
      <c r="H252" s="457"/>
    </row>
    <row r="253" spans="1:8">
      <c r="B253" s="855"/>
      <c r="C253" s="855"/>
      <c r="D253" s="856" t="s">
        <v>47</v>
      </c>
      <c r="E253" s="856"/>
      <c r="F253" s="856"/>
      <c r="G253" s="457">
        <f>SUM(G251:G252)</f>
        <v>16861.920000000002</v>
      </c>
      <c r="H253" s="457"/>
    </row>
    <row r="254" spans="1:8">
      <c r="B254" s="458"/>
      <c r="C254" s="458"/>
      <c r="F254" s="459"/>
      <c r="G254" s="460"/>
      <c r="H254" s="460"/>
    </row>
    <row r="255" spans="1:8" ht="27.6">
      <c r="A255" s="445">
        <v>3.04</v>
      </c>
      <c r="B255" s="446" t="s">
        <v>289</v>
      </c>
      <c r="C255" s="876" t="s">
        <v>1134</v>
      </c>
      <c r="D255" s="877"/>
      <c r="E255" s="877"/>
      <c r="F255" s="447" t="s">
        <v>68</v>
      </c>
      <c r="G255" s="448">
        <f>G265</f>
        <v>13189.22</v>
      </c>
      <c r="H255" s="448">
        <f>G267</f>
        <v>15167.599999999999</v>
      </c>
    </row>
    <row r="256" spans="1:8">
      <c r="B256" s="450" t="s">
        <v>80</v>
      </c>
      <c r="C256" s="451" t="s">
        <v>81</v>
      </c>
      <c r="D256" s="451" t="s">
        <v>44</v>
      </c>
      <c r="E256" s="451" t="s">
        <v>45</v>
      </c>
      <c r="F256" s="452" t="s">
        <v>58</v>
      </c>
      <c r="G256" s="452" t="s">
        <v>59</v>
      </c>
      <c r="H256" s="452" t="s">
        <v>52</v>
      </c>
    </row>
    <row r="257" spans="1:8">
      <c r="B257" s="887" t="s">
        <v>60</v>
      </c>
      <c r="C257" s="484" t="s">
        <v>69</v>
      </c>
      <c r="D257" s="488">
        <v>1.5</v>
      </c>
      <c r="E257" s="451" t="s">
        <v>46</v>
      </c>
      <c r="F257" s="457">
        <f t="shared" ref="F257:F263" si="6">F243</f>
        <v>1200</v>
      </c>
      <c r="G257" s="457">
        <f t="shared" ref="G257:G263" si="7">TRUNC(D257*F257,2)</f>
        <v>1800</v>
      </c>
      <c r="H257" s="457"/>
    </row>
    <row r="258" spans="1:8">
      <c r="B258" s="887"/>
      <c r="C258" s="484" t="s">
        <v>43</v>
      </c>
      <c r="D258" s="488">
        <v>2.2000000000000002</v>
      </c>
      <c r="E258" s="451" t="s">
        <v>46</v>
      </c>
      <c r="F258" s="457">
        <f t="shared" si="6"/>
        <v>870</v>
      </c>
      <c r="G258" s="457">
        <f t="shared" si="7"/>
        <v>1914</v>
      </c>
      <c r="H258" s="457"/>
    </row>
    <row r="259" spans="1:8">
      <c r="B259" s="887"/>
      <c r="C259" s="484" t="s">
        <v>710</v>
      </c>
      <c r="D259" s="488">
        <v>0.2</v>
      </c>
      <c r="E259" s="451" t="s">
        <v>46</v>
      </c>
      <c r="F259" s="457">
        <f t="shared" si="6"/>
        <v>870</v>
      </c>
      <c r="G259" s="457">
        <f t="shared" si="7"/>
        <v>174</v>
      </c>
      <c r="H259" s="457"/>
    </row>
    <row r="260" spans="1:8">
      <c r="B260" s="887" t="s">
        <v>63</v>
      </c>
      <c r="C260" s="484" t="s">
        <v>709</v>
      </c>
      <c r="D260" s="488">
        <f>D246</f>
        <v>560</v>
      </c>
      <c r="E260" s="451" t="s">
        <v>46</v>
      </c>
      <c r="F260" s="457">
        <f t="shared" si="6"/>
        <v>13</v>
      </c>
      <c r="G260" s="457">
        <f t="shared" si="7"/>
        <v>7280</v>
      </c>
      <c r="H260" s="457"/>
    </row>
    <row r="261" spans="1:8">
      <c r="B261" s="887"/>
      <c r="C261" s="484" t="s">
        <v>70</v>
      </c>
      <c r="D261" s="488">
        <v>0.1</v>
      </c>
      <c r="E261" s="451" t="s">
        <v>71</v>
      </c>
      <c r="F261" s="457">
        <f t="shared" si="6"/>
        <v>14000</v>
      </c>
      <c r="G261" s="457">
        <f t="shared" si="7"/>
        <v>1400</v>
      </c>
      <c r="H261" s="517"/>
    </row>
    <row r="262" spans="1:8">
      <c r="B262" s="887"/>
      <c r="C262" s="484" t="str">
        <f>C248</f>
        <v>Sand crusher</v>
      </c>
      <c r="D262" s="488">
        <v>0.28000000000000003</v>
      </c>
      <c r="E262" s="451" t="s">
        <v>68</v>
      </c>
      <c r="F262" s="457">
        <f t="shared" si="6"/>
        <v>2200</v>
      </c>
      <c r="G262" s="457">
        <f t="shared" si="7"/>
        <v>616</v>
      </c>
      <c r="H262" s="457"/>
    </row>
    <row r="263" spans="1:8">
      <c r="B263" s="887"/>
      <c r="C263" s="484" t="s">
        <v>267</v>
      </c>
      <c r="D263" s="488">
        <v>130</v>
      </c>
      <c r="E263" s="451" t="s">
        <v>107</v>
      </c>
      <c r="F263" s="457">
        <f t="shared" si="6"/>
        <v>0</v>
      </c>
      <c r="G263" s="457">
        <f t="shared" si="7"/>
        <v>0</v>
      </c>
      <c r="H263" s="513"/>
    </row>
    <row r="264" spans="1:8">
      <c r="B264" s="887"/>
      <c r="C264" s="484" t="s">
        <v>711</v>
      </c>
      <c r="D264" s="518" t="s">
        <v>712</v>
      </c>
      <c r="E264" s="456"/>
      <c r="F264" s="520"/>
      <c r="G264" s="457">
        <f>3%*G259</f>
        <v>5.22</v>
      </c>
      <c r="H264" s="457"/>
    </row>
    <row r="265" spans="1:8">
      <c r="B265" s="855" t="s">
        <v>62</v>
      </c>
      <c r="C265" s="855"/>
      <c r="D265" s="856" t="s">
        <v>61</v>
      </c>
      <c r="E265" s="856"/>
      <c r="F265" s="856"/>
      <c r="G265" s="457">
        <f>SUM(G257:G264)</f>
        <v>13189.22</v>
      </c>
      <c r="H265" s="457"/>
    </row>
    <row r="266" spans="1:8">
      <c r="B266" s="855"/>
      <c r="C266" s="855"/>
      <c r="D266" s="857" t="s">
        <v>573</v>
      </c>
      <c r="E266" s="857"/>
      <c r="F266" s="857"/>
      <c r="G266" s="457">
        <f>INT(15%*G265*100)/100</f>
        <v>1978.38</v>
      </c>
      <c r="H266" s="457"/>
    </row>
    <row r="267" spans="1:8">
      <c r="B267" s="855"/>
      <c r="C267" s="855"/>
      <c r="D267" s="856" t="s">
        <v>47</v>
      </c>
      <c r="E267" s="856"/>
      <c r="F267" s="856"/>
      <c r="G267" s="457">
        <f>SUM(G265:G266)</f>
        <v>15167.599999999999</v>
      </c>
      <c r="H267" s="457"/>
    </row>
    <row r="268" spans="1:8">
      <c r="C268" s="459"/>
      <c r="F268" s="462"/>
      <c r="G268" s="460"/>
      <c r="H268" s="460"/>
    </row>
    <row r="269" spans="1:8" ht="27.6">
      <c r="A269" s="445">
        <v>3.05</v>
      </c>
      <c r="B269" s="446" t="s">
        <v>290</v>
      </c>
      <c r="C269" s="876" t="s">
        <v>1135</v>
      </c>
      <c r="D269" s="877"/>
      <c r="E269" s="877"/>
      <c r="F269" s="447" t="s">
        <v>68</v>
      </c>
      <c r="G269" s="448">
        <f>G279</f>
        <v>13637.27</v>
      </c>
      <c r="H269" s="448">
        <f>G281</f>
        <v>15682.86</v>
      </c>
    </row>
    <row r="270" spans="1:8">
      <c r="B270" s="450" t="s">
        <v>80</v>
      </c>
      <c r="C270" s="451" t="s">
        <v>81</v>
      </c>
      <c r="D270" s="451" t="s">
        <v>44</v>
      </c>
      <c r="E270" s="451" t="s">
        <v>45</v>
      </c>
      <c r="F270" s="452" t="s">
        <v>58</v>
      </c>
      <c r="G270" s="452" t="s">
        <v>59</v>
      </c>
      <c r="H270" s="452" t="s">
        <v>52</v>
      </c>
    </row>
    <row r="271" spans="1:8">
      <c r="B271" s="887" t="s">
        <v>60</v>
      </c>
      <c r="C271" s="484" t="s">
        <v>69</v>
      </c>
      <c r="D271" s="488">
        <v>1.5</v>
      </c>
      <c r="E271" s="451" t="s">
        <v>46</v>
      </c>
      <c r="F271" s="457">
        <f t="shared" ref="F271:F277" si="8">F257</f>
        <v>1200</v>
      </c>
      <c r="G271" s="457">
        <f t="shared" ref="G271:G277" si="9">TRUNC(D271*F271,2)</f>
        <v>1800</v>
      </c>
      <c r="H271" s="457"/>
    </row>
    <row r="272" spans="1:8">
      <c r="B272" s="887"/>
      <c r="C272" s="484" t="s">
        <v>43</v>
      </c>
      <c r="D272" s="488">
        <v>2.2000000000000002</v>
      </c>
      <c r="E272" s="451" t="s">
        <v>46</v>
      </c>
      <c r="F272" s="457">
        <f t="shared" si="8"/>
        <v>870</v>
      </c>
      <c r="G272" s="457">
        <f t="shared" si="9"/>
        <v>1914</v>
      </c>
      <c r="H272" s="457"/>
    </row>
    <row r="273" spans="1:8">
      <c r="B273" s="887"/>
      <c r="C273" s="484" t="s">
        <v>43</v>
      </c>
      <c r="D273" s="488">
        <v>0.7</v>
      </c>
      <c r="E273" s="451" t="s">
        <v>46</v>
      </c>
      <c r="F273" s="457">
        <f t="shared" si="8"/>
        <v>870</v>
      </c>
      <c r="G273" s="457">
        <f t="shared" si="9"/>
        <v>609</v>
      </c>
      <c r="H273" s="457"/>
    </row>
    <row r="274" spans="1:8">
      <c r="B274" s="887" t="s">
        <v>63</v>
      </c>
      <c r="C274" s="484" t="s">
        <v>709</v>
      </c>
      <c r="D274" s="488">
        <f>D260</f>
        <v>560</v>
      </c>
      <c r="E274" s="451" t="s">
        <v>46</v>
      </c>
      <c r="F274" s="457">
        <f t="shared" si="8"/>
        <v>13</v>
      </c>
      <c r="G274" s="457">
        <f t="shared" si="9"/>
        <v>7280</v>
      </c>
      <c r="H274" s="457"/>
    </row>
    <row r="275" spans="1:8" s="495" customFormat="1">
      <c r="B275" s="887"/>
      <c r="C275" s="514" t="s">
        <v>70</v>
      </c>
      <c r="D275" s="515">
        <v>0.1</v>
      </c>
      <c r="E275" s="450" t="s">
        <v>71</v>
      </c>
      <c r="F275" s="457">
        <f t="shared" si="8"/>
        <v>14000</v>
      </c>
      <c r="G275" s="516">
        <f t="shared" si="9"/>
        <v>1400</v>
      </c>
      <c r="H275" s="517"/>
    </row>
    <row r="276" spans="1:8">
      <c r="B276" s="887"/>
      <c r="C276" s="484" t="str">
        <f>C262</f>
        <v>Sand crusher</v>
      </c>
      <c r="D276" s="488">
        <v>0.28000000000000003</v>
      </c>
      <c r="E276" s="451" t="s">
        <v>68</v>
      </c>
      <c r="F276" s="457">
        <f t="shared" si="8"/>
        <v>2200</v>
      </c>
      <c r="G276" s="457">
        <f t="shared" si="9"/>
        <v>616</v>
      </c>
      <c r="H276" s="457"/>
    </row>
    <row r="277" spans="1:8">
      <c r="B277" s="887"/>
      <c r="C277" s="484" t="s">
        <v>267</v>
      </c>
      <c r="D277" s="488">
        <v>130</v>
      </c>
      <c r="E277" s="451" t="s">
        <v>107</v>
      </c>
      <c r="F277" s="457">
        <f t="shared" si="8"/>
        <v>0</v>
      </c>
      <c r="G277" s="457">
        <f t="shared" si="9"/>
        <v>0</v>
      </c>
      <c r="H277" s="513"/>
    </row>
    <row r="278" spans="1:8">
      <c r="B278" s="887"/>
      <c r="C278" s="484" t="s">
        <v>711</v>
      </c>
      <c r="D278" s="518" t="s">
        <v>712</v>
      </c>
      <c r="E278" s="456"/>
      <c r="F278" s="513"/>
      <c r="G278" s="457">
        <f>3%*G273</f>
        <v>18.27</v>
      </c>
      <c r="H278" s="457"/>
    </row>
    <row r="279" spans="1:8">
      <c r="B279" s="855" t="s">
        <v>62</v>
      </c>
      <c r="C279" s="855"/>
      <c r="D279" s="856" t="s">
        <v>61</v>
      </c>
      <c r="E279" s="856"/>
      <c r="F279" s="856"/>
      <c r="G279" s="457">
        <f>SUM(G271:G278)</f>
        <v>13637.27</v>
      </c>
      <c r="H279" s="457"/>
    </row>
    <row r="280" spans="1:8">
      <c r="B280" s="855"/>
      <c r="C280" s="855"/>
      <c r="D280" s="857" t="s">
        <v>573</v>
      </c>
      <c r="E280" s="857"/>
      <c r="F280" s="857"/>
      <c r="G280" s="457">
        <f>INT(15%*G279*100)/100</f>
        <v>2045.59</v>
      </c>
      <c r="H280" s="457"/>
    </row>
    <row r="281" spans="1:8">
      <c r="B281" s="855"/>
      <c r="C281" s="855"/>
      <c r="D281" s="856" t="s">
        <v>47</v>
      </c>
      <c r="E281" s="856"/>
      <c r="F281" s="856"/>
      <c r="G281" s="457">
        <f>SUM(G279:G280)</f>
        <v>15682.86</v>
      </c>
      <c r="H281" s="457"/>
    </row>
    <row r="282" spans="1:8" ht="27.6">
      <c r="A282" s="445">
        <v>3.06</v>
      </c>
      <c r="B282" s="446" t="s">
        <v>291</v>
      </c>
      <c r="C282" s="876" t="s">
        <v>1136</v>
      </c>
      <c r="D282" s="877"/>
      <c r="E282" s="877"/>
      <c r="F282" s="447" t="s">
        <v>68</v>
      </c>
      <c r="G282" s="448">
        <f>G292</f>
        <v>14264.54</v>
      </c>
      <c r="H282" s="448">
        <f>G294</f>
        <v>16404.22</v>
      </c>
    </row>
    <row r="283" spans="1:8">
      <c r="B283" s="450" t="s">
        <v>80</v>
      </c>
      <c r="C283" s="451" t="s">
        <v>81</v>
      </c>
      <c r="D283" s="451" t="s">
        <v>44</v>
      </c>
      <c r="E283" s="451" t="s">
        <v>45</v>
      </c>
      <c r="F283" s="452" t="s">
        <v>58</v>
      </c>
      <c r="G283" s="452" t="s">
        <v>59</v>
      </c>
      <c r="H283" s="452" t="s">
        <v>52</v>
      </c>
    </row>
    <row r="284" spans="1:8">
      <c r="B284" s="887" t="s">
        <v>60</v>
      </c>
      <c r="C284" s="484" t="s">
        <v>69</v>
      </c>
      <c r="D284" s="488">
        <v>1.5</v>
      </c>
      <c r="E284" s="451" t="s">
        <v>46</v>
      </c>
      <c r="F284" s="457">
        <f t="shared" ref="F284:F290" si="10">F271</f>
        <v>1200</v>
      </c>
      <c r="G284" s="457">
        <f t="shared" ref="G284:G290" si="11">TRUNC(D284*F284,2)</f>
        <v>1800</v>
      </c>
      <c r="H284" s="457"/>
    </row>
    <row r="285" spans="1:8">
      <c r="B285" s="887"/>
      <c r="C285" s="484" t="s">
        <v>43</v>
      </c>
      <c r="D285" s="488">
        <v>2.2000000000000002</v>
      </c>
      <c r="E285" s="451" t="s">
        <v>46</v>
      </c>
      <c r="F285" s="457">
        <f t="shared" si="10"/>
        <v>870</v>
      </c>
      <c r="G285" s="457">
        <f t="shared" si="11"/>
        <v>1914</v>
      </c>
      <c r="H285" s="457"/>
    </row>
    <row r="286" spans="1:8">
      <c r="B286" s="887"/>
      <c r="C286" s="484" t="s">
        <v>43</v>
      </c>
      <c r="D286" s="488">
        <v>1.4</v>
      </c>
      <c r="E286" s="451" t="s">
        <v>46</v>
      </c>
      <c r="F286" s="457">
        <f t="shared" si="10"/>
        <v>870</v>
      </c>
      <c r="G286" s="457">
        <f t="shared" si="11"/>
        <v>1218</v>
      </c>
      <c r="H286" s="457"/>
    </row>
    <row r="287" spans="1:8">
      <c r="B287" s="887" t="s">
        <v>63</v>
      </c>
      <c r="C287" s="484" t="s">
        <v>709</v>
      </c>
      <c r="D287" s="488">
        <f>D274</f>
        <v>560</v>
      </c>
      <c r="E287" s="451" t="s">
        <v>46</v>
      </c>
      <c r="F287" s="457">
        <f t="shared" si="10"/>
        <v>13</v>
      </c>
      <c r="G287" s="457">
        <f t="shared" si="11"/>
        <v>7280</v>
      </c>
      <c r="H287" s="457"/>
    </row>
    <row r="288" spans="1:8" s="495" customFormat="1">
      <c r="B288" s="887"/>
      <c r="C288" s="514" t="s">
        <v>70</v>
      </c>
      <c r="D288" s="515">
        <v>0.1</v>
      </c>
      <c r="E288" s="450" t="s">
        <v>71</v>
      </c>
      <c r="F288" s="457">
        <f t="shared" si="10"/>
        <v>14000</v>
      </c>
      <c r="G288" s="516">
        <f t="shared" si="11"/>
        <v>1400</v>
      </c>
      <c r="H288" s="517"/>
    </row>
    <row r="289" spans="1:8">
      <c r="B289" s="887"/>
      <c r="C289" s="484" t="str">
        <f>C276</f>
        <v>Sand crusher</v>
      </c>
      <c r="D289" s="488">
        <v>0.28000000000000003</v>
      </c>
      <c r="E289" s="451" t="s">
        <v>68</v>
      </c>
      <c r="F289" s="457">
        <f t="shared" si="10"/>
        <v>2200</v>
      </c>
      <c r="G289" s="457">
        <f t="shared" si="11"/>
        <v>616</v>
      </c>
      <c r="H289" s="457"/>
    </row>
    <row r="290" spans="1:8">
      <c r="B290" s="887"/>
      <c r="C290" s="484" t="s">
        <v>267</v>
      </c>
      <c r="D290" s="488">
        <v>130</v>
      </c>
      <c r="E290" s="451" t="s">
        <v>107</v>
      </c>
      <c r="F290" s="457">
        <f t="shared" si="10"/>
        <v>0</v>
      </c>
      <c r="G290" s="457">
        <f t="shared" si="11"/>
        <v>0</v>
      </c>
      <c r="H290" s="513"/>
    </row>
    <row r="291" spans="1:8">
      <c r="B291" s="887"/>
      <c r="C291" s="484" t="s">
        <v>711</v>
      </c>
      <c r="D291" s="518" t="s">
        <v>712</v>
      </c>
      <c r="E291" s="456"/>
      <c r="F291" s="513"/>
      <c r="G291" s="457">
        <f>3%*G286</f>
        <v>36.54</v>
      </c>
      <c r="H291" s="457"/>
    </row>
    <row r="292" spans="1:8">
      <c r="B292" s="855" t="s">
        <v>62</v>
      </c>
      <c r="C292" s="855"/>
      <c r="D292" s="856" t="s">
        <v>61</v>
      </c>
      <c r="E292" s="856"/>
      <c r="F292" s="856"/>
      <c r="G292" s="457">
        <f>SUM(G284:G291)</f>
        <v>14264.54</v>
      </c>
      <c r="H292" s="457"/>
    </row>
    <row r="293" spans="1:8">
      <c r="B293" s="855"/>
      <c r="C293" s="855"/>
      <c r="D293" s="857" t="s">
        <v>573</v>
      </c>
      <c r="E293" s="857"/>
      <c r="F293" s="857"/>
      <c r="G293" s="457">
        <f>INT(15%*G292*100)/100</f>
        <v>2139.6799999999998</v>
      </c>
      <c r="H293" s="457"/>
    </row>
    <row r="294" spans="1:8">
      <c r="B294" s="855"/>
      <c r="C294" s="855"/>
      <c r="D294" s="856" t="s">
        <v>47</v>
      </c>
      <c r="E294" s="856"/>
      <c r="F294" s="856"/>
      <c r="G294" s="457">
        <f>SUM(G292:G293)</f>
        <v>16404.22</v>
      </c>
      <c r="H294" s="457"/>
    </row>
    <row r="296" spans="1:8" ht="27.6">
      <c r="A296" s="445">
        <v>3.07</v>
      </c>
      <c r="B296" s="446" t="s">
        <v>292</v>
      </c>
      <c r="C296" s="876" t="s">
        <v>1137</v>
      </c>
      <c r="D296" s="877"/>
      <c r="E296" s="877"/>
      <c r="F296" s="447" t="s">
        <v>68</v>
      </c>
      <c r="G296" s="448">
        <f>G306</f>
        <v>12813.22</v>
      </c>
      <c r="H296" s="448">
        <f>G308</f>
        <v>14735.199999999999</v>
      </c>
    </row>
    <row r="297" spans="1:8">
      <c r="B297" s="521" t="s">
        <v>80</v>
      </c>
      <c r="C297" s="522" t="s">
        <v>81</v>
      </c>
      <c r="D297" s="522" t="s">
        <v>44</v>
      </c>
      <c r="E297" s="522" t="s">
        <v>45</v>
      </c>
      <c r="F297" s="523" t="s">
        <v>58</v>
      </c>
      <c r="G297" s="523" t="s">
        <v>59</v>
      </c>
      <c r="H297" s="523" t="s">
        <v>52</v>
      </c>
    </row>
    <row r="298" spans="1:8">
      <c r="B298" s="887" t="s">
        <v>60</v>
      </c>
      <c r="C298" s="484" t="s">
        <v>69</v>
      </c>
      <c r="D298" s="524">
        <v>1.5</v>
      </c>
      <c r="E298" s="451" t="s">
        <v>46</v>
      </c>
      <c r="F298" s="457">
        <f t="shared" ref="F298:F304" si="12">F284</f>
        <v>1200</v>
      </c>
      <c r="G298" s="457">
        <f t="shared" ref="G298:G304" si="13">TRUNC(D298*F298,2)</f>
        <v>1800</v>
      </c>
      <c r="H298" s="457"/>
    </row>
    <row r="299" spans="1:8">
      <c r="B299" s="887"/>
      <c r="C299" s="484" t="s">
        <v>43</v>
      </c>
      <c r="D299" s="524">
        <v>2.2000000000000002</v>
      </c>
      <c r="E299" s="451" t="s">
        <v>46</v>
      </c>
      <c r="F299" s="457">
        <f t="shared" si="12"/>
        <v>870</v>
      </c>
      <c r="G299" s="457">
        <f t="shared" si="13"/>
        <v>1914</v>
      </c>
      <c r="H299" s="457"/>
    </row>
    <row r="300" spans="1:8">
      <c r="B300" s="887"/>
      <c r="C300" s="484" t="s">
        <v>710</v>
      </c>
      <c r="D300" s="524">
        <v>0.2</v>
      </c>
      <c r="E300" s="451" t="s">
        <v>46</v>
      </c>
      <c r="F300" s="457">
        <f t="shared" si="12"/>
        <v>870</v>
      </c>
      <c r="G300" s="457">
        <f t="shared" si="13"/>
        <v>174</v>
      </c>
      <c r="H300" s="457"/>
    </row>
    <row r="301" spans="1:8">
      <c r="B301" s="887" t="s">
        <v>63</v>
      </c>
      <c r="C301" s="484" t="s">
        <v>709</v>
      </c>
      <c r="D301" s="524">
        <f>D287</f>
        <v>560</v>
      </c>
      <c r="E301" s="451" t="s">
        <v>46</v>
      </c>
      <c r="F301" s="457">
        <f t="shared" si="12"/>
        <v>13</v>
      </c>
      <c r="G301" s="457">
        <f t="shared" si="13"/>
        <v>7280</v>
      </c>
      <c r="H301" s="457"/>
    </row>
    <row r="302" spans="1:8" s="495" customFormat="1">
      <c r="B302" s="887"/>
      <c r="C302" s="525" t="s">
        <v>70</v>
      </c>
      <c r="D302" s="526">
        <v>7.0000000000000007E-2</v>
      </c>
      <c r="E302" s="450" t="s">
        <v>71</v>
      </c>
      <c r="F302" s="457">
        <f t="shared" si="12"/>
        <v>14000</v>
      </c>
      <c r="G302" s="516">
        <f t="shared" si="13"/>
        <v>980</v>
      </c>
      <c r="H302" s="517"/>
    </row>
    <row r="303" spans="1:8">
      <c r="B303" s="887"/>
      <c r="C303" s="518" t="str">
        <f>C289</f>
        <v>Sand crusher</v>
      </c>
      <c r="D303" s="524">
        <v>0.3</v>
      </c>
      <c r="E303" s="451" t="s">
        <v>68</v>
      </c>
      <c r="F303" s="457">
        <f t="shared" si="12"/>
        <v>2200</v>
      </c>
      <c r="G303" s="457">
        <f t="shared" si="13"/>
        <v>660</v>
      </c>
      <c r="H303" s="457"/>
    </row>
    <row r="304" spans="1:8">
      <c r="B304" s="887"/>
      <c r="C304" s="484" t="s">
        <v>267</v>
      </c>
      <c r="D304" s="524">
        <v>100</v>
      </c>
      <c r="E304" s="451" t="s">
        <v>107</v>
      </c>
      <c r="F304" s="457">
        <f t="shared" si="12"/>
        <v>0</v>
      </c>
      <c r="G304" s="457">
        <f t="shared" si="13"/>
        <v>0</v>
      </c>
      <c r="H304" s="513"/>
    </row>
    <row r="305" spans="1:8">
      <c r="B305" s="887"/>
      <c r="C305" s="527"/>
      <c r="D305" s="456" t="s">
        <v>712</v>
      </c>
      <c r="E305" s="456"/>
      <c r="F305" s="513"/>
      <c r="G305" s="457">
        <f>3%*G300</f>
        <v>5.22</v>
      </c>
      <c r="H305" s="457"/>
    </row>
    <row r="306" spans="1:8">
      <c r="B306" s="855" t="s">
        <v>62</v>
      </c>
      <c r="C306" s="855"/>
      <c r="D306" s="856" t="s">
        <v>61</v>
      </c>
      <c r="E306" s="856"/>
      <c r="F306" s="856"/>
      <c r="G306" s="457">
        <f>SUM(G298:G305)</f>
        <v>12813.22</v>
      </c>
      <c r="H306" s="457"/>
    </row>
    <row r="307" spans="1:8">
      <c r="B307" s="855"/>
      <c r="C307" s="855"/>
      <c r="D307" s="857" t="s">
        <v>573</v>
      </c>
      <c r="E307" s="857"/>
      <c r="F307" s="857"/>
      <c r="G307" s="457">
        <f>INT(15%*G306*100)/100</f>
        <v>1921.98</v>
      </c>
      <c r="H307" s="457"/>
    </row>
    <row r="308" spans="1:8">
      <c r="B308" s="855"/>
      <c r="C308" s="855"/>
      <c r="D308" s="856" t="s">
        <v>47</v>
      </c>
      <c r="E308" s="856"/>
      <c r="F308" s="856"/>
      <c r="G308" s="457">
        <f>SUM(G306:G307)</f>
        <v>14735.199999999999</v>
      </c>
      <c r="H308" s="457"/>
    </row>
    <row r="309" spans="1:8">
      <c r="F309" s="462"/>
    </row>
    <row r="310" spans="1:8" ht="27.6">
      <c r="A310" s="445">
        <v>3.08</v>
      </c>
      <c r="B310" s="446" t="s">
        <v>293</v>
      </c>
      <c r="C310" s="876" t="s">
        <v>1138</v>
      </c>
      <c r="D310" s="877"/>
      <c r="E310" s="877"/>
      <c r="F310" s="447" t="s">
        <v>68</v>
      </c>
      <c r="G310" s="448">
        <f>G320</f>
        <v>13261.27</v>
      </c>
      <c r="H310" s="448">
        <f>G322</f>
        <v>15250.460000000001</v>
      </c>
    </row>
    <row r="311" spans="1:8">
      <c r="B311" s="450" t="s">
        <v>80</v>
      </c>
      <c r="C311" s="451" t="s">
        <v>81</v>
      </c>
      <c r="D311" s="451" t="s">
        <v>44</v>
      </c>
      <c r="E311" s="451" t="s">
        <v>45</v>
      </c>
      <c r="F311" s="452" t="s">
        <v>58</v>
      </c>
      <c r="G311" s="452" t="s">
        <v>59</v>
      </c>
      <c r="H311" s="452" t="s">
        <v>52</v>
      </c>
    </row>
    <row r="312" spans="1:8">
      <c r="B312" s="887" t="s">
        <v>60</v>
      </c>
      <c r="C312" s="484" t="s">
        <v>69</v>
      </c>
      <c r="D312" s="488">
        <v>1.5</v>
      </c>
      <c r="E312" s="451" t="s">
        <v>46</v>
      </c>
      <c r="F312" s="457">
        <f t="shared" ref="F312:F318" si="14">F298</f>
        <v>1200</v>
      </c>
      <c r="G312" s="457">
        <f t="shared" ref="G312:G318" si="15">TRUNC(D312*F312,2)</f>
        <v>1800</v>
      </c>
      <c r="H312" s="457"/>
    </row>
    <row r="313" spans="1:8">
      <c r="B313" s="887"/>
      <c r="C313" s="484" t="s">
        <v>43</v>
      </c>
      <c r="D313" s="488">
        <v>2.2000000000000002</v>
      </c>
      <c r="E313" s="451" t="s">
        <v>46</v>
      </c>
      <c r="F313" s="457">
        <f t="shared" si="14"/>
        <v>870</v>
      </c>
      <c r="G313" s="457">
        <f t="shared" si="15"/>
        <v>1914</v>
      </c>
      <c r="H313" s="457"/>
    </row>
    <row r="314" spans="1:8">
      <c r="B314" s="887"/>
      <c r="C314" s="484" t="s">
        <v>43</v>
      </c>
      <c r="D314" s="488">
        <v>0.7</v>
      </c>
      <c r="E314" s="451" t="s">
        <v>46</v>
      </c>
      <c r="F314" s="457">
        <f t="shared" si="14"/>
        <v>870</v>
      </c>
      <c r="G314" s="457">
        <f t="shared" si="15"/>
        <v>609</v>
      </c>
      <c r="H314" s="457"/>
    </row>
    <row r="315" spans="1:8">
      <c r="B315" s="887" t="s">
        <v>63</v>
      </c>
      <c r="C315" s="484" t="s">
        <v>709</v>
      </c>
      <c r="D315" s="488">
        <f>D301</f>
        <v>560</v>
      </c>
      <c r="E315" s="451" t="s">
        <v>46</v>
      </c>
      <c r="F315" s="457">
        <f t="shared" si="14"/>
        <v>13</v>
      </c>
      <c r="G315" s="457">
        <f t="shared" si="15"/>
        <v>7280</v>
      </c>
      <c r="H315" s="457"/>
    </row>
    <row r="316" spans="1:8">
      <c r="B316" s="887"/>
      <c r="C316" s="484" t="s">
        <v>70</v>
      </c>
      <c r="D316" s="488">
        <v>7.0000000000000007E-2</v>
      </c>
      <c r="E316" s="451" t="s">
        <v>71</v>
      </c>
      <c r="F316" s="457">
        <f t="shared" si="14"/>
        <v>14000</v>
      </c>
      <c r="G316" s="457">
        <f t="shared" si="15"/>
        <v>980</v>
      </c>
      <c r="H316" s="517"/>
    </row>
    <row r="317" spans="1:8">
      <c r="B317" s="887"/>
      <c r="C317" s="528" t="str">
        <f>C303</f>
        <v>Sand crusher</v>
      </c>
      <c r="D317" s="488">
        <v>0.3</v>
      </c>
      <c r="E317" s="451" t="s">
        <v>68</v>
      </c>
      <c r="F317" s="457">
        <f t="shared" si="14"/>
        <v>2200</v>
      </c>
      <c r="G317" s="457">
        <f t="shared" si="15"/>
        <v>660</v>
      </c>
      <c r="H317" s="457"/>
    </row>
    <row r="318" spans="1:8">
      <c r="B318" s="887"/>
      <c r="C318" s="484" t="s">
        <v>267</v>
      </c>
      <c r="D318" s="488">
        <v>100</v>
      </c>
      <c r="E318" s="451" t="s">
        <v>107</v>
      </c>
      <c r="F318" s="457">
        <f t="shared" si="14"/>
        <v>0</v>
      </c>
      <c r="G318" s="457">
        <f t="shared" si="15"/>
        <v>0</v>
      </c>
      <c r="H318" s="513"/>
    </row>
    <row r="319" spans="1:8">
      <c r="B319" s="887"/>
      <c r="C319" s="484" t="s">
        <v>711</v>
      </c>
      <c r="D319" s="518" t="s">
        <v>712</v>
      </c>
      <c r="E319" s="456"/>
      <c r="F319" s="513"/>
      <c r="G319" s="457">
        <f>3%*G314</f>
        <v>18.27</v>
      </c>
      <c r="H319" s="457"/>
    </row>
    <row r="320" spans="1:8">
      <c r="B320" s="855" t="s">
        <v>62</v>
      </c>
      <c r="C320" s="855"/>
      <c r="D320" s="856" t="s">
        <v>61</v>
      </c>
      <c r="E320" s="856"/>
      <c r="F320" s="856"/>
      <c r="G320" s="457">
        <f>SUM(G312:G319)</f>
        <v>13261.27</v>
      </c>
      <c r="H320" s="457"/>
    </row>
    <row r="321" spans="1:8">
      <c r="B321" s="855"/>
      <c r="C321" s="855"/>
      <c r="D321" s="857" t="s">
        <v>573</v>
      </c>
      <c r="E321" s="857"/>
      <c r="F321" s="857"/>
      <c r="G321" s="457">
        <f>INT(15%*G320*100)/100</f>
        <v>1989.19</v>
      </c>
      <c r="H321" s="457"/>
    </row>
    <row r="322" spans="1:8">
      <c r="B322" s="855"/>
      <c r="C322" s="855"/>
      <c r="D322" s="856" t="s">
        <v>47</v>
      </c>
      <c r="E322" s="856"/>
      <c r="F322" s="856"/>
      <c r="G322" s="457">
        <f>SUM(G320:G321)</f>
        <v>15250.460000000001</v>
      </c>
      <c r="H322" s="457"/>
    </row>
    <row r="324" spans="1:8" ht="27.6">
      <c r="A324" s="445">
        <v>3.09</v>
      </c>
      <c r="B324" s="446" t="s">
        <v>294</v>
      </c>
      <c r="C324" s="876" t="s">
        <v>1139</v>
      </c>
      <c r="D324" s="877"/>
      <c r="E324" s="877"/>
      <c r="F324" s="447" t="s">
        <v>68</v>
      </c>
      <c r="G324" s="448">
        <f>G334</f>
        <v>13888.54</v>
      </c>
      <c r="H324" s="448">
        <f>G336</f>
        <v>15971.820000000002</v>
      </c>
    </row>
    <row r="325" spans="1:8">
      <c r="B325" s="450" t="s">
        <v>80</v>
      </c>
      <c r="C325" s="451" t="s">
        <v>81</v>
      </c>
      <c r="D325" s="451" t="s">
        <v>44</v>
      </c>
      <c r="E325" s="451" t="s">
        <v>45</v>
      </c>
      <c r="F325" s="452" t="s">
        <v>58</v>
      </c>
      <c r="G325" s="452" t="s">
        <v>59</v>
      </c>
      <c r="H325" s="452" t="s">
        <v>52</v>
      </c>
    </row>
    <row r="326" spans="1:8">
      <c r="B326" s="887" t="s">
        <v>60</v>
      </c>
      <c r="C326" s="484" t="s">
        <v>69</v>
      </c>
      <c r="D326" s="488">
        <v>1.5</v>
      </c>
      <c r="E326" s="451" t="s">
        <v>46</v>
      </c>
      <c r="F326" s="457">
        <f t="shared" ref="F326:F332" si="16">F312</f>
        <v>1200</v>
      </c>
      <c r="G326" s="457">
        <f t="shared" ref="G326:G332" si="17">TRUNC(D326*F326,2)</f>
        <v>1800</v>
      </c>
      <c r="H326" s="457"/>
    </row>
    <row r="327" spans="1:8">
      <c r="B327" s="887"/>
      <c r="C327" s="484" t="s">
        <v>43</v>
      </c>
      <c r="D327" s="488">
        <v>2.2000000000000002</v>
      </c>
      <c r="E327" s="451" t="s">
        <v>46</v>
      </c>
      <c r="F327" s="457">
        <f t="shared" si="16"/>
        <v>870</v>
      </c>
      <c r="G327" s="457">
        <f t="shared" si="17"/>
        <v>1914</v>
      </c>
      <c r="H327" s="457"/>
    </row>
    <row r="328" spans="1:8">
      <c r="B328" s="887"/>
      <c r="C328" s="484" t="s">
        <v>43</v>
      </c>
      <c r="D328" s="488">
        <v>1.4</v>
      </c>
      <c r="E328" s="451" t="s">
        <v>46</v>
      </c>
      <c r="F328" s="457">
        <f t="shared" si="16"/>
        <v>870</v>
      </c>
      <c r="G328" s="457">
        <f t="shared" si="17"/>
        <v>1218</v>
      </c>
      <c r="H328" s="457"/>
    </row>
    <row r="329" spans="1:8">
      <c r="B329" s="887" t="s">
        <v>63</v>
      </c>
      <c r="C329" s="484" t="s">
        <v>709</v>
      </c>
      <c r="D329" s="488">
        <f>D315</f>
        <v>560</v>
      </c>
      <c r="E329" s="451" t="s">
        <v>46</v>
      </c>
      <c r="F329" s="457">
        <f t="shared" si="16"/>
        <v>13</v>
      </c>
      <c r="G329" s="457">
        <f t="shared" si="17"/>
        <v>7280</v>
      </c>
      <c r="H329" s="457"/>
    </row>
    <row r="330" spans="1:8">
      <c r="B330" s="887"/>
      <c r="C330" s="484" t="s">
        <v>70</v>
      </c>
      <c r="D330" s="488">
        <v>7.0000000000000007E-2</v>
      </c>
      <c r="E330" s="451" t="s">
        <v>71</v>
      </c>
      <c r="F330" s="457">
        <f t="shared" si="16"/>
        <v>14000</v>
      </c>
      <c r="G330" s="457">
        <f t="shared" si="17"/>
        <v>980</v>
      </c>
      <c r="H330" s="517"/>
    </row>
    <row r="331" spans="1:8">
      <c r="B331" s="887"/>
      <c r="C331" s="528" t="str">
        <f>C317</f>
        <v>Sand crusher</v>
      </c>
      <c r="D331" s="488">
        <v>0.3</v>
      </c>
      <c r="E331" s="451" t="s">
        <v>68</v>
      </c>
      <c r="F331" s="457">
        <f t="shared" si="16"/>
        <v>2200</v>
      </c>
      <c r="G331" s="457">
        <f t="shared" si="17"/>
        <v>660</v>
      </c>
      <c r="H331" s="457"/>
    </row>
    <row r="332" spans="1:8">
      <c r="B332" s="887"/>
      <c r="C332" s="484" t="s">
        <v>267</v>
      </c>
      <c r="D332" s="488">
        <v>100</v>
      </c>
      <c r="E332" s="451" t="s">
        <v>107</v>
      </c>
      <c r="F332" s="457">
        <f t="shared" si="16"/>
        <v>0</v>
      </c>
      <c r="G332" s="457">
        <f t="shared" si="17"/>
        <v>0</v>
      </c>
      <c r="H332" s="513"/>
    </row>
    <row r="333" spans="1:8">
      <c r="B333" s="887"/>
      <c r="C333" s="484" t="s">
        <v>711</v>
      </c>
      <c r="D333" s="518" t="s">
        <v>712</v>
      </c>
      <c r="E333" s="456"/>
      <c r="F333" s="513"/>
      <c r="G333" s="457">
        <f>3%*G328</f>
        <v>36.54</v>
      </c>
      <c r="H333" s="457"/>
    </row>
    <row r="334" spans="1:8">
      <c r="B334" s="855" t="s">
        <v>62</v>
      </c>
      <c r="C334" s="855"/>
      <c r="D334" s="856" t="s">
        <v>61</v>
      </c>
      <c r="E334" s="856"/>
      <c r="F334" s="856"/>
      <c r="G334" s="457">
        <f>SUM(G326:G333)</f>
        <v>13888.54</v>
      </c>
      <c r="H334" s="457"/>
    </row>
    <row r="335" spans="1:8">
      <c r="B335" s="855"/>
      <c r="C335" s="855"/>
      <c r="D335" s="857" t="s">
        <v>573</v>
      </c>
      <c r="E335" s="857"/>
      <c r="F335" s="857"/>
      <c r="G335" s="457">
        <f>INT(15%*G334*100)/100</f>
        <v>2083.2800000000002</v>
      </c>
      <c r="H335" s="457"/>
    </row>
    <row r="336" spans="1:8">
      <c r="B336" s="855"/>
      <c r="C336" s="855"/>
      <c r="D336" s="856" t="s">
        <v>47</v>
      </c>
      <c r="E336" s="856"/>
      <c r="F336" s="856"/>
      <c r="G336" s="457">
        <f>SUM(G334:G335)</f>
        <v>15971.820000000002</v>
      </c>
      <c r="H336" s="457"/>
    </row>
    <row r="338" spans="1:8" ht="27.6">
      <c r="A338" s="507">
        <v>3.1</v>
      </c>
      <c r="B338" s="446" t="s">
        <v>295</v>
      </c>
      <c r="C338" s="876" t="s">
        <v>1140</v>
      </c>
      <c r="D338" s="877"/>
      <c r="E338" s="877"/>
      <c r="F338" s="447" t="s">
        <v>68</v>
      </c>
      <c r="G338" s="448">
        <f>G347</f>
        <v>10306.219999999999</v>
      </c>
      <c r="H338" s="448">
        <f>G349</f>
        <v>11852.15</v>
      </c>
    </row>
    <row r="339" spans="1:8">
      <c r="B339" s="450" t="s">
        <v>80</v>
      </c>
      <c r="C339" s="451" t="s">
        <v>81</v>
      </c>
      <c r="D339" s="451" t="s">
        <v>44</v>
      </c>
      <c r="E339" s="451" t="s">
        <v>45</v>
      </c>
      <c r="F339" s="452" t="s">
        <v>58</v>
      </c>
      <c r="G339" s="452" t="s">
        <v>59</v>
      </c>
      <c r="H339" s="452" t="s">
        <v>52</v>
      </c>
    </row>
    <row r="340" spans="1:8">
      <c r="B340" s="887" t="s">
        <v>60</v>
      </c>
      <c r="C340" s="484" t="s">
        <v>69</v>
      </c>
      <c r="D340" s="488">
        <v>1</v>
      </c>
      <c r="E340" s="451" t="s">
        <v>46</v>
      </c>
      <c r="F340" s="457">
        <f>F326</f>
        <v>1200</v>
      </c>
      <c r="G340" s="457">
        <f t="shared" ref="G340:G345" si="18">TRUNC(D340*F340,2)</f>
        <v>1200</v>
      </c>
      <c r="H340" s="457"/>
    </row>
    <row r="341" spans="1:8">
      <c r="B341" s="887"/>
      <c r="C341" s="484" t="s">
        <v>43</v>
      </c>
      <c r="D341" s="488">
        <v>1.7</v>
      </c>
      <c r="E341" s="451" t="s">
        <v>46</v>
      </c>
      <c r="F341" s="457">
        <f>F327</f>
        <v>870</v>
      </c>
      <c r="G341" s="457">
        <f t="shared" si="18"/>
        <v>1479</v>
      </c>
      <c r="H341" s="457"/>
    </row>
    <row r="342" spans="1:8">
      <c r="B342" s="887"/>
      <c r="C342" s="484" t="s">
        <v>43</v>
      </c>
      <c r="D342" s="488">
        <v>0.2</v>
      </c>
      <c r="E342" s="451" t="s">
        <v>46</v>
      </c>
      <c r="F342" s="457">
        <f>F328</f>
        <v>870</v>
      </c>
      <c r="G342" s="457">
        <f t="shared" si="18"/>
        <v>174</v>
      </c>
      <c r="H342" s="457"/>
    </row>
    <row r="343" spans="1:8">
      <c r="B343" s="887" t="s">
        <v>63</v>
      </c>
      <c r="C343" s="484" t="s">
        <v>709</v>
      </c>
      <c r="D343" s="488">
        <f>D329</f>
        <v>560</v>
      </c>
      <c r="E343" s="451" t="s">
        <v>46</v>
      </c>
      <c r="F343" s="457">
        <f>F329</f>
        <v>13</v>
      </c>
      <c r="G343" s="457">
        <f t="shared" si="18"/>
        <v>7280</v>
      </c>
      <c r="H343" s="457"/>
    </row>
    <row r="344" spans="1:8">
      <c r="B344" s="887"/>
      <c r="C344" s="484" t="s">
        <v>147</v>
      </c>
      <c r="D344" s="488">
        <v>0.42</v>
      </c>
      <c r="E344" s="451" t="s">
        <v>68</v>
      </c>
      <c r="F344" s="457">
        <f>F122</f>
        <v>400</v>
      </c>
      <c r="G344" s="457">
        <f>TRUNC(D344*F344,2)</f>
        <v>168</v>
      </c>
      <c r="H344" s="457"/>
    </row>
    <row r="345" spans="1:8">
      <c r="B345" s="887"/>
      <c r="C345" s="484" t="s">
        <v>267</v>
      </c>
      <c r="D345" s="488">
        <v>100</v>
      </c>
      <c r="E345" s="451" t="s">
        <v>107</v>
      </c>
      <c r="F345" s="457">
        <f>LOOKUP(C345,'Basic Rate'!$B$8:$B$328,'Basic Rate'!$F$8:$F$328)</f>
        <v>0</v>
      </c>
      <c r="G345" s="457">
        <f t="shared" si="18"/>
        <v>0</v>
      </c>
      <c r="H345" s="513"/>
    </row>
    <row r="346" spans="1:8">
      <c r="B346" s="887"/>
      <c r="C346" s="484" t="s">
        <v>711</v>
      </c>
      <c r="D346" s="518" t="s">
        <v>712</v>
      </c>
      <c r="E346" s="456"/>
      <c r="F346" s="513"/>
      <c r="G346" s="457">
        <f>3%*G342</f>
        <v>5.22</v>
      </c>
      <c r="H346" s="457"/>
    </row>
    <row r="347" spans="1:8">
      <c r="B347" s="855" t="s">
        <v>62</v>
      </c>
      <c r="C347" s="855"/>
      <c r="D347" s="856" t="s">
        <v>61</v>
      </c>
      <c r="E347" s="856"/>
      <c r="F347" s="856"/>
      <c r="G347" s="457">
        <f>SUM(G340:G346)</f>
        <v>10306.219999999999</v>
      </c>
      <c r="H347" s="457"/>
    </row>
    <row r="348" spans="1:8">
      <c r="B348" s="855"/>
      <c r="C348" s="855"/>
      <c r="D348" s="857" t="s">
        <v>573</v>
      </c>
      <c r="E348" s="857"/>
      <c r="F348" s="857"/>
      <c r="G348" s="457">
        <f>INT(15%*G347*100)/100</f>
        <v>1545.93</v>
      </c>
      <c r="H348" s="457"/>
    </row>
    <row r="349" spans="1:8">
      <c r="B349" s="855"/>
      <c r="C349" s="855"/>
      <c r="D349" s="856" t="s">
        <v>47</v>
      </c>
      <c r="E349" s="856"/>
      <c r="F349" s="856"/>
      <c r="G349" s="457">
        <f>SUM(G347:G348)</f>
        <v>11852.15</v>
      </c>
      <c r="H349" s="457"/>
    </row>
    <row r="350" spans="1:8">
      <c r="C350" s="459"/>
      <c r="F350" s="462"/>
      <c r="G350" s="460"/>
      <c r="H350" s="460"/>
    </row>
    <row r="351" spans="1:8" ht="27.6">
      <c r="A351" s="445">
        <v>3.11</v>
      </c>
      <c r="B351" s="446" t="s">
        <v>296</v>
      </c>
      <c r="C351" s="876" t="s">
        <v>1141</v>
      </c>
      <c r="D351" s="877"/>
      <c r="E351" s="877"/>
      <c r="F351" s="447" t="s">
        <v>68</v>
      </c>
      <c r="G351" s="448">
        <f>G360</f>
        <v>10754.27</v>
      </c>
      <c r="H351" s="448">
        <f>G362</f>
        <v>12367.41</v>
      </c>
    </row>
    <row r="352" spans="1:8">
      <c r="B352" s="450" t="s">
        <v>80</v>
      </c>
      <c r="C352" s="451" t="s">
        <v>81</v>
      </c>
      <c r="D352" s="451" t="s">
        <v>44</v>
      </c>
      <c r="E352" s="451" t="s">
        <v>45</v>
      </c>
      <c r="F352" s="452" t="s">
        <v>58</v>
      </c>
      <c r="G352" s="452" t="s">
        <v>59</v>
      </c>
      <c r="H352" s="452" t="s">
        <v>52</v>
      </c>
    </row>
    <row r="353" spans="1:8">
      <c r="B353" s="864" t="s">
        <v>60</v>
      </c>
      <c r="C353" s="484" t="s">
        <v>69</v>
      </c>
      <c r="D353" s="488">
        <v>1</v>
      </c>
      <c r="E353" s="451" t="s">
        <v>46</v>
      </c>
      <c r="F353" s="457">
        <f t="shared" ref="F353:F358" si="19">F340</f>
        <v>1200</v>
      </c>
      <c r="G353" s="457">
        <f t="shared" ref="G353:G358" si="20">TRUNC(D353*F353,2)</f>
        <v>1200</v>
      </c>
      <c r="H353" s="457"/>
    </row>
    <row r="354" spans="1:8">
      <c r="B354" s="868"/>
      <c r="C354" s="484" t="s">
        <v>43</v>
      </c>
      <c r="D354" s="488">
        <v>1.7</v>
      </c>
      <c r="E354" s="451" t="s">
        <v>46</v>
      </c>
      <c r="F354" s="457">
        <f t="shared" si="19"/>
        <v>870</v>
      </c>
      <c r="G354" s="457">
        <f t="shared" si="20"/>
        <v>1479</v>
      </c>
      <c r="H354" s="457"/>
    </row>
    <row r="355" spans="1:8">
      <c r="B355" s="865"/>
      <c r="C355" s="484" t="s">
        <v>43</v>
      </c>
      <c r="D355" s="488">
        <v>0.7</v>
      </c>
      <c r="E355" s="451" t="s">
        <v>46</v>
      </c>
      <c r="F355" s="457">
        <f t="shared" si="19"/>
        <v>870</v>
      </c>
      <c r="G355" s="457">
        <f t="shared" si="20"/>
        <v>609</v>
      </c>
      <c r="H355" s="457"/>
    </row>
    <row r="356" spans="1:8">
      <c r="B356" s="864" t="s">
        <v>63</v>
      </c>
      <c r="C356" s="484" t="s">
        <v>709</v>
      </c>
      <c r="D356" s="488">
        <f>D343</f>
        <v>560</v>
      </c>
      <c r="E356" s="451" t="s">
        <v>46</v>
      </c>
      <c r="F356" s="457">
        <f t="shared" si="19"/>
        <v>13</v>
      </c>
      <c r="G356" s="457">
        <f t="shared" si="20"/>
        <v>7280</v>
      </c>
      <c r="H356" s="457"/>
    </row>
    <row r="357" spans="1:8">
      <c r="B357" s="868"/>
      <c r="C357" s="484" t="s">
        <v>147</v>
      </c>
      <c r="D357" s="488">
        <v>0.42</v>
      </c>
      <c r="E357" s="451" t="s">
        <v>68</v>
      </c>
      <c r="F357" s="457">
        <f t="shared" si="19"/>
        <v>400</v>
      </c>
      <c r="G357" s="457">
        <f t="shared" si="20"/>
        <v>168</v>
      </c>
      <c r="H357" s="457"/>
    </row>
    <row r="358" spans="1:8">
      <c r="B358" s="868"/>
      <c r="C358" s="484" t="s">
        <v>267</v>
      </c>
      <c r="D358" s="488">
        <v>100</v>
      </c>
      <c r="E358" s="451" t="s">
        <v>107</v>
      </c>
      <c r="F358" s="457">
        <f t="shared" si="19"/>
        <v>0</v>
      </c>
      <c r="G358" s="457">
        <f t="shared" si="20"/>
        <v>0</v>
      </c>
      <c r="H358" s="513"/>
    </row>
    <row r="359" spans="1:8">
      <c r="B359" s="865"/>
      <c r="C359" s="484" t="s">
        <v>711</v>
      </c>
      <c r="D359" s="518" t="s">
        <v>712</v>
      </c>
      <c r="E359" s="456"/>
      <c r="F359" s="513"/>
      <c r="G359" s="457">
        <f>3%*G355</f>
        <v>18.27</v>
      </c>
      <c r="H359" s="457"/>
    </row>
    <row r="360" spans="1:8">
      <c r="B360" s="855" t="s">
        <v>62</v>
      </c>
      <c r="C360" s="855"/>
      <c r="D360" s="856" t="s">
        <v>61</v>
      </c>
      <c r="E360" s="856"/>
      <c r="F360" s="856"/>
      <c r="G360" s="457">
        <f>SUM(G353:G359)</f>
        <v>10754.27</v>
      </c>
      <c r="H360" s="457"/>
    </row>
    <row r="361" spans="1:8">
      <c r="B361" s="855"/>
      <c r="C361" s="855"/>
      <c r="D361" s="857" t="s">
        <v>573</v>
      </c>
      <c r="E361" s="857"/>
      <c r="F361" s="857"/>
      <c r="G361" s="457">
        <f>INT(15%*G360*100)/100</f>
        <v>1613.14</v>
      </c>
      <c r="H361" s="457"/>
    </row>
    <row r="362" spans="1:8">
      <c r="B362" s="855"/>
      <c r="C362" s="855"/>
      <c r="D362" s="856" t="s">
        <v>47</v>
      </c>
      <c r="E362" s="856"/>
      <c r="F362" s="856"/>
      <c r="G362" s="457">
        <f>SUM(G360:G361)</f>
        <v>12367.41</v>
      </c>
      <c r="H362" s="457"/>
    </row>
    <row r="363" spans="1:8">
      <c r="C363" s="459"/>
      <c r="F363" s="462"/>
      <c r="G363" s="460"/>
      <c r="H363" s="460"/>
    </row>
    <row r="364" spans="1:8" ht="27.6">
      <c r="A364" s="445">
        <v>3.12</v>
      </c>
      <c r="B364" s="446" t="s">
        <v>297</v>
      </c>
      <c r="C364" s="876" t="s">
        <v>1142</v>
      </c>
      <c r="D364" s="877"/>
      <c r="E364" s="877"/>
      <c r="F364" s="447" t="s">
        <v>68</v>
      </c>
      <c r="G364" s="448">
        <f>G373</f>
        <v>11381.54</v>
      </c>
      <c r="H364" s="448">
        <f>G375</f>
        <v>13088.77</v>
      </c>
    </row>
    <row r="365" spans="1:8">
      <c r="B365" s="450" t="s">
        <v>80</v>
      </c>
      <c r="C365" s="451" t="s">
        <v>81</v>
      </c>
      <c r="D365" s="451" t="s">
        <v>44</v>
      </c>
      <c r="E365" s="451" t="s">
        <v>45</v>
      </c>
      <c r="F365" s="452" t="s">
        <v>58</v>
      </c>
      <c r="G365" s="452" t="s">
        <v>59</v>
      </c>
      <c r="H365" s="452" t="s">
        <v>52</v>
      </c>
    </row>
    <row r="366" spans="1:8">
      <c r="B366" s="864" t="s">
        <v>60</v>
      </c>
      <c r="C366" s="484" t="s">
        <v>69</v>
      </c>
      <c r="D366" s="488">
        <v>1</v>
      </c>
      <c r="E366" s="451" t="s">
        <v>46</v>
      </c>
      <c r="F366" s="457">
        <f t="shared" ref="F366:F371" si="21">F353</f>
        <v>1200</v>
      </c>
      <c r="G366" s="457">
        <f t="shared" ref="G366:G371" si="22">TRUNC(D366*F366,2)</f>
        <v>1200</v>
      </c>
      <c r="H366" s="457"/>
    </row>
    <row r="367" spans="1:8">
      <c r="B367" s="868"/>
      <c r="C367" s="484" t="s">
        <v>43</v>
      </c>
      <c r="D367" s="488">
        <v>1.7</v>
      </c>
      <c r="E367" s="451" t="s">
        <v>46</v>
      </c>
      <c r="F367" s="457">
        <f t="shared" si="21"/>
        <v>870</v>
      </c>
      <c r="G367" s="457">
        <f t="shared" si="22"/>
        <v>1479</v>
      </c>
      <c r="H367" s="457"/>
    </row>
    <row r="368" spans="1:8">
      <c r="B368" s="865"/>
      <c r="C368" s="484" t="s">
        <v>43</v>
      </c>
      <c r="D368" s="488">
        <v>1.4</v>
      </c>
      <c r="E368" s="451" t="s">
        <v>46</v>
      </c>
      <c r="F368" s="457">
        <f t="shared" si="21"/>
        <v>870</v>
      </c>
      <c r="G368" s="457">
        <f t="shared" si="22"/>
        <v>1218</v>
      </c>
      <c r="H368" s="457"/>
    </row>
    <row r="369" spans="1:8">
      <c r="B369" s="864" t="s">
        <v>63</v>
      </c>
      <c r="C369" s="484" t="s">
        <v>709</v>
      </c>
      <c r="D369" s="488">
        <f>D356</f>
        <v>560</v>
      </c>
      <c r="E369" s="451" t="s">
        <v>46</v>
      </c>
      <c r="F369" s="457">
        <f t="shared" si="21"/>
        <v>13</v>
      </c>
      <c r="G369" s="457">
        <f t="shared" si="22"/>
        <v>7280</v>
      </c>
      <c r="H369" s="457"/>
    </row>
    <row r="370" spans="1:8">
      <c r="B370" s="868"/>
      <c r="C370" s="484" t="s">
        <v>147</v>
      </c>
      <c r="D370" s="488">
        <v>0.42</v>
      </c>
      <c r="E370" s="451" t="s">
        <v>68</v>
      </c>
      <c r="F370" s="457">
        <f t="shared" si="21"/>
        <v>400</v>
      </c>
      <c r="G370" s="457">
        <f t="shared" si="22"/>
        <v>168</v>
      </c>
      <c r="H370" s="457"/>
    </row>
    <row r="371" spans="1:8">
      <c r="B371" s="868"/>
      <c r="C371" s="484" t="s">
        <v>267</v>
      </c>
      <c r="D371" s="488">
        <v>100</v>
      </c>
      <c r="E371" s="451" t="s">
        <v>107</v>
      </c>
      <c r="F371" s="457">
        <f t="shared" si="21"/>
        <v>0</v>
      </c>
      <c r="G371" s="457">
        <f t="shared" si="22"/>
        <v>0</v>
      </c>
      <c r="H371" s="513"/>
    </row>
    <row r="372" spans="1:8">
      <c r="B372" s="865"/>
      <c r="C372" s="484" t="s">
        <v>711</v>
      </c>
      <c r="D372" s="518" t="s">
        <v>712</v>
      </c>
      <c r="E372" s="456"/>
      <c r="F372" s="513"/>
      <c r="G372" s="457">
        <f>3%*G368</f>
        <v>36.54</v>
      </c>
      <c r="H372" s="457"/>
    </row>
    <row r="373" spans="1:8">
      <c r="B373" s="855" t="s">
        <v>62</v>
      </c>
      <c r="C373" s="855"/>
      <c r="D373" s="856" t="s">
        <v>61</v>
      </c>
      <c r="E373" s="856"/>
      <c r="F373" s="856"/>
      <c r="G373" s="457">
        <f>SUM(G366:G372)</f>
        <v>11381.54</v>
      </c>
      <c r="H373" s="457"/>
    </row>
    <row r="374" spans="1:8">
      <c r="B374" s="855"/>
      <c r="C374" s="855"/>
      <c r="D374" s="857" t="s">
        <v>573</v>
      </c>
      <c r="E374" s="857"/>
      <c r="F374" s="857"/>
      <c r="G374" s="457">
        <f>INT(15%*G373*100)/100</f>
        <v>1707.23</v>
      </c>
      <c r="H374" s="457"/>
    </row>
    <row r="375" spans="1:8">
      <c r="B375" s="855"/>
      <c r="C375" s="855"/>
      <c r="D375" s="856" t="s">
        <v>47</v>
      </c>
      <c r="E375" s="856"/>
      <c r="F375" s="856"/>
      <c r="G375" s="457">
        <f>SUM(G373:G374)</f>
        <v>13088.77</v>
      </c>
      <c r="H375" s="457"/>
    </row>
    <row r="376" spans="1:8">
      <c r="C376" s="459"/>
      <c r="F376" s="462"/>
      <c r="G376" s="460"/>
      <c r="H376" s="460"/>
    </row>
    <row r="377" spans="1:8" s="495" customFormat="1" ht="25.5" customHeight="1">
      <c r="A377" s="445">
        <v>3.13</v>
      </c>
      <c r="B377" s="446" t="s">
        <v>298</v>
      </c>
      <c r="C377" s="888" t="s">
        <v>0</v>
      </c>
      <c r="D377" s="889"/>
      <c r="E377" s="889"/>
      <c r="F377" s="447" t="s">
        <v>68</v>
      </c>
      <c r="G377" s="448">
        <f>G386</f>
        <v>11881</v>
      </c>
      <c r="H377" s="448">
        <f>G388</f>
        <v>13663.15</v>
      </c>
    </row>
    <row r="378" spans="1:8">
      <c r="B378" s="450" t="s">
        <v>80</v>
      </c>
      <c r="C378" s="451" t="s">
        <v>81</v>
      </c>
      <c r="D378" s="451" t="s">
        <v>44</v>
      </c>
      <c r="E378" s="451" t="s">
        <v>45</v>
      </c>
      <c r="F378" s="452" t="s">
        <v>58</v>
      </c>
      <c r="G378" s="452" t="s">
        <v>59</v>
      </c>
      <c r="H378" s="452" t="s">
        <v>52</v>
      </c>
    </row>
    <row r="379" spans="1:8">
      <c r="B379" s="864" t="s">
        <v>60</v>
      </c>
      <c r="C379" s="484" t="s">
        <v>69</v>
      </c>
      <c r="D379" s="488">
        <v>1.5</v>
      </c>
      <c r="E379" s="451" t="s">
        <v>46</v>
      </c>
      <c r="F379" s="457">
        <f>F366</f>
        <v>1200</v>
      </c>
      <c r="G379" s="457">
        <f t="shared" ref="G379:G385" si="23">TRUNC(D379*F379,2)</f>
        <v>1800</v>
      </c>
      <c r="H379" s="457"/>
    </row>
    <row r="380" spans="1:8">
      <c r="B380" s="865"/>
      <c r="C380" s="484" t="s">
        <v>43</v>
      </c>
      <c r="D380" s="488">
        <v>5</v>
      </c>
      <c r="E380" s="451" t="s">
        <v>46</v>
      </c>
      <c r="F380" s="457">
        <f>F367</f>
        <v>870</v>
      </c>
      <c r="G380" s="457">
        <f t="shared" si="23"/>
        <v>4350</v>
      </c>
      <c r="H380" s="457"/>
    </row>
    <row r="381" spans="1:8">
      <c r="B381" s="864" t="s">
        <v>63</v>
      </c>
      <c r="C381" s="484" t="s">
        <v>70</v>
      </c>
      <c r="D381" s="488">
        <v>0.19400000000000001</v>
      </c>
      <c r="E381" s="451" t="s">
        <v>71</v>
      </c>
      <c r="F381" s="457">
        <f>'Basic Rate'!F35</f>
        <v>14000</v>
      </c>
      <c r="G381" s="457">
        <f t="shared" si="23"/>
        <v>2716</v>
      </c>
      <c r="H381" s="457"/>
    </row>
    <row r="382" spans="1:8">
      <c r="B382" s="868"/>
      <c r="C382" s="528" t="str">
        <f>C331</f>
        <v>Sand crusher</v>
      </c>
      <c r="D382" s="488">
        <v>0.42</v>
      </c>
      <c r="E382" s="451" t="s">
        <v>68</v>
      </c>
      <c r="F382" s="457">
        <f>'Basic Rate'!F173</f>
        <v>2200</v>
      </c>
      <c r="G382" s="457">
        <f t="shared" si="23"/>
        <v>924</v>
      </c>
      <c r="H382" s="457"/>
    </row>
    <row r="383" spans="1:8">
      <c r="B383" s="868"/>
      <c r="C383" s="484" t="s">
        <v>153</v>
      </c>
      <c r="D383" s="488">
        <v>1</v>
      </c>
      <c r="E383" s="451" t="s">
        <v>68</v>
      </c>
      <c r="F383" s="457">
        <f>'Basic Rate'!F189</f>
        <v>1910</v>
      </c>
      <c r="G383" s="457">
        <f t="shared" si="23"/>
        <v>1910</v>
      </c>
      <c r="H383" s="457"/>
    </row>
    <row r="384" spans="1:8">
      <c r="B384" s="868"/>
      <c r="C384" s="484" t="s">
        <v>154</v>
      </c>
      <c r="D384" s="488">
        <v>0.1</v>
      </c>
      <c r="E384" s="451" t="s">
        <v>68</v>
      </c>
      <c r="F384" s="457">
        <f>'Basic Rate'!F190</f>
        <v>1810</v>
      </c>
      <c r="G384" s="457">
        <f t="shared" si="23"/>
        <v>181</v>
      </c>
      <c r="H384" s="457"/>
    </row>
    <row r="385" spans="1:8">
      <c r="B385" s="865"/>
      <c r="C385" s="484" t="s">
        <v>267</v>
      </c>
      <c r="D385" s="488">
        <v>120</v>
      </c>
      <c r="E385" s="451" t="s">
        <v>107</v>
      </c>
      <c r="F385" s="457">
        <f>F371</f>
        <v>0</v>
      </c>
      <c r="G385" s="457">
        <f t="shared" si="23"/>
        <v>0</v>
      </c>
      <c r="H385" s="513"/>
    </row>
    <row r="386" spans="1:8">
      <c r="B386" s="855" t="s">
        <v>62</v>
      </c>
      <c r="C386" s="855"/>
      <c r="D386" s="856" t="s">
        <v>61</v>
      </c>
      <c r="E386" s="856"/>
      <c r="F386" s="856"/>
      <c r="G386" s="457">
        <f>SUM(G379:G385)</f>
        <v>11881</v>
      </c>
      <c r="H386" s="457"/>
    </row>
    <row r="387" spans="1:8" ht="12.75" customHeight="1">
      <c r="B387" s="855"/>
      <c r="C387" s="855"/>
      <c r="D387" s="857" t="s">
        <v>573</v>
      </c>
      <c r="E387" s="857"/>
      <c r="F387" s="857"/>
      <c r="G387" s="457">
        <f>INT(15%*G386*100)/100</f>
        <v>1782.15</v>
      </c>
      <c r="H387" s="457"/>
    </row>
    <row r="388" spans="1:8" ht="12.75" customHeight="1">
      <c r="B388" s="855"/>
      <c r="C388" s="855"/>
      <c r="D388" s="856" t="s">
        <v>47</v>
      </c>
      <c r="E388" s="856"/>
      <c r="F388" s="856"/>
      <c r="G388" s="457">
        <f>SUM(G386:G387)</f>
        <v>13663.15</v>
      </c>
      <c r="H388" s="457"/>
    </row>
    <row r="389" spans="1:8">
      <c r="F389" s="462"/>
      <c r="G389" s="460"/>
      <c r="H389" s="460"/>
    </row>
    <row r="390" spans="1:8" ht="21" customHeight="1">
      <c r="A390" s="445">
        <v>3.14</v>
      </c>
      <c r="B390" s="446" t="s">
        <v>299</v>
      </c>
      <c r="C390" s="891" t="s">
        <v>1</v>
      </c>
      <c r="D390" s="891"/>
      <c r="E390" s="891"/>
      <c r="F390" s="447" t="s">
        <v>68</v>
      </c>
      <c r="G390" s="448">
        <f>G399</f>
        <v>11457</v>
      </c>
      <c r="H390" s="448">
        <f>G401</f>
        <v>13175.55</v>
      </c>
    </row>
    <row r="391" spans="1:8">
      <c r="B391" s="450" t="s">
        <v>80</v>
      </c>
      <c r="C391" s="451" t="s">
        <v>81</v>
      </c>
      <c r="D391" s="451" t="s">
        <v>44</v>
      </c>
      <c r="E391" s="451" t="s">
        <v>45</v>
      </c>
      <c r="F391" s="452" t="s">
        <v>58</v>
      </c>
      <c r="G391" s="452" t="s">
        <v>59</v>
      </c>
      <c r="H391" s="452" t="s">
        <v>52</v>
      </c>
    </row>
    <row r="392" spans="1:8">
      <c r="B392" s="864" t="s">
        <v>60</v>
      </c>
      <c r="C392" s="484" t="s">
        <v>69</v>
      </c>
      <c r="D392" s="488">
        <v>1.5</v>
      </c>
      <c r="E392" s="451" t="s">
        <v>46</v>
      </c>
      <c r="F392" s="457">
        <f t="shared" ref="F392:F398" si="24">F379</f>
        <v>1200</v>
      </c>
      <c r="G392" s="457">
        <f t="shared" ref="G392:G398" si="25">TRUNC(D392*F392,2)</f>
        <v>1800</v>
      </c>
      <c r="H392" s="457"/>
    </row>
    <row r="393" spans="1:8">
      <c r="B393" s="865"/>
      <c r="C393" s="484" t="s">
        <v>43</v>
      </c>
      <c r="D393" s="488">
        <v>5</v>
      </c>
      <c r="E393" s="451" t="s">
        <v>46</v>
      </c>
      <c r="F393" s="457">
        <f t="shared" si="24"/>
        <v>870</v>
      </c>
      <c r="G393" s="457">
        <f t="shared" si="25"/>
        <v>4350</v>
      </c>
      <c r="H393" s="457"/>
    </row>
    <row r="394" spans="1:8">
      <c r="B394" s="864" t="s">
        <v>63</v>
      </c>
      <c r="C394" s="484" t="s">
        <v>70</v>
      </c>
      <c r="D394" s="488">
        <v>0.159</v>
      </c>
      <c r="E394" s="451" t="s">
        <v>71</v>
      </c>
      <c r="F394" s="457">
        <f t="shared" si="24"/>
        <v>14000</v>
      </c>
      <c r="G394" s="457">
        <f t="shared" si="25"/>
        <v>2226</v>
      </c>
      <c r="H394" s="457"/>
    </row>
    <row r="395" spans="1:8">
      <c r="B395" s="868"/>
      <c r="C395" s="528" t="str">
        <f>C331</f>
        <v>Sand crusher</v>
      </c>
      <c r="D395" s="488">
        <v>0.45</v>
      </c>
      <c r="E395" s="451" t="s">
        <v>68</v>
      </c>
      <c r="F395" s="457">
        <f t="shared" si="24"/>
        <v>2200</v>
      </c>
      <c r="G395" s="457">
        <f t="shared" si="25"/>
        <v>990</v>
      </c>
      <c r="H395" s="457"/>
    </row>
    <row r="396" spans="1:8">
      <c r="B396" s="868"/>
      <c r="C396" s="484" t="s">
        <v>153</v>
      </c>
      <c r="D396" s="488">
        <v>1</v>
      </c>
      <c r="E396" s="451" t="s">
        <v>68</v>
      </c>
      <c r="F396" s="457">
        <f t="shared" si="24"/>
        <v>1910</v>
      </c>
      <c r="G396" s="457">
        <f t="shared" si="25"/>
        <v>1910</v>
      </c>
      <c r="H396" s="457"/>
    </row>
    <row r="397" spans="1:8">
      <c r="B397" s="868"/>
      <c r="C397" s="484" t="s">
        <v>154</v>
      </c>
      <c r="D397" s="488">
        <v>0.1</v>
      </c>
      <c r="E397" s="451" t="s">
        <v>68</v>
      </c>
      <c r="F397" s="457">
        <f t="shared" si="24"/>
        <v>1810</v>
      </c>
      <c r="G397" s="457">
        <f t="shared" si="25"/>
        <v>181</v>
      </c>
      <c r="H397" s="457"/>
    </row>
    <row r="398" spans="1:8">
      <c r="B398" s="865"/>
      <c r="C398" s="484" t="s">
        <v>267</v>
      </c>
      <c r="D398" s="488">
        <v>100</v>
      </c>
      <c r="E398" s="451" t="s">
        <v>107</v>
      </c>
      <c r="F398" s="457">
        <f t="shared" si="24"/>
        <v>0</v>
      </c>
      <c r="G398" s="457">
        <f t="shared" si="25"/>
        <v>0</v>
      </c>
      <c r="H398" s="513"/>
    </row>
    <row r="399" spans="1:8">
      <c r="B399" s="855" t="s">
        <v>62</v>
      </c>
      <c r="C399" s="855"/>
      <c r="D399" s="856" t="s">
        <v>61</v>
      </c>
      <c r="E399" s="856"/>
      <c r="F399" s="856"/>
      <c r="G399" s="457">
        <f>SUM(G392:G398)</f>
        <v>11457</v>
      </c>
      <c r="H399" s="457"/>
    </row>
    <row r="400" spans="1:8">
      <c r="B400" s="855"/>
      <c r="C400" s="855"/>
      <c r="D400" s="857" t="s">
        <v>573</v>
      </c>
      <c r="E400" s="857"/>
      <c r="F400" s="857"/>
      <c r="G400" s="457">
        <f>INT(15%*G399*100)/100</f>
        <v>1718.55</v>
      </c>
      <c r="H400" s="457"/>
    </row>
    <row r="401" spans="1:8">
      <c r="B401" s="855"/>
      <c r="C401" s="855"/>
      <c r="D401" s="856" t="s">
        <v>47</v>
      </c>
      <c r="E401" s="856"/>
      <c r="F401" s="856"/>
      <c r="G401" s="457">
        <f>SUM(G399:G400)</f>
        <v>13175.55</v>
      </c>
      <c r="H401" s="457"/>
    </row>
    <row r="403" spans="1:8" ht="27.6">
      <c r="A403" s="445">
        <v>3.15</v>
      </c>
      <c r="B403" s="446" t="s">
        <v>300</v>
      </c>
      <c r="C403" s="876" t="s">
        <v>2</v>
      </c>
      <c r="D403" s="877"/>
      <c r="E403" s="877"/>
      <c r="F403" s="447" t="s">
        <v>68</v>
      </c>
      <c r="G403" s="448">
        <f>G412</f>
        <v>10759</v>
      </c>
      <c r="H403" s="448">
        <f>G414</f>
        <v>12372.85</v>
      </c>
    </row>
    <row r="404" spans="1:8">
      <c r="B404" s="450" t="s">
        <v>80</v>
      </c>
      <c r="C404" s="451" t="s">
        <v>81</v>
      </c>
      <c r="D404" s="451" t="s">
        <v>44</v>
      </c>
      <c r="E404" s="451" t="s">
        <v>45</v>
      </c>
      <c r="F404" s="452" t="s">
        <v>58</v>
      </c>
      <c r="G404" s="452" t="s">
        <v>59</v>
      </c>
      <c r="H404" s="452" t="s">
        <v>52</v>
      </c>
    </row>
    <row r="405" spans="1:8">
      <c r="B405" s="864" t="s">
        <v>60</v>
      </c>
      <c r="C405" s="484" t="s">
        <v>69</v>
      </c>
      <c r="D405" s="488">
        <v>1.5</v>
      </c>
      <c r="E405" s="451" t="s">
        <v>46</v>
      </c>
      <c r="F405" s="457">
        <f>F392</f>
        <v>1200</v>
      </c>
      <c r="G405" s="457">
        <f t="shared" ref="G405:G411" si="26">TRUNC(D405*F405,2)</f>
        <v>1800</v>
      </c>
      <c r="H405" s="457"/>
    </row>
    <row r="406" spans="1:8">
      <c r="B406" s="865"/>
      <c r="C406" s="484" t="s">
        <v>43</v>
      </c>
      <c r="D406" s="488">
        <v>5</v>
      </c>
      <c r="E406" s="451" t="s">
        <v>46</v>
      </c>
      <c r="F406" s="457">
        <f>F393</f>
        <v>870</v>
      </c>
      <c r="G406" s="457">
        <f t="shared" si="26"/>
        <v>4350</v>
      </c>
      <c r="H406" s="457"/>
    </row>
    <row r="407" spans="1:8">
      <c r="B407" s="864" t="s">
        <v>63</v>
      </c>
      <c r="C407" s="484" t="s">
        <v>70</v>
      </c>
      <c r="D407" s="488">
        <v>0.106</v>
      </c>
      <c r="E407" s="451" t="s">
        <v>71</v>
      </c>
      <c r="F407" s="457">
        <f>F394</f>
        <v>14000</v>
      </c>
      <c r="G407" s="457">
        <f t="shared" si="26"/>
        <v>1484</v>
      </c>
      <c r="H407" s="457"/>
    </row>
    <row r="408" spans="1:8">
      <c r="B408" s="868"/>
      <c r="C408" s="528" t="str">
        <f>C395</f>
        <v>Sand crusher</v>
      </c>
      <c r="D408" s="488">
        <v>0.47</v>
      </c>
      <c r="E408" s="451" t="s">
        <v>68</v>
      </c>
      <c r="F408" s="457">
        <f>F395</f>
        <v>2200</v>
      </c>
      <c r="G408" s="457">
        <f t="shared" si="26"/>
        <v>1034</v>
      </c>
      <c r="H408" s="457"/>
    </row>
    <row r="409" spans="1:8">
      <c r="B409" s="868"/>
      <c r="C409" s="484" t="s">
        <v>153</v>
      </c>
      <c r="D409" s="488">
        <v>1</v>
      </c>
      <c r="E409" s="451" t="s">
        <v>68</v>
      </c>
      <c r="F409" s="457">
        <f>F396</f>
        <v>1910</v>
      </c>
      <c r="G409" s="457">
        <f t="shared" si="26"/>
        <v>1910</v>
      </c>
      <c r="H409" s="457"/>
    </row>
    <row r="410" spans="1:8">
      <c r="B410" s="865"/>
      <c r="C410" s="484" t="s">
        <v>154</v>
      </c>
      <c r="D410" s="488">
        <v>0.1</v>
      </c>
      <c r="E410" s="451" t="s">
        <v>68</v>
      </c>
      <c r="F410" s="457">
        <f>'Basic Rate'!F190</f>
        <v>1810</v>
      </c>
      <c r="G410" s="457">
        <f t="shared" si="26"/>
        <v>181</v>
      </c>
      <c r="H410" s="457"/>
    </row>
    <row r="411" spans="1:8">
      <c r="B411" s="529"/>
      <c r="C411" s="484" t="s">
        <v>267</v>
      </c>
      <c r="D411" s="488">
        <v>70</v>
      </c>
      <c r="E411" s="451" t="s">
        <v>107</v>
      </c>
      <c r="F411" s="457">
        <f>F398</f>
        <v>0</v>
      </c>
      <c r="G411" s="457">
        <f t="shared" si="26"/>
        <v>0</v>
      </c>
      <c r="H411" s="513"/>
    </row>
    <row r="412" spans="1:8">
      <c r="B412" s="855" t="s">
        <v>62</v>
      </c>
      <c r="C412" s="855"/>
      <c r="D412" s="856" t="s">
        <v>61</v>
      </c>
      <c r="E412" s="856"/>
      <c r="F412" s="856"/>
      <c r="G412" s="457">
        <f>SUM(G405:G411)</f>
        <v>10759</v>
      </c>
      <c r="H412" s="457"/>
    </row>
    <row r="413" spans="1:8">
      <c r="B413" s="855"/>
      <c r="C413" s="855"/>
      <c r="D413" s="857" t="s">
        <v>573</v>
      </c>
      <c r="E413" s="857"/>
      <c r="F413" s="857"/>
      <c r="G413" s="457">
        <f>INT(15%*G412*100)/100</f>
        <v>1613.85</v>
      </c>
      <c r="H413" s="457"/>
    </row>
    <row r="414" spans="1:8">
      <c r="B414" s="855"/>
      <c r="C414" s="855"/>
      <c r="D414" s="856" t="s">
        <v>47</v>
      </c>
      <c r="E414" s="856"/>
      <c r="F414" s="856"/>
      <c r="G414" s="457">
        <f>SUM(G412:G413)</f>
        <v>12372.85</v>
      </c>
      <c r="H414" s="457"/>
    </row>
    <row r="416" spans="1:8" ht="26.55" customHeight="1">
      <c r="A416" s="445" t="s">
        <v>699</v>
      </c>
      <c r="B416" s="446" t="s">
        <v>1052</v>
      </c>
      <c r="C416" s="891" t="s">
        <v>1051</v>
      </c>
      <c r="D416" s="891"/>
      <c r="E416" s="891"/>
      <c r="F416" s="447" t="s">
        <v>68</v>
      </c>
      <c r="G416" s="448">
        <f>G424/10</f>
        <v>0</v>
      </c>
      <c r="H416" s="448">
        <f>G426/10</f>
        <v>0</v>
      </c>
    </row>
    <row r="417" spans="1:8">
      <c r="B417" s="450" t="s">
        <v>80</v>
      </c>
      <c r="C417" s="451" t="s">
        <v>81</v>
      </c>
      <c r="D417" s="451" t="s">
        <v>44</v>
      </c>
      <c r="E417" s="451" t="s">
        <v>45</v>
      </c>
      <c r="F417" s="452" t="s">
        <v>58</v>
      </c>
      <c r="G417" s="452" t="s">
        <v>59</v>
      </c>
      <c r="H417" s="452" t="s">
        <v>52</v>
      </c>
    </row>
    <row r="418" spans="1:8">
      <c r="B418" s="864" t="s">
        <v>60</v>
      </c>
      <c r="C418" s="484" t="s">
        <v>69</v>
      </c>
      <c r="D418" s="488">
        <v>15</v>
      </c>
      <c r="E418" s="451" t="s">
        <v>46</v>
      </c>
      <c r="F418" s="457">
        <f>F405</f>
        <v>1200</v>
      </c>
      <c r="G418" s="457">
        <f t="shared" ref="G418:G423" si="27">TRUNC(D418*F418,2)</f>
        <v>18000</v>
      </c>
      <c r="H418" s="457"/>
    </row>
    <row r="419" spans="1:8">
      <c r="B419" s="865"/>
      <c r="C419" s="484" t="s">
        <v>43</v>
      </c>
      <c r="D419" s="488">
        <v>30</v>
      </c>
      <c r="E419" s="451" t="s">
        <v>46</v>
      </c>
      <c r="F419" s="457">
        <f>F406</f>
        <v>870</v>
      </c>
      <c r="G419" s="457">
        <f t="shared" si="27"/>
        <v>26100</v>
      </c>
      <c r="H419" s="457"/>
    </row>
    <row r="420" spans="1:8">
      <c r="B420" s="864" t="s">
        <v>63</v>
      </c>
      <c r="C420" s="484" t="s">
        <v>70</v>
      </c>
      <c r="D420" s="488">
        <v>0.4</v>
      </c>
      <c r="E420" s="451" t="s">
        <v>71</v>
      </c>
      <c r="F420" s="457">
        <f>F407</f>
        <v>14000</v>
      </c>
      <c r="G420" s="457">
        <f t="shared" si="27"/>
        <v>5600</v>
      </c>
      <c r="H420" s="457"/>
    </row>
    <row r="421" spans="1:8">
      <c r="B421" s="868"/>
      <c r="C421" s="528" t="str">
        <f>C408</f>
        <v>Sand crusher</v>
      </c>
      <c r="D421" s="488">
        <v>4.2</v>
      </c>
      <c r="E421" s="451" t="s">
        <v>68</v>
      </c>
      <c r="F421" s="457">
        <f>F408</f>
        <v>2200</v>
      </c>
      <c r="G421" s="457">
        <f t="shared" si="27"/>
        <v>9240</v>
      </c>
      <c r="H421" s="457"/>
    </row>
    <row r="422" spans="1:8">
      <c r="B422" s="868"/>
      <c r="C422" s="484" t="s">
        <v>153</v>
      </c>
      <c r="D422" s="488">
        <v>11</v>
      </c>
      <c r="E422" s="451" t="s">
        <v>68</v>
      </c>
      <c r="F422" s="457">
        <f>F409</f>
        <v>1910</v>
      </c>
      <c r="G422" s="457">
        <f t="shared" si="27"/>
        <v>21010</v>
      </c>
      <c r="H422" s="457"/>
    </row>
    <row r="423" spans="1:8">
      <c r="B423" s="865"/>
      <c r="C423" s="484" t="s">
        <v>267</v>
      </c>
      <c r="D423" s="488">
        <v>900</v>
      </c>
      <c r="E423" s="451" t="s">
        <v>107</v>
      </c>
      <c r="F423" s="457">
        <f>F411</f>
        <v>0</v>
      </c>
      <c r="G423" s="457">
        <f t="shared" si="27"/>
        <v>0</v>
      </c>
      <c r="H423" s="513"/>
    </row>
    <row r="424" spans="1:8">
      <c r="B424" s="855" t="s">
        <v>1053</v>
      </c>
      <c r="C424" s="855"/>
      <c r="D424" s="856" t="s">
        <v>61</v>
      </c>
      <c r="E424" s="856"/>
      <c r="F424" s="856"/>
      <c r="G424" s="457"/>
      <c r="H424" s="457"/>
    </row>
    <row r="425" spans="1:8">
      <c r="B425" s="855"/>
      <c r="C425" s="855"/>
      <c r="D425" s="857" t="s">
        <v>573</v>
      </c>
      <c r="E425" s="857"/>
      <c r="F425" s="857"/>
      <c r="G425" s="457">
        <f>INT(15%*G424*100)/100</f>
        <v>0</v>
      </c>
      <c r="H425" s="457"/>
    </row>
    <row r="426" spans="1:8">
      <c r="B426" s="855"/>
      <c r="C426" s="855"/>
      <c r="D426" s="856" t="s">
        <v>47</v>
      </c>
      <c r="E426" s="856"/>
      <c r="F426" s="856"/>
      <c r="G426" s="457">
        <f>SUM(G424:G425)</f>
        <v>0</v>
      </c>
      <c r="H426" s="475"/>
    </row>
    <row r="427" spans="1:8" ht="22.35" customHeight="1">
      <c r="A427" s="445" t="s">
        <v>698</v>
      </c>
      <c r="B427" s="446" t="s">
        <v>300</v>
      </c>
      <c r="C427" s="876" t="s">
        <v>2</v>
      </c>
      <c r="D427" s="877"/>
      <c r="E427" s="877"/>
      <c r="F427" s="447" t="s">
        <v>68</v>
      </c>
      <c r="G427" s="530">
        <f>G435</f>
        <v>10659</v>
      </c>
      <c r="H427" s="448">
        <f>G437</f>
        <v>12257.85</v>
      </c>
    </row>
    <row r="428" spans="1:8">
      <c r="B428" s="450" t="s">
        <v>80</v>
      </c>
      <c r="C428" s="451" t="s">
        <v>81</v>
      </c>
      <c r="D428" s="451" t="s">
        <v>44</v>
      </c>
      <c r="E428" s="451" t="s">
        <v>45</v>
      </c>
      <c r="F428" s="452" t="s">
        <v>58</v>
      </c>
      <c r="G428" s="452" t="s">
        <v>59</v>
      </c>
      <c r="H428" s="531" t="s">
        <v>52</v>
      </c>
    </row>
    <row r="429" spans="1:8">
      <c r="B429" s="864" t="s">
        <v>60</v>
      </c>
      <c r="C429" s="484" t="s">
        <v>69</v>
      </c>
      <c r="D429" s="488">
        <v>1.5</v>
      </c>
      <c r="E429" s="451" t="s">
        <v>46</v>
      </c>
      <c r="F429" s="457">
        <f>F405</f>
        <v>1200</v>
      </c>
      <c r="G429" s="457">
        <f t="shared" ref="G429:G434" si="28">INT(F429*D429)</f>
        <v>1800</v>
      </c>
      <c r="H429" s="457"/>
    </row>
    <row r="430" spans="1:8">
      <c r="B430" s="865"/>
      <c r="C430" s="484" t="s">
        <v>43</v>
      </c>
      <c r="D430" s="488">
        <v>5</v>
      </c>
      <c r="E430" s="451" t="s">
        <v>46</v>
      </c>
      <c r="F430" s="457">
        <f>F419</f>
        <v>870</v>
      </c>
      <c r="G430" s="457">
        <f t="shared" si="28"/>
        <v>4350</v>
      </c>
      <c r="H430" s="457"/>
    </row>
    <row r="431" spans="1:8">
      <c r="B431" s="864" t="s">
        <v>63</v>
      </c>
      <c r="C431" s="484" t="s">
        <v>70</v>
      </c>
      <c r="D431" s="488">
        <v>0.106</v>
      </c>
      <c r="E431" s="451" t="s">
        <v>71</v>
      </c>
      <c r="F431" s="457">
        <f>F420</f>
        <v>14000</v>
      </c>
      <c r="G431" s="457">
        <f t="shared" si="28"/>
        <v>1484</v>
      </c>
      <c r="H431" s="457"/>
    </row>
    <row r="432" spans="1:8">
      <c r="B432" s="868"/>
      <c r="C432" s="528" t="str">
        <f>C421</f>
        <v>Sand crusher</v>
      </c>
      <c r="D432" s="488">
        <v>0.47</v>
      </c>
      <c r="E432" s="451" t="s">
        <v>68</v>
      </c>
      <c r="F432" s="457">
        <f>F421</f>
        <v>2200</v>
      </c>
      <c r="G432" s="457">
        <f t="shared" si="28"/>
        <v>1034</v>
      </c>
      <c r="H432" s="457"/>
    </row>
    <row r="433" spans="1:8">
      <c r="B433" s="868"/>
      <c r="C433" s="484" t="s">
        <v>154</v>
      </c>
      <c r="D433" s="488">
        <v>1.1000000000000001</v>
      </c>
      <c r="E433" s="451" t="s">
        <v>68</v>
      </c>
      <c r="F433" s="457">
        <f>F410</f>
        <v>1810</v>
      </c>
      <c r="G433" s="457">
        <f t="shared" si="28"/>
        <v>1991</v>
      </c>
      <c r="H433" s="457"/>
    </row>
    <row r="434" spans="1:8">
      <c r="B434" s="529"/>
      <c r="C434" s="484" t="s">
        <v>267</v>
      </c>
      <c r="D434" s="488">
        <v>70</v>
      </c>
      <c r="E434" s="451" t="s">
        <v>107</v>
      </c>
      <c r="F434" s="457">
        <f>F423</f>
        <v>0</v>
      </c>
      <c r="G434" s="457">
        <f t="shared" si="28"/>
        <v>0</v>
      </c>
      <c r="H434" s="513"/>
    </row>
    <row r="435" spans="1:8">
      <c r="B435" s="855" t="s">
        <v>62</v>
      </c>
      <c r="C435" s="855"/>
      <c r="D435" s="856" t="s">
        <v>61</v>
      </c>
      <c r="E435" s="856"/>
      <c r="F435" s="856"/>
      <c r="G435" s="457">
        <f>SUM(G429:G434)</f>
        <v>10659</v>
      </c>
      <c r="H435" s="457"/>
    </row>
    <row r="436" spans="1:8">
      <c r="B436" s="855"/>
      <c r="C436" s="855"/>
      <c r="D436" s="857" t="s">
        <v>573</v>
      </c>
      <c r="E436" s="857"/>
      <c r="F436" s="857"/>
      <c r="G436" s="457">
        <f>INT(15%*G435*100)/100</f>
        <v>1598.85</v>
      </c>
      <c r="H436" s="457"/>
    </row>
    <row r="437" spans="1:8">
      <c r="B437" s="935"/>
      <c r="C437" s="935"/>
      <c r="D437" s="885" t="s">
        <v>47</v>
      </c>
      <c r="E437" s="885"/>
      <c r="F437" s="885"/>
      <c r="G437" s="475">
        <f>SUM(G435:G436)</f>
        <v>12257.85</v>
      </c>
      <c r="H437" s="475"/>
    </row>
    <row r="438" spans="1:8" ht="13.8">
      <c r="A438" s="445">
        <v>3.16</v>
      </c>
      <c r="B438" s="446" t="s">
        <v>301</v>
      </c>
      <c r="C438" s="891" t="s">
        <v>3</v>
      </c>
      <c r="D438" s="891"/>
      <c r="E438" s="891"/>
      <c r="F438" s="447" t="s">
        <v>68</v>
      </c>
      <c r="G438" s="448">
        <f>G444</f>
        <v>5031</v>
      </c>
      <c r="H438" s="448">
        <f>G446</f>
        <v>5785.65</v>
      </c>
    </row>
    <row r="439" spans="1:8">
      <c r="B439" s="450" t="s">
        <v>80</v>
      </c>
      <c r="C439" s="451" t="s">
        <v>81</v>
      </c>
      <c r="D439" s="451" t="s">
        <v>44</v>
      </c>
      <c r="E439" s="451" t="s">
        <v>45</v>
      </c>
      <c r="F439" s="452" t="s">
        <v>58</v>
      </c>
      <c r="G439" s="452" t="s">
        <v>59</v>
      </c>
      <c r="H439" s="452" t="s">
        <v>52</v>
      </c>
    </row>
    <row r="440" spans="1:8">
      <c r="B440" s="864" t="s">
        <v>60</v>
      </c>
      <c r="C440" s="484" t="s">
        <v>69</v>
      </c>
      <c r="D440" s="488">
        <v>1</v>
      </c>
      <c r="E440" s="451" t="s">
        <v>46</v>
      </c>
      <c r="F440" s="457">
        <f>F429</f>
        <v>1200</v>
      </c>
      <c r="G440" s="457">
        <f>TRUNC(D440*F440,2)</f>
        <v>1200</v>
      </c>
      <c r="H440" s="457"/>
    </row>
    <row r="441" spans="1:8">
      <c r="B441" s="865"/>
      <c r="C441" s="484" t="s">
        <v>43</v>
      </c>
      <c r="D441" s="488">
        <v>2</v>
      </c>
      <c r="E441" s="451" t="s">
        <v>46</v>
      </c>
      <c r="F441" s="457">
        <f>F430</f>
        <v>870</v>
      </c>
      <c r="G441" s="457">
        <f>TRUNC(D441*F441,2)</f>
        <v>1740</v>
      </c>
      <c r="H441" s="457"/>
    </row>
    <row r="442" spans="1:8">
      <c r="B442" s="864" t="s">
        <v>63</v>
      </c>
      <c r="C442" s="484" t="s">
        <v>153</v>
      </c>
      <c r="D442" s="488">
        <v>1</v>
      </c>
      <c r="E442" s="451" t="s">
        <v>68</v>
      </c>
      <c r="F442" s="457">
        <f>F422</f>
        <v>1910</v>
      </c>
      <c r="G442" s="457">
        <f>TRUNC(D442*F442,2)</f>
        <v>1910</v>
      </c>
      <c r="H442" s="457"/>
    </row>
    <row r="443" spans="1:8">
      <c r="B443" s="865"/>
      <c r="C443" s="484" t="s">
        <v>154</v>
      </c>
      <c r="D443" s="488">
        <v>0.1</v>
      </c>
      <c r="E443" s="451" t="s">
        <v>68</v>
      </c>
      <c r="F443" s="457">
        <f>F433</f>
        <v>1810</v>
      </c>
      <c r="G443" s="457">
        <f>TRUNC(D443*F443,2)</f>
        <v>181</v>
      </c>
      <c r="H443" s="457"/>
    </row>
    <row r="444" spans="1:8">
      <c r="B444" s="855" t="s">
        <v>62</v>
      </c>
      <c r="C444" s="855"/>
      <c r="D444" s="856" t="s">
        <v>61</v>
      </c>
      <c r="E444" s="856"/>
      <c r="F444" s="856"/>
      <c r="G444" s="457">
        <f>SUM(G440:G443)</f>
        <v>5031</v>
      </c>
      <c r="H444" s="457"/>
    </row>
    <row r="445" spans="1:8">
      <c r="B445" s="855"/>
      <c r="C445" s="855"/>
      <c r="D445" s="857" t="s">
        <v>573</v>
      </c>
      <c r="E445" s="857"/>
      <c r="F445" s="857"/>
      <c r="G445" s="457">
        <f>INT(15%*G444*100)/100</f>
        <v>754.65</v>
      </c>
      <c r="H445" s="457"/>
    </row>
    <row r="446" spans="1:8">
      <c r="B446" s="855"/>
      <c r="C446" s="855"/>
      <c r="D446" s="856" t="s">
        <v>47</v>
      </c>
      <c r="E446" s="856"/>
      <c r="F446" s="856"/>
      <c r="G446" s="457">
        <f>SUM(G444:G445)</f>
        <v>5785.65</v>
      </c>
      <c r="H446" s="457"/>
    </row>
    <row r="447" spans="1:8" ht="13.8">
      <c r="A447" s="445">
        <v>3.17</v>
      </c>
      <c r="B447" s="446" t="s">
        <v>302</v>
      </c>
      <c r="C447" s="876" t="s">
        <v>4</v>
      </c>
      <c r="D447" s="877"/>
      <c r="E447" s="877"/>
      <c r="F447" s="447" t="s">
        <v>68</v>
      </c>
      <c r="G447" s="448">
        <f>G455</f>
        <v>5416.5</v>
      </c>
      <c r="H447" s="448">
        <f>G457</f>
        <v>6228.97</v>
      </c>
    </row>
    <row r="448" spans="1:8">
      <c r="B448" s="450" t="s">
        <v>80</v>
      </c>
      <c r="C448" s="451" t="s">
        <v>81</v>
      </c>
      <c r="D448" s="451" t="s">
        <v>44</v>
      </c>
      <c r="E448" s="451" t="s">
        <v>45</v>
      </c>
      <c r="F448" s="452" t="s">
        <v>58</v>
      </c>
      <c r="G448" s="452" t="s">
        <v>59</v>
      </c>
      <c r="H448" s="452" t="s">
        <v>52</v>
      </c>
    </row>
    <row r="449" spans="1:8">
      <c r="B449" s="887" t="s">
        <v>60</v>
      </c>
      <c r="C449" s="484" t="s">
        <v>69</v>
      </c>
      <c r="D449" s="488">
        <v>1</v>
      </c>
      <c r="E449" s="451" t="s">
        <v>46</v>
      </c>
      <c r="F449" s="457">
        <f>F440</f>
        <v>1200</v>
      </c>
      <c r="G449" s="457">
        <f t="shared" ref="G449:G454" si="29">TRUNC(D449*F449,2)</f>
        <v>1200</v>
      </c>
      <c r="H449" s="457"/>
    </row>
    <row r="450" spans="1:8">
      <c r="B450" s="887"/>
      <c r="C450" s="484" t="s">
        <v>43</v>
      </c>
      <c r="D450" s="488">
        <v>2.25</v>
      </c>
      <c r="E450" s="451" t="s">
        <v>46</v>
      </c>
      <c r="F450" s="457">
        <f>F441</f>
        <v>870</v>
      </c>
      <c r="G450" s="457">
        <f t="shared" si="29"/>
        <v>1957.5</v>
      </c>
      <c r="H450" s="457"/>
    </row>
    <row r="451" spans="1:8">
      <c r="B451" s="864" t="s">
        <v>63</v>
      </c>
      <c r="C451" s="484" t="s">
        <v>153</v>
      </c>
      <c r="D451" s="488">
        <v>1</v>
      </c>
      <c r="E451" s="451" t="s">
        <v>68</v>
      </c>
      <c r="F451" s="457">
        <f>F442</f>
        <v>1910</v>
      </c>
      <c r="G451" s="457">
        <f t="shared" si="29"/>
        <v>1910</v>
      </c>
      <c r="H451" s="457"/>
    </row>
    <row r="452" spans="1:8">
      <c r="B452" s="868"/>
      <c r="C452" s="484" t="s">
        <v>154</v>
      </c>
      <c r="D452" s="488">
        <v>0.1</v>
      </c>
      <c r="E452" s="451" t="s">
        <v>68</v>
      </c>
      <c r="F452" s="457">
        <f>F443</f>
        <v>1810</v>
      </c>
      <c r="G452" s="457">
        <f t="shared" si="29"/>
        <v>181</v>
      </c>
      <c r="H452" s="457"/>
    </row>
    <row r="453" spans="1:8">
      <c r="B453" s="868"/>
      <c r="C453" s="484" t="s">
        <v>1047</v>
      </c>
      <c r="D453" s="488">
        <v>0.42</v>
      </c>
      <c r="E453" s="451" t="s">
        <v>68</v>
      </c>
      <c r="F453" s="457">
        <f>'Basic Rate'!F132</f>
        <v>400</v>
      </c>
      <c r="G453" s="457">
        <f t="shared" si="29"/>
        <v>168</v>
      </c>
      <c r="H453" s="457"/>
    </row>
    <row r="454" spans="1:8">
      <c r="B454" s="865"/>
      <c r="C454" s="484" t="s">
        <v>267</v>
      </c>
      <c r="D454" s="488">
        <v>70</v>
      </c>
      <c r="E454" s="451" t="s">
        <v>107</v>
      </c>
      <c r="F454" s="457">
        <f>F434</f>
        <v>0</v>
      </c>
      <c r="G454" s="457">
        <f t="shared" si="29"/>
        <v>0</v>
      </c>
      <c r="H454" s="513"/>
    </row>
    <row r="455" spans="1:8">
      <c r="B455" s="855" t="s">
        <v>62</v>
      </c>
      <c r="C455" s="855"/>
      <c r="D455" s="856" t="s">
        <v>61</v>
      </c>
      <c r="E455" s="856"/>
      <c r="F455" s="856"/>
      <c r="G455" s="457">
        <f>SUM(G449:G454)</f>
        <v>5416.5</v>
      </c>
      <c r="H455" s="457"/>
    </row>
    <row r="456" spans="1:8">
      <c r="B456" s="855"/>
      <c r="C456" s="855"/>
      <c r="D456" s="857" t="s">
        <v>573</v>
      </c>
      <c r="E456" s="857"/>
      <c r="F456" s="857"/>
      <c r="G456" s="457">
        <f>INT(15%*G455*100)/100</f>
        <v>812.47</v>
      </c>
      <c r="H456" s="457"/>
    </row>
    <row r="457" spans="1:8">
      <c r="B457" s="855"/>
      <c r="C457" s="855"/>
      <c r="D457" s="856" t="s">
        <v>47</v>
      </c>
      <c r="E457" s="856"/>
      <c r="F457" s="856"/>
      <c r="G457" s="457">
        <f>SUM(G455:G456)</f>
        <v>6228.97</v>
      </c>
      <c r="H457" s="457"/>
    </row>
    <row r="458" spans="1:8">
      <c r="B458" s="458"/>
      <c r="C458" s="458"/>
      <c r="F458" s="459"/>
      <c r="G458" s="460"/>
      <c r="H458" s="460"/>
    </row>
    <row r="459" spans="1:8" ht="13.8">
      <c r="A459" s="445">
        <v>3.18</v>
      </c>
      <c r="B459" s="446" t="s">
        <v>303</v>
      </c>
      <c r="C459" s="876" t="s">
        <v>5</v>
      </c>
      <c r="D459" s="877"/>
      <c r="E459" s="877"/>
      <c r="F459" s="447" t="s">
        <v>68</v>
      </c>
      <c r="G459" s="447">
        <f>G464</f>
        <v>3577</v>
      </c>
      <c r="H459" s="448">
        <f>G466</f>
        <v>4113.55</v>
      </c>
    </row>
    <row r="460" spans="1:8">
      <c r="B460" s="450" t="s">
        <v>80</v>
      </c>
      <c r="C460" s="451" t="s">
        <v>81</v>
      </c>
      <c r="D460" s="451" t="s">
        <v>44</v>
      </c>
      <c r="E460" s="451" t="s">
        <v>45</v>
      </c>
      <c r="F460" s="452" t="s">
        <v>58</v>
      </c>
      <c r="G460" s="452" t="s">
        <v>59</v>
      </c>
      <c r="H460" s="452" t="s">
        <v>52</v>
      </c>
    </row>
    <row r="461" spans="1:8">
      <c r="B461" s="450" t="s">
        <v>60</v>
      </c>
      <c r="C461" s="484" t="s">
        <v>43</v>
      </c>
      <c r="D461" s="456">
        <v>1.5</v>
      </c>
      <c r="E461" s="451" t="s">
        <v>46</v>
      </c>
      <c r="F461" s="457">
        <f>F450</f>
        <v>870</v>
      </c>
      <c r="G461" s="457">
        <f>TRUNC(D461*F461,2)</f>
        <v>1305</v>
      </c>
      <c r="H461" s="457"/>
    </row>
    <row r="462" spans="1:8">
      <c r="B462" s="887" t="s">
        <v>63</v>
      </c>
      <c r="C462" s="484" t="s">
        <v>153</v>
      </c>
      <c r="D462" s="456">
        <v>1</v>
      </c>
      <c r="E462" s="451" t="s">
        <v>68</v>
      </c>
      <c r="F462" s="457">
        <f>F451</f>
        <v>1910</v>
      </c>
      <c r="G462" s="457">
        <f>TRUNC(D462*F462,2)</f>
        <v>1910</v>
      </c>
      <c r="H462" s="457"/>
    </row>
    <row r="463" spans="1:8">
      <c r="B463" s="887"/>
      <c r="C463" s="484" t="s">
        <v>154</v>
      </c>
      <c r="D463" s="456">
        <v>0.2</v>
      </c>
      <c r="E463" s="451" t="s">
        <v>68</v>
      </c>
      <c r="F463" s="457">
        <f>F452</f>
        <v>1810</v>
      </c>
      <c r="G463" s="457">
        <f>TRUNC(D463*F463,2)</f>
        <v>362</v>
      </c>
      <c r="H463" s="457"/>
    </row>
    <row r="464" spans="1:8">
      <c r="B464" s="855" t="s">
        <v>62</v>
      </c>
      <c r="C464" s="855"/>
      <c r="D464" s="858" t="s">
        <v>61</v>
      </c>
      <c r="E464" s="859"/>
      <c r="F464" s="860"/>
      <c r="G464" s="457">
        <f>SUM(G461:G463)</f>
        <v>3577</v>
      </c>
      <c r="H464" s="457"/>
    </row>
    <row r="465" spans="1:8">
      <c r="B465" s="855"/>
      <c r="C465" s="855"/>
      <c r="D465" s="861" t="s">
        <v>573</v>
      </c>
      <c r="E465" s="862"/>
      <c r="F465" s="863"/>
      <c r="G465" s="457">
        <f>INT(15%*G464*100)/100</f>
        <v>536.54999999999995</v>
      </c>
      <c r="H465" s="457"/>
    </row>
    <row r="466" spans="1:8">
      <c r="B466" s="855"/>
      <c r="C466" s="855"/>
      <c r="D466" s="858" t="s">
        <v>47</v>
      </c>
      <c r="E466" s="859"/>
      <c r="F466" s="860"/>
      <c r="G466" s="457">
        <f>SUM(G464:G465)</f>
        <v>4113.55</v>
      </c>
      <c r="H466" s="457"/>
    </row>
    <row r="467" spans="1:8">
      <c r="B467" s="458"/>
      <c r="C467" s="458"/>
      <c r="F467" s="459"/>
      <c r="G467" s="460"/>
      <c r="H467" s="460"/>
    </row>
    <row r="468" spans="1:8" ht="64.8" customHeight="1">
      <c r="A468" s="484">
        <v>3.19</v>
      </c>
      <c r="B468" s="532" t="s">
        <v>1457</v>
      </c>
      <c r="C468" s="972" t="s">
        <v>1456</v>
      </c>
      <c r="D468" s="972"/>
      <c r="E468" s="972"/>
      <c r="F468" s="451"/>
      <c r="G468" s="457">
        <f>H477</f>
        <v>1697.5</v>
      </c>
      <c r="H468" s="457">
        <f>H479</f>
        <v>1952.125</v>
      </c>
    </row>
    <row r="469" spans="1:8">
      <c r="B469" s="973" t="s">
        <v>1458</v>
      </c>
      <c r="C469" s="973"/>
      <c r="D469" s="973"/>
      <c r="E469" s="973"/>
      <c r="F469" s="459"/>
      <c r="G469" s="460"/>
      <c r="H469" s="460"/>
    </row>
    <row r="470" spans="1:8">
      <c r="A470" s="484"/>
      <c r="B470" s="532" t="s">
        <v>80</v>
      </c>
      <c r="C470" s="532" t="s">
        <v>81</v>
      </c>
      <c r="D470" s="451" t="s">
        <v>44</v>
      </c>
      <c r="E470" s="451" t="s">
        <v>45</v>
      </c>
      <c r="F470" s="451" t="s">
        <v>58</v>
      </c>
      <c r="G470" s="457" t="s">
        <v>59</v>
      </c>
      <c r="H470" s="457" t="s">
        <v>52</v>
      </c>
    </row>
    <row r="471" spans="1:8">
      <c r="A471" s="484"/>
      <c r="B471" s="532" t="s">
        <v>60</v>
      </c>
      <c r="C471" s="532" t="s">
        <v>69</v>
      </c>
      <c r="D471" s="452">
        <v>0.25</v>
      </c>
      <c r="E471" s="451" t="s">
        <v>604</v>
      </c>
      <c r="F471" s="452">
        <v>1000</v>
      </c>
      <c r="G471" s="457">
        <f t="shared" ref="G471:G476" si="30">TRUNC(D471*F471,2)</f>
        <v>250</v>
      </c>
      <c r="H471" s="457"/>
    </row>
    <row r="472" spans="1:8">
      <c r="A472" s="484"/>
      <c r="B472" s="532"/>
      <c r="C472" s="532" t="s">
        <v>43</v>
      </c>
      <c r="D472" s="452">
        <v>0.25</v>
      </c>
      <c r="E472" s="451" t="s">
        <v>1459</v>
      </c>
      <c r="F472" s="452">
        <v>750</v>
      </c>
      <c r="G472" s="457">
        <f t="shared" si="30"/>
        <v>187.5</v>
      </c>
      <c r="H472" s="457"/>
    </row>
    <row r="473" spans="1:8">
      <c r="A473" s="484"/>
      <c r="B473" s="532" t="s">
        <v>63</v>
      </c>
      <c r="C473" s="532" t="s">
        <v>1472</v>
      </c>
      <c r="D473" s="452">
        <v>19</v>
      </c>
      <c r="E473" s="451" t="s">
        <v>1459</v>
      </c>
      <c r="F473" s="452">
        <v>50</v>
      </c>
      <c r="G473" s="457">
        <f t="shared" si="30"/>
        <v>950</v>
      </c>
      <c r="H473" s="457"/>
    </row>
    <row r="474" spans="1:8">
      <c r="A474" s="484"/>
      <c r="B474" s="532"/>
      <c r="C474" s="532" t="s">
        <v>70</v>
      </c>
      <c r="D474" s="452">
        <v>1.4E-2</v>
      </c>
      <c r="E474" s="451" t="s">
        <v>1460</v>
      </c>
      <c r="F474" s="452">
        <v>15000</v>
      </c>
      <c r="G474" s="457">
        <f t="shared" si="30"/>
        <v>210</v>
      </c>
      <c r="H474" s="457"/>
    </row>
    <row r="475" spans="1:8">
      <c r="A475" s="484"/>
      <c r="B475" s="532"/>
      <c r="C475" s="532" t="s">
        <v>72</v>
      </c>
      <c r="D475" s="452">
        <v>4.3999999999999997E-2</v>
      </c>
      <c r="E475" s="451" t="s">
        <v>1461</v>
      </c>
      <c r="F475" s="452">
        <v>2000</v>
      </c>
      <c r="G475" s="457">
        <f t="shared" si="30"/>
        <v>88</v>
      </c>
      <c r="H475" s="457"/>
    </row>
    <row r="476" spans="1:8">
      <c r="A476" s="484"/>
      <c r="B476" s="532"/>
      <c r="C476" s="532" t="s">
        <v>267</v>
      </c>
      <c r="D476" s="452">
        <v>12</v>
      </c>
      <c r="E476" s="451" t="s">
        <v>987</v>
      </c>
      <c r="F476" s="452">
        <v>1</v>
      </c>
      <c r="G476" s="457">
        <f t="shared" si="30"/>
        <v>12</v>
      </c>
      <c r="H476" s="457"/>
    </row>
    <row r="477" spans="1:8">
      <c r="A477" s="484"/>
      <c r="B477" s="532"/>
      <c r="C477" s="532"/>
      <c r="D477" s="451"/>
      <c r="E477" s="533"/>
      <c r="F477" s="454" t="str">
        <f>D464</f>
        <v>Total</v>
      </c>
      <c r="G477" s="457">
        <f>SUM(G471:G476)</f>
        <v>1697.5</v>
      </c>
      <c r="H477" s="457">
        <f>G477</f>
        <v>1697.5</v>
      </c>
    </row>
    <row r="478" spans="1:8">
      <c r="B478" s="534" t="s">
        <v>1462</v>
      </c>
      <c r="C478" s="458"/>
      <c r="F478" s="535" t="str">
        <f>D465</f>
        <v>15 % Contractor overhead</v>
      </c>
      <c r="G478" s="457"/>
      <c r="H478" s="457">
        <f>H477*15%</f>
        <v>254.625</v>
      </c>
    </row>
    <row r="479" spans="1:8">
      <c r="A479" s="534" t="s">
        <v>1014</v>
      </c>
      <c r="B479" s="458">
        <v>1733.62</v>
      </c>
      <c r="C479" s="458" t="s">
        <v>994</v>
      </c>
      <c r="F479" s="454" t="str">
        <f>D466</f>
        <v>Grand Total</v>
      </c>
      <c r="G479" s="457"/>
      <c r="H479" s="457">
        <f>H478+H477</f>
        <v>1952.125</v>
      </c>
    </row>
    <row r="480" spans="1:8">
      <c r="B480" s="458" t="s">
        <v>1463</v>
      </c>
      <c r="C480" s="458"/>
      <c r="F480" s="459"/>
      <c r="G480" s="460"/>
      <c r="H480" s="460"/>
    </row>
    <row r="481" spans="1:8">
      <c r="B481" s="458" t="s">
        <v>1464</v>
      </c>
      <c r="C481" s="458"/>
      <c r="F481" s="459"/>
      <c r="G481" s="460"/>
      <c r="H481" s="460"/>
    </row>
    <row r="482" spans="1:8">
      <c r="B482" s="458" t="s">
        <v>1465</v>
      </c>
      <c r="C482" s="458"/>
      <c r="F482" s="459"/>
      <c r="G482" s="460"/>
      <c r="H482" s="460"/>
    </row>
    <row r="483" spans="1:8" ht="12.75" customHeight="1">
      <c r="A483" s="916" t="s">
        <v>430</v>
      </c>
      <c r="B483" s="916"/>
      <c r="C483" s="916"/>
      <c r="D483" s="916"/>
      <c r="E483" s="916"/>
      <c r="F483" s="916"/>
      <c r="G483" s="916"/>
      <c r="H483" s="916"/>
    </row>
    <row r="485" spans="1:8" ht="13.8">
      <c r="A485" s="445">
        <v>4.01</v>
      </c>
      <c r="B485" s="446" t="s">
        <v>304</v>
      </c>
      <c r="C485" s="876" t="s">
        <v>713</v>
      </c>
      <c r="D485" s="877"/>
      <c r="E485" s="877"/>
      <c r="F485" s="447" t="s">
        <v>68</v>
      </c>
      <c r="G485" s="447">
        <f>G494</f>
        <v>9722.7000000000007</v>
      </c>
      <c r="H485" s="448">
        <f>G496</f>
        <v>11181.1</v>
      </c>
    </row>
    <row r="486" spans="1:8">
      <c r="B486" s="450" t="s">
        <v>80</v>
      </c>
      <c r="C486" s="451" t="s">
        <v>81</v>
      </c>
      <c r="D486" s="451" t="s">
        <v>44</v>
      </c>
      <c r="E486" s="451" t="s">
        <v>45</v>
      </c>
      <c r="F486" s="452" t="s">
        <v>58</v>
      </c>
      <c r="G486" s="452" t="s">
        <v>59</v>
      </c>
      <c r="H486" s="452" t="s">
        <v>52</v>
      </c>
    </row>
    <row r="487" spans="1:8">
      <c r="B487" s="864" t="s">
        <v>60</v>
      </c>
      <c r="C487" s="484" t="s">
        <v>69</v>
      </c>
      <c r="D487" s="488">
        <v>1</v>
      </c>
      <c r="E487" s="451" t="s">
        <v>46</v>
      </c>
      <c r="F487" s="457">
        <f>'LABOUR 2082083'!F5</f>
        <v>1200</v>
      </c>
      <c r="G487" s="457">
        <f t="shared" ref="G487:G493" si="31">TRUNC(D487*F487,2)</f>
        <v>1200</v>
      </c>
      <c r="H487" s="457"/>
    </row>
    <row r="488" spans="1:8">
      <c r="B488" s="865"/>
      <c r="C488" s="484" t="s">
        <v>43</v>
      </c>
      <c r="D488" s="488">
        <v>4</v>
      </c>
      <c r="E488" s="451" t="s">
        <v>46</v>
      </c>
      <c r="F488" s="457">
        <f>'LABOUR 2082083'!F3</f>
        <v>870</v>
      </c>
      <c r="G488" s="457">
        <f t="shared" si="31"/>
        <v>3480</v>
      </c>
      <c r="H488" s="457"/>
    </row>
    <row r="489" spans="1:8">
      <c r="B489" s="864" t="s">
        <v>63</v>
      </c>
      <c r="C489" s="484" t="s">
        <v>70</v>
      </c>
      <c r="D489" s="488">
        <v>0.17</v>
      </c>
      <c r="E489" s="451" t="s">
        <v>71</v>
      </c>
      <c r="F489" s="457">
        <f>'Basic Rate'!F35</f>
        <v>14000</v>
      </c>
      <c r="G489" s="457">
        <f t="shared" si="31"/>
        <v>2380</v>
      </c>
      <c r="H489" s="457"/>
    </row>
    <row r="490" spans="1:8">
      <c r="B490" s="868"/>
      <c r="C490" s="454" t="s">
        <v>218</v>
      </c>
      <c r="D490" s="488">
        <v>0.65</v>
      </c>
      <c r="E490" s="451" t="s">
        <v>68</v>
      </c>
      <c r="F490" s="457">
        <f>'Basic Rate'!F18</f>
        <v>1830</v>
      </c>
      <c r="G490" s="457">
        <f t="shared" si="31"/>
        <v>1189.5</v>
      </c>
      <c r="H490" s="457"/>
    </row>
    <row r="491" spans="1:8">
      <c r="B491" s="868"/>
      <c r="C491" s="454" t="s">
        <v>217</v>
      </c>
      <c r="D491" s="488">
        <v>0.24</v>
      </c>
      <c r="E491" s="451" t="s">
        <v>68</v>
      </c>
      <c r="F491" s="457">
        <f>'Basic Rate'!F16</f>
        <v>1830</v>
      </c>
      <c r="G491" s="457">
        <f t="shared" si="31"/>
        <v>439.2</v>
      </c>
      <c r="H491" s="457"/>
    </row>
    <row r="492" spans="1:8">
      <c r="B492" s="868"/>
      <c r="C492" s="528" t="str">
        <f>C432</f>
        <v>Sand crusher</v>
      </c>
      <c r="D492" s="488">
        <v>0.47</v>
      </c>
      <c r="E492" s="456" t="s">
        <v>68</v>
      </c>
      <c r="F492" s="457">
        <f>'Basic Rate'!F173</f>
        <v>2200</v>
      </c>
      <c r="G492" s="457">
        <f t="shared" si="31"/>
        <v>1034</v>
      </c>
      <c r="H492" s="457"/>
    </row>
    <row r="493" spans="1:8" ht="12.75" customHeight="1">
      <c r="B493" s="865"/>
      <c r="C493" s="484" t="s">
        <v>267</v>
      </c>
      <c r="D493" s="488">
        <v>100</v>
      </c>
      <c r="E493" s="456" t="s">
        <v>107</v>
      </c>
      <c r="F493" s="457">
        <f>F454</f>
        <v>0</v>
      </c>
      <c r="G493" s="457">
        <f t="shared" si="31"/>
        <v>0</v>
      </c>
      <c r="H493" s="457"/>
    </row>
    <row r="494" spans="1:8">
      <c r="B494" s="855" t="s">
        <v>62</v>
      </c>
      <c r="C494" s="855"/>
      <c r="D494" s="858" t="s">
        <v>61</v>
      </c>
      <c r="E494" s="859"/>
      <c r="F494" s="860"/>
      <c r="G494" s="457">
        <f>SUM(G487:G493)</f>
        <v>9722.7000000000007</v>
      </c>
      <c r="H494" s="457"/>
    </row>
    <row r="495" spans="1:8" ht="12.75" customHeight="1">
      <c r="B495" s="855"/>
      <c r="C495" s="855"/>
      <c r="D495" s="861" t="s">
        <v>573</v>
      </c>
      <c r="E495" s="862"/>
      <c r="F495" s="863"/>
      <c r="G495" s="457">
        <f>INT(15%*G494*100)/100</f>
        <v>1458.4</v>
      </c>
      <c r="H495" s="457"/>
    </row>
    <row r="496" spans="1:8" ht="12.75" customHeight="1">
      <c r="B496" s="855"/>
      <c r="C496" s="855"/>
      <c r="D496" s="858" t="s">
        <v>47</v>
      </c>
      <c r="E496" s="859"/>
      <c r="F496" s="860"/>
      <c r="G496" s="457">
        <f>SUM(G494:G495)</f>
        <v>11181.1</v>
      </c>
      <c r="H496" s="457"/>
    </row>
    <row r="497" spans="1:8">
      <c r="F497" s="462"/>
    </row>
    <row r="498" spans="1:8">
      <c r="F498" s="462"/>
    </row>
    <row r="499" spans="1:8" ht="13.8">
      <c r="A499" s="445">
        <v>4.0199999999999996</v>
      </c>
      <c r="B499" s="446" t="s">
        <v>305</v>
      </c>
      <c r="C499" s="876" t="s">
        <v>714</v>
      </c>
      <c r="D499" s="877"/>
      <c r="E499" s="877"/>
      <c r="F499" s="447" t="s">
        <v>68</v>
      </c>
      <c r="G499" s="447">
        <f>G508</f>
        <v>10422.700000000001</v>
      </c>
      <c r="H499" s="448">
        <f>G510</f>
        <v>11986.1</v>
      </c>
    </row>
    <row r="500" spans="1:8">
      <c r="B500" s="450" t="s">
        <v>80</v>
      </c>
      <c r="C500" s="451" t="s">
        <v>81</v>
      </c>
      <c r="D500" s="451" t="s">
        <v>44</v>
      </c>
      <c r="E500" s="451" t="s">
        <v>45</v>
      </c>
      <c r="F500" s="452" t="s">
        <v>58</v>
      </c>
      <c r="G500" s="452" t="s">
        <v>59</v>
      </c>
      <c r="H500" s="452" t="s">
        <v>52</v>
      </c>
    </row>
    <row r="501" spans="1:8">
      <c r="B501" s="864" t="s">
        <v>60</v>
      </c>
      <c r="C501" s="484" t="s">
        <v>69</v>
      </c>
      <c r="D501" s="488">
        <v>1</v>
      </c>
      <c r="E501" s="451" t="s">
        <v>46</v>
      </c>
      <c r="F501" s="457">
        <f>F487</f>
        <v>1200</v>
      </c>
      <c r="G501" s="457">
        <f t="shared" ref="G501:G507" si="32">TRUNC(D501*F501,2)</f>
        <v>1200</v>
      </c>
      <c r="H501" s="457"/>
    </row>
    <row r="502" spans="1:8">
      <c r="B502" s="865"/>
      <c r="C502" s="484" t="s">
        <v>43</v>
      </c>
      <c r="D502" s="488">
        <v>4</v>
      </c>
      <c r="E502" s="451" t="s">
        <v>46</v>
      </c>
      <c r="F502" s="457">
        <f t="shared" ref="F502:F507" si="33">F488</f>
        <v>870</v>
      </c>
      <c r="G502" s="457">
        <f t="shared" si="32"/>
        <v>3480</v>
      </c>
      <c r="H502" s="457"/>
    </row>
    <row r="503" spans="1:8">
      <c r="B503" s="864" t="s">
        <v>63</v>
      </c>
      <c r="C503" s="484" t="s">
        <v>70</v>
      </c>
      <c r="D503" s="488">
        <v>0.22</v>
      </c>
      <c r="E503" s="451" t="s">
        <v>71</v>
      </c>
      <c r="F503" s="457">
        <f t="shared" si="33"/>
        <v>14000</v>
      </c>
      <c r="G503" s="457">
        <f t="shared" si="32"/>
        <v>3080</v>
      </c>
      <c r="H503" s="457"/>
    </row>
    <row r="504" spans="1:8">
      <c r="B504" s="868"/>
      <c r="C504" s="454" t="s">
        <v>218</v>
      </c>
      <c r="D504" s="488">
        <v>0.65</v>
      </c>
      <c r="E504" s="451" t="s">
        <v>68</v>
      </c>
      <c r="F504" s="457">
        <f t="shared" si="33"/>
        <v>1830</v>
      </c>
      <c r="G504" s="457">
        <f t="shared" si="32"/>
        <v>1189.5</v>
      </c>
      <c r="H504" s="457"/>
    </row>
    <row r="505" spans="1:8">
      <c r="B505" s="868"/>
      <c r="C505" s="454" t="s">
        <v>217</v>
      </c>
      <c r="D505" s="488">
        <v>0.24</v>
      </c>
      <c r="E505" s="451" t="s">
        <v>68</v>
      </c>
      <c r="F505" s="457">
        <f t="shared" si="33"/>
        <v>1830</v>
      </c>
      <c r="G505" s="457">
        <f t="shared" si="32"/>
        <v>439.2</v>
      </c>
      <c r="H505" s="457"/>
    </row>
    <row r="506" spans="1:8">
      <c r="B506" s="868"/>
      <c r="C506" s="528" t="str">
        <f>C492</f>
        <v>Sand crusher</v>
      </c>
      <c r="D506" s="488">
        <v>0.47</v>
      </c>
      <c r="E506" s="456" t="s">
        <v>68</v>
      </c>
      <c r="F506" s="457">
        <f t="shared" si="33"/>
        <v>2200</v>
      </c>
      <c r="G506" s="457">
        <f t="shared" si="32"/>
        <v>1034</v>
      </c>
      <c r="H506" s="457"/>
    </row>
    <row r="507" spans="1:8" ht="12.75" customHeight="1">
      <c r="B507" s="865"/>
      <c r="C507" s="484" t="s">
        <v>267</v>
      </c>
      <c r="D507" s="488">
        <v>120</v>
      </c>
      <c r="E507" s="456" t="s">
        <v>107</v>
      </c>
      <c r="F507" s="457">
        <f t="shared" si="33"/>
        <v>0</v>
      </c>
      <c r="G507" s="457">
        <f t="shared" si="32"/>
        <v>0</v>
      </c>
      <c r="H507" s="457"/>
    </row>
    <row r="508" spans="1:8">
      <c r="B508" s="855" t="s">
        <v>62</v>
      </c>
      <c r="C508" s="855"/>
      <c r="D508" s="856" t="s">
        <v>61</v>
      </c>
      <c r="E508" s="856"/>
      <c r="F508" s="856"/>
      <c r="G508" s="457">
        <f>SUM(G501:G507)</f>
        <v>10422.700000000001</v>
      </c>
      <c r="H508" s="457"/>
    </row>
    <row r="509" spans="1:8">
      <c r="B509" s="855"/>
      <c r="C509" s="855"/>
      <c r="D509" s="857" t="s">
        <v>573</v>
      </c>
      <c r="E509" s="857"/>
      <c r="F509" s="857"/>
      <c r="G509" s="457">
        <f>INT(15%*G508*100)/100</f>
        <v>1563.4</v>
      </c>
      <c r="H509" s="457"/>
    </row>
    <row r="510" spans="1:8">
      <c r="B510" s="855"/>
      <c r="C510" s="855"/>
      <c r="D510" s="856" t="s">
        <v>47</v>
      </c>
      <c r="E510" s="856"/>
      <c r="F510" s="856"/>
      <c r="G510" s="457">
        <f>SUM(G508:G509)</f>
        <v>11986.1</v>
      </c>
      <c r="H510" s="457"/>
    </row>
    <row r="511" spans="1:8" ht="35.549999999999997" customHeight="1">
      <c r="A511" s="445" t="s">
        <v>965</v>
      </c>
      <c r="B511" s="446" t="s">
        <v>964</v>
      </c>
      <c r="C511" s="876" t="s">
        <v>938</v>
      </c>
      <c r="D511" s="877"/>
      <c r="E511" s="877"/>
      <c r="F511" s="447" t="s">
        <v>68</v>
      </c>
      <c r="G511" s="447">
        <f>G516</f>
        <v>14145</v>
      </c>
      <c r="H511" s="448">
        <f>G518</f>
        <v>16266.75</v>
      </c>
    </row>
    <row r="512" spans="1:8">
      <c r="B512" s="450" t="s">
        <v>80</v>
      </c>
      <c r="C512" s="451" t="s">
        <v>81</v>
      </c>
      <c r="D512" s="451" t="s">
        <v>44</v>
      </c>
      <c r="E512" s="451" t="s">
        <v>45</v>
      </c>
      <c r="F512" s="452" t="s">
        <v>58</v>
      </c>
      <c r="G512" s="452" t="s">
        <v>59</v>
      </c>
      <c r="H512" s="452" t="s">
        <v>52</v>
      </c>
    </row>
    <row r="513" spans="1:8">
      <c r="B513" s="864" t="s">
        <v>60</v>
      </c>
      <c r="C513" s="484" t="s">
        <v>69</v>
      </c>
      <c r="D513" s="488">
        <v>0.5</v>
      </c>
      <c r="E513" s="451" t="s">
        <v>46</v>
      </c>
      <c r="F513" s="457">
        <f>LOOKUP(C513,'Basic Rate'!$B$8:$B$328,'Basic Rate'!$F$8:$F$328)</f>
        <v>1200</v>
      </c>
      <c r="G513" s="457">
        <f>TRUNC(D513*F513,2)</f>
        <v>600</v>
      </c>
      <c r="H513" s="457"/>
    </row>
    <row r="514" spans="1:8">
      <c r="B514" s="865"/>
      <c r="C514" s="484" t="s">
        <v>43</v>
      </c>
      <c r="D514" s="488">
        <v>3.5</v>
      </c>
      <c r="E514" s="451" t="s">
        <v>46</v>
      </c>
      <c r="F514" s="457">
        <f>LOOKUP(C514,'Basic Rate'!$B$8:$B$328,'Basic Rate'!$F$8:$F$328)</f>
        <v>870</v>
      </c>
      <c r="G514" s="457">
        <f>TRUNC(D514*F514,2)</f>
        <v>3045</v>
      </c>
      <c r="H514" s="457"/>
    </row>
    <row r="515" spans="1:8" ht="12.75" customHeight="1">
      <c r="B515" s="529" t="s">
        <v>63</v>
      </c>
      <c r="C515" s="484" t="s">
        <v>940</v>
      </c>
      <c r="D515" s="488">
        <v>1</v>
      </c>
      <c r="E515" s="456" t="s">
        <v>68</v>
      </c>
      <c r="F515" s="457">
        <f>'Basic Rate'!F135</f>
        <v>10500</v>
      </c>
      <c r="G515" s="457">
        <f>TRUNC(D515*F515,2)</f>
        <v>10500</v>
      </c>
      <c r="H515" s="457"/>
    </row>
    <row r="516" spans="1:8">
      <c r="B516" s="855" t="s">
        <v>62</v>
      </c>
      <c r="C516" s="855"/>
      <c r="D516" s="856" t="s">
        <v>61</v>
      </c>
      <c r="E516" s="856"/>
      <c r="F516" s="856"/>
      <c r="G516" s="457">
        <f>SUM(G513:G515)</f>
        <v>14145</v>
      </c>
      <c r="H516" s="457"/>
    </row>
    <row r="517" spans="1:8">
      <c r="B517" s="855"/>
      <c r="C517" s="855"/>
      <c r="D517" s="857" t="s">
        <v>573</v>
      </c>
      <c r="E517" s="857"/>
      <c r="F517" s="857"/>
      <c r="G517" s="457">
        <f>INT(15%*G516*100)/100</f>
        <v>2121.75</v>
      </c>
      <c r="H517" s="457"/>
    </row>
    <row r="518" spans="1:8">
      <c r="B518" s="855"/>
      <c r="C518" s="855"/>
      <c r="D518" s="856" t="s">
        <v>47</v>
      </c>
      <c r="E518" s="856"/>
      <c r="F518" s="856"/>
      <c r="G518" s="457">
        <f>SUM(G516:G517)</f>
        <v>16266.75</v>
      </c>
      <c r="H518" s="457"/>
    </row>
    <row r="519" spans="1:8">
      <c r="C519" s="444"/>
      <c r="F519" s="462"/>
      <c r="G519" s="460"/>
      <c r="H519" s="460"/>
    </row>
    <row r="520" spans="1:8" ht="13.8">
      <c r="A520" s="445">
        <v>4.03</v>
      </c>
      <c r="B520" s="446" t="s">
        <v>306</v>
      </c>
      <c r="C520" s="876" t="s">
        <v>715</v>
      </c>
      <c r="D520" s="877"/>
      <c r="E520" s="877"/>
      <c r="F520" s="447" t="s">
        <v>68</v>
      </c>
      <c r="G520" s="447">
        <f>G530</f>
        <v>11703.300000000001</v>
      </c>
      <c r="H520" s="448">
        <f>G532</f>
        <v>13458.79</v>
      </c>
    </row>
    <row r="521" spans="1:8">
      <c r="B521" s="450" t="s">
        <v>80</v>
      </c>
      <c r="C521" s="451" t="s">
        <v>81</v>
      </c>
      <c r="D521" s="451" t="s">
        <v>44</v>
      </c>
      <c r="E521" s="451" t="s">
        <v>45</v>
      </c>
      <c r="F521" s="452" t="s">
        <v>58</v>
      </c>
      <c r="G521" s="452" t="s">
        <v>59</v>
      </c>
      <c r="H521" s="452" t="s">
        <v>52</v>
      </c>
    </row>
    <row r="522" spans="1:8">
      <c r="B522" s="864" t="s">
        <v>60</v>
      </c>
      <c r="C522" s="484" t="s">
        <v>69</v>
      </c>
      <c r="D522" s="455">
        <v>1</v>
      </c>
      <c r="E522" s="451" t="s">
        <v>46</v>
      </c>
      <c r="F522" s="457">
        <f>F501</f>
        <v>1200</v>
      </c>
      <c r="G522" s="457">
        <f t="shared" ref="G522:G529" si="34">TRUNC(D522*F522,2)</f>
        <v>1200</v>
      </c>
      <c r="H522" s="457"/>
    </row>
    <row r="523" spans="1:8">
      <c r="B523" s="865"/>
      <c r="C523" s="484" t="s">
        <v>43</v>
      </c>
      <c r="D523" s="455">
        <v>4</v>
      </c>
      <c r="E523" s="451" t="s">
        <v>46</v>
      </c>
      <c r="F523" s="457">
        <f>F502</f>
        <v>870</v>
      </c>
      <c r="G523" s="457">
        <f t="shared" si="34"/>
        <v>3480</v>
      </c>
      <c r="H523" s="457"/>
    </row>
    <row r="524" spans="1:8">
      <c r="B524" s="864" t="s">
        <v>63</v>
      </c>
      <c r="C524" s="484" t="s">
        <v>70</v>
      </c>
      <c r="D524" s="455">
        <v>0.32</v>
      </c>
      <c r="E524" s="451" t="s">
        <v>71</v>
      </c>
      <c r="F524" s="457">
        <f>F503</f>
        <v>14000</v>
      </c>
      <c r="G524" s="457">
        <f t="shared" si="34"/>
        <v>4480</v>
      </c>
      <c r="H524" s="457"/>
    </row>
    <row r="525" spans="1:8">
      <c r="B525" s="868"/>
      <c r="C525" s="454" t="s">
        <v>218</v>
      </c>
      <c r="D525" s="455">
        <v>0.52</v>
      </c>
      <c r="E525" s="451" t="s">
        <v>68</v>
      </c>
      <c r="F525" s="457">
        <f>F504</f>
        <v>1830</v>
      </c>
      <c r="G525" s="457">
        <f t="shared" si="34"/>
        <v>951.6</v>
      </c>
      <c r="H525" s="457"/>
    </row>
    <row r="526" spans="1:8">
      <c r="B526" s="868"/>
      <c r="C526" s="454" t="s">
        <v>217</v>
      </c>
      <c r="D526" s="455">
        <v>0.22</v>
      </c>
      <c r="E526" s="451" t="s">
        <v>68</v>
      </c>
      <c r="F526" s="457">
        <f>F505</f>
        <v>1830</v>
      </c>
      <c r="G526" s="457">
        <f t="shared" si="34"/>
        <v>402.6</v>
      </c>
      <c r="H526" s="457"/>
    </row>
    <row r="527" spans="1:8">
      <c r="B527" s="868"/>
      <c r="C527" s="454" t="s">
        <v>215</v>
      </c>
      <c r="D527" s="455">
        <v>0.11</v>
      </c>
      <c r="E527" s="451" t="s">
        <v>68</v>
      </c>
      <c r="F527" s="457">
        <f>'Basic Rate'!F12</f>
        <v>1910</v>
      </c>
      <c r="G527" s="457">
        <f t="shared" si="34"/>
        <v>210.1</v>
      </c>
      <c r="H527" s="457"/>
    </row>
    <row r="528" spans="1:8">
      <c r="B528" s="868"/>
      <c r="C528" s="528" t="str">
        <f>C506</f>
        <v>Sand crusher</v>
      </c>
      <c r="D528" s="455">
        <v>0.44500000000000001</v>
      </c>
      <c r="E528" s="456" t="s">
        <v>68</v>
      </c>
      <c r="F528" s="457">
        <f>F506</f>
        <v>2200</v>
      </c>
      <c r="G528" s="457">
        <f t="shared" si="34"/>
        <v>979</v>
      </c>
      <c r="H528" s="457"/>
    </row>
    <row r="529" spans="1:8">
      <c r="B529" s="865"/>
      <c r="C529" s="484" t="s">
        <v>267</v>
      </c>
      <c r="D529" s="488">
        <v>150</v>
      </c>
      <c r="E529" s="456" t="s">
        <v>107</v>
      </c>
      <c r="F529" s="457">
        <f>F507</f>
        <v>0</v>
      </c>
      <c r="G529" s="457">
        <f t="shared" si="34"/>
        <v>0</v>
      </c>
      <c r="H529" s="457"/>
    </row>
    <row r="530" spans="1:8">
      <c r="B530" s="855" t="s">
        <v>62</v>
      </c>
      <c r="C530" s="855"/>
      <c r="D530" s="856" t="s">
        <v>61</v>
      </c>
      <c r="E530" s="856"/>
      <c r="F530" s="856"/>
      <c r="G530" s="457">
        <f>SUM(G522:G529)</f>
        <v>11703.300000000001</v>
      </c>
      <c r="H530" s="457"/>
    </row>
    <row r="531" spans="1:8">
      <c r="B531" s="855"/>
      <c r="C531" s="855"/>
      <c r="D531" s="857" t="s">
        <v>573</v>
      </c>
      <c r="E531" s="857"/>
      <c r="F531" s="857"/>
      <c r="G531" s="457">
        <f>INT(15%*G530*100)/100</f>
        <v>1755.49</v>
      </c>
      <c r="H531" s="457"/>
    </row>
    <row r="532" spans="1:8">
      <c r="B532" s="855"/>
      <c r="C532" s="855"/>
      <c r="D532" s="856" t="s">
        <v>47</v>
      </c>
      <c r="E532" s="856"/>
      <c r="F532" s="856"/>
      <c r="G532" s="457">
        <f>SUM(G530:G531)</f>
        <v>13458.79</v>
      </c>
      <c r="H532" s="457"/>
    </row>
    <row r="533" spans="1:8">
      <c r="C533" s="444"/>
      <c r="F533" s="462"/>
      <c r="H533" s="460"/>
    </row>
    <row r="534" spans="1:8" ht="23.25" customHeight="1">
      <c r="A534" s="445">
        <v>4.04</v>
      </c>
      <c r="B534" s="446" t="s">
        <v>307</v>
      </c>
      <c r="C534" s="876" t="s">
        <v>716</v>
      </c>
      <c r="D534" s="877"/>
      <c r="E534" s="877"/>
      <c r="F534" s="447" t="s">
        <v>68</v>
      </c>
      <c r="G534" s="447">
        <f>G544</f>
        <v>14073.300000000001</v>
      </c>
      <c r="H534" s="448">
        <f>G546</f>
        <v>16184.29</v>
      </c>
    </row>
    <row r="535" spans="1:8">
      <c r="B535" s="450" t="s">
        <v>80</v>
      </c>
      <c r="C535" s="451" t="s">
        <v>81</v>
      </c>
      <c r="D535" s="451" t="s">
        <v>44</v>
      </c>
      <c r="E535" s="451" t="s">
        <v>45</v>
      </c>
      <c r="F535" s="452" t="s">
        <v>58</v>
      </c>
      <c r="G535" s="452" t="s">
        <v>59</v>
      </c>
      <c r="H535" s="452" t="s">
        <v>52</v>
      </c>
    </row>
    <row r="536" spans="1:8">
      <c r="B536" s="864" t="s">
        <v>60</v>
      </c>
      <c r="C536" s="484" t="s">
        <v>69</v>
      </c>
      <c r="D536" s="488">
        <v>0.8</v>
      </c>
      <c r="E536" s="451" t="s">
        <v>46</v>
      </c>
      <c r="F536" s="457">
        <f>F522</f>
        <v>1200</v>
      </c>
      <c r="G536" s="457">
        <f t="shared" ref="G536:G543" si="35">TRUNC(D536*F536,2)</f>
        <v>960</v>
      </c>
      <c r="H536" s="457"/>
    </row>
    <row r="537" spans="1:8">
      <c r="B537" s="865"/>
      <c r="C537" s="484" t="s">
        <v>43</v>
      </c>
      <c r="D537" s="488">
        <v>7</v>
      </c>
      <c r="E537" s="451" t="s">
        <v>46</v>
      </c>
      <c r="F537" s="457">
        <f t="shared" ref="F537:F543" si="36">F523</f>
        <v>870</v>
      </c>
      <c r="G537" s="457">
        <f t="shared" si="35"/>
        <v>6090</v>
      </c>
      <c r="H537" s="457"/>
    </row>
    <row r="538" spans="1:8">
      <c r="B538" s="864" t="s">
        <v>63</v>
      </c>
      <c r="C538" s="484" t="s">
        <v>70</v>
      </c>
      <c r="D538" s="488">
        <v>0.32</v>
      </c>
      <c r="E538" s="451" t="s">
        <v>71</v>
      </c>
      <c r="F538" s="457">
        <f t="shared" si="36"/>
        <v>14000</v>
      </c>
      <c r="G538" s="457">
        <f t="shared" si="35"/>
        <v>4480</v>
      </c>
      <c r="H538" s="457"/>
    </row>
    <row r="539" spans="1:8">
      <c r="B539" s="868"/>
      <c r="C539" s="454" t="s">
        <v>218</v>
      </c>
      <c r="D539" s="488">
        <v>0.52</v>
      </c>
      <c r="E539" s="451" t="s">
        <v>68</v>
      </c>
      <c r="F539" s="457">
        <f t="shared" si="36"/>
        <v>1830</v>
      </c>
      <c r="G539" s="457">
        <f t="shared" si="35"/>
        <v>951.6</v>
      </c>
      <c r="H539" s="457"/>
    </row>
    <row r="540" spans="1:8">
      <c r="B540" s="868"/>
      <c r="C540" s="454" t="s">
        <v>217</v>
      </c>
      <c r="D540" s="488">
        <v>0.22</v>
      </c>
      <c r="E540" s="451" t="s">
        <v>68</v>
      </c>
      <c r="F540" s="457">
        <f t="shared" si="36"/>
        <v>1830</v>
      </c>
      <c r="G540" s="457">
        <f t="shared" si="35"/>
        <v>402.6</v>
      </c>
      <c r="H540" s="457"/>
    </row>
    <row r="541" spans="1:8">
      <c r="B541" s="868"/>
      <c r="C541" s="454" t="s">
        <v>215</v>
      </c>
      <c r="D541" s="488">
        <v>0.11</v>
      </c>
      <c r="E541" s="451" t="s">
        <v>68</v>
      </c>
      <c r="F541" s="457">
        <f t="shared" si="36"/>
        <v>1910</v>
      </c>
      <c r="G541" s="457">
        <f t="shared" si="35"/>
        <v>210.1</v>
      </c>
      <c r="H541" s="457"/>
    </row>
    <row r="542" spans="1:8">
      <c r="B542" s="868"/>
      <c r="C542" s="528" t="str">
        <f>C528</f>
        <v>Sand crusher</v>
      </c>
      <c r="D542" s="488">
        <v>0.44500000000000001</v>
      </c>
      <c r="E542" s="456" t="s">
        <v>68</v>
      </c>
      <c r="F542" s="457">
        <f t="shared" si="36"/>
        <v>2200</v>
      </c>
      <c r="G542" s="457">
        <f t="shared" si="35"/>
        <v>979</v>
      </c>
      <c r="H542" s="457"/>
    </row>
    <row r="543" spans="1:8">
      <c r="B543" s="865"/>
      <c r="C543" s="484" t="s">
        <v>267</v>
      </c>
      <c r="D543" s="488">
        <v>150</v>
      </c>
      <c r="E543" s="456" t="s">
        <v>107</v>
      </c>
      <c r="F543" s="457">
        <f t="shared" si="36"/>
        <v>0</v>
      </c>
      <c r="G543" s="457">
        <f t="shared" si="35"/>
        <v>0</v>
      </c>
      <c r="H543" s="457"/>
    </row>
    <row r="544" spans="1:8">
      <c r="B544" s="855" t="s">
        <v>62</v>
      </c>
      <c r="C544" s="855"/>
      <c r="D544" s="856" t="s">
        <v>61</v>
      </c>
      <c r="E544" s="856"/>
      <c r="F544" s="856"/>
      <c r="G544" s="457">
        <f>SUM(G536:G543)</f>
        <v>14073.300000000001</v>
      </c>
      <c r="H544" s="457"/>
    </row>
    <row r="545" spans="1:8">
      <c r="B545" s="855"/>
      <c r="C545" s="855"/>
      <c r="D545" s="857" t="s">
        <v>573</v>
      </c>
      <c r="E545" s="857"/>
      <c r="F545" s="857"/>
      <c r="G545" s="457">
        <f>INT(15%*G544*100)/100</f>
        <v>2110.9899999999998</v>
      </c>
      <c r="H545" s="457"/>
    </row>
    <row r="546" spans="1:8">
      <c r="B546" s="855"/>
      <c r="C546" s="855"/>
      <c r="D546" s="856" t="s">
        <v>47</v>
      </c>
      <c r="E546" s="856"/>
      <c r="F546" s="856"/>
      <c r="G546" s="457">
        <f>SUM(G544:G545)</f>
        <v>16184.29</v>
      </c>
      <c r="H546" s="457"/>
    </row>
    <row r="548" spans="1:8" ht="25.5" customHeight="1">
      <c r="A548" s="445">
        <v>4.05</v>
      </c>
      <c r="B548" s="446" t="s">
        <v>308</v>
      </c>
      <c r="C548" s="876" t="s">
        <v>717</v>
      </c>
      <c r="D548" s="877"/>
      <c r="E548" s="877"/>
      <c r="F548" s="447" t="s">
        <v>68</v>
      </c>
      <c r="G548" s="447">
        <f>G557</f>
        <v>15158.800000000001</v>
      </c>
      <c r="H548" s="448">
        <f>G559</f>
        <v>17432.620000000003</v>
      </c>
    </row>
    <row r="549" spans="1:8">
      <c r="B549" s="450" t="s">
        <v>80</v>
      </c>
      <c r="C549" s="451" t="s">
        <v>81</v>
      </c>
      <c r="D549" s="451" t="s">
        <v>44</v>
      </c>
      <c r="E549" s="451" t="s">
        <v>45</v>
      </c>
      <c r="F549" s="452" t="s">
        <v>58</v>
      </c>
      <c r="G549" s="452" t="s">
        <v>59</v>
      </c>
      <c r="H549" s="452" t="s">
        <v>52</v>
      </c>
    </row>
    <row r="550" spans="1:8">
      <c r="B550" s="864" t="s">
        <v>60</v>
      </c>
      <c r="C550" s="484" t="s">
        <v>69</v>
      </c>
      <c r="D550" s="488">
        <v>0.8</v>
      </c>
      <c r="E550" s="451" t="s">
        <v>46</v>
      </c>
      <c r="F550" s="457">
        <f>F536</f>
        <v>1200</v>
      </c>
      <c r="G550" s="457">
        <f t="shared" ref="G550:G556" si="37">TRUNC(D550*F550,2)</f>
        <v>960</v>
      </c>
      <c r="H550" s="457"/>
    </row>
    <row r="551" spans="1:8">
      <c r="B551" s="865"/>
      <c r="C551" s="484" t="s">
        <v>43</v>
      </c>
      <c r="D551" s="488">
        <v>7</v>
      </c>
      <c r="E551" s="451" t="s">
        <v>46</v>
      </c>
      <c r="F551" s="457">
        <f>F537</f>
        <v>870</v>
      </c>
      <c r="G551" s="457">
        <f t="shared" si="37"/>
        <v>6090</v>
      </c>
      <c r="H551" s="457"/>
    </row>
    <row r="552" spans="1:8">
      <c r="B552" s="864" t="s">
        <v>63</v>
      </c>
      <c r="C552" s="484" t="s">
        <v>70</v>
      </c>
      <c r="D552" s="488">
        <v>0.4</v>
      </c>
      <c r="E552" s="451" t="s">
        <v>71</v>
      </c>
      <c r="F552" s="457">
        <f>F538</f>
        <v>14000</v>
      </c>
      <c r="G552" s="457">
        <f t="shared" si="37"/>
        <v>5600</v>
      </c>
      <c r="H552" s="457"/>
    </row>
    <row r="553" spans="1:8">
      <c r="B553" s="868"/>
      <c r="C553" s="454" t="s">
        <v>217</v>
      </c>
      <c r="D553" s="488">
        <v>0.56999999999999995</v>
      </c>
      <c r="E553" s="451" t="s">
        <v>68</v>
      </c>
      <c r="F553" s="457">
        <f>F539</f>
        <v>1830</v>
      </c>
      <c r="G553" s="457">
        <f t="shared" si="37"/>
        <v>1043.0999999999999</v>
      </c>
      <c r="H553" s="457"/>
    </row>
    <row r="554" spans="1:8">
      <c r="B554" s="868"/>
      <c r="C554" s="454" t="s">
        <v>215</v>
      </c>
      <c r="D554" s="488">
        <v>0.28999999999999998</v>
      </c>
      <c r="E554" s="451" t="s">
        <v>68</v>
      </c>
      <c r="F554" s="457">
        <f>F540</f>
        <v>1830</v>
      </c>
      <c r="G554" s="457">
        <f t="shared" si="37"/>
        <v>530.70000000000005</v>
      </c>
      <c r="H554" s="457"/>
    </row>
    <row r="555" spans="1:8">
      <c r="B555" s="868"/>
      <c r="C555" s="528" t="str">
        <f>C542</f>
        <v>Sand crusher</v>
      </c>
      <c r="D555" s="488">
        <v>0.42499999999999999</v>
      </c>
      <c r="E555" s="456" t="s">
        <v>68</v>
      </c>
      <c r="F555" s="457">
        <f>F542</f>
        <v>2200</v>
      </c>
      <c r="G555" s="457">
        <f t="shared" si="37"/>
        <v>935</v>
      </c>
      <c r="H555" s="457"/>
    </row>
    <row r="556" spans="1:8">
      <c r="B556" s="865"/>
      <c r="C556" s="484" t="s">
        <v>267</v>
      </c>
      <c r="D556" s="488">
        <v>200</v>
      </c>
      <c r="E556" s="456" t="s">
        <v>107</v>
      </c>
      <c r="F556" s="457">
        <f>F543</f>
        <v>0</v>
      </c>
      <c r="G556" s="457">
        <f t="shared" si="37"/>
        <v>0</v>
      </c>
      <c r="H556" s="457"/>
    </row>
    <row r="557" spans="1:8">
      <c r="B557" s="855" t="s">
        <v>62</v>
      </c>
      <c r="C557" s="855"/>
      <c r="D557" s="856" t="s">
        <v>61</v>
      </c>
      <c r="E557" s="856"/>
      <c r="F557" s="856"/>
      <c r="G557" s="457">
        <f>SUM(G550:G556)</f>
        <v>15158.800000000001</v>
      </c>
      <c r="H557" s="457"/>
    </row>
    <row r="558" spans="1:8">
      <c r="B558" s="855"/>
      <c r="C558" s="855"/>
      <c r="D558" s="857" t="s">
        <v>573</v>
      </c>
      <c r="E558" s="857"/>
      <c r="F558" s="857"/>
      <c r="G558" s="457">
        <f>INT(15%*G557*100)/100</f>
        <v>2273.8200000000002</v>
      </c>
      <c r="H558" s="457"/>
    </row>
    <row r="559" spans="1:8">
      <c r="B559" s="855"/>
      <c r="C559" s="855"/>
      <c r="D559" s="856" t="s">
        <v>47</v>
      </c>
      <c r="E559" s="856"/>
      <c r="F559" s="856"/>
      <c r="G559" s="457">
        <f>SUM(G557:G558)</f>
        <v>17432.620000000003</v>
      </c>
      <c r="H559" s="457"/>
    </row>
    <row r="560" spans="1:8">
      <c r="B560" s="458"/>
      <c r="C560" s="458"/>
      <c r="F560" s="509"/>
      <c r="G560" s="460"/>
      <c r="H560" s="460"/>
    </row>
    <row r="561" spans="1:8">
      <c r="B561" s="458"/>
      <c r="C561" s="458"/>
      <c r="F561" s="509"/>
      <c r="G561" s="460"/>
      <c r="H561" s="460"/>
    </row>
    <row r="562" spans="1:8" ht="25.5" customHeight="1">
      <c r="A562" s="445">
        <v>4.0599999999999996</v>
      </c>
      <c r="B562" s="446" t="s">
        <v>309</v>
      </c>
      <c r="C562" s="876" t="s">
        <v>718</v>
      </c>
      <c r="D562" s="877"/>
      <c r="E562" s="877"/>
      <c r="F562" s="447" t="s">
        <v>68</v>
      </c>
      <c r="G562" s="447">
        <f>G571</f>
        <v>18080.5</v>
      </c>
      <c r="H562" s="448">
        <f>G573</f>
        <v>20792.57</v>
      </c>
    </row>
    <row r="563" spans="1:8">
      <c r="B563" s="450" t="s">
        <v>80</v>
      </c>
      <c r="C563" s="451" t="s">
        <v>81</v>
      </c>
      <c r="D563" s="451" t="s">
        <v>44</v>
      </c>
      <c r="E563" s="451" t="s">
        <v>45</v>
      </c>
      <c r="F563" s="452" t="s">
        <v>58</v>
      </c>
      <c r="G563" s="452" t="s">
        <v>59</v>
      </c>
      <c r="H563" s="452" t="s">
        <v>52</v>
      </c>
    </row>
    <row r="564" spans="1:8">
      <c r="B564" s="864" t="s">
        <v>60</v>
      </c>
      <c r="C564" s="484" t="s">
        <v>69</v>
      </c>
      <c r="D564" s="488">
        <v>0.8</v>
      </c>
      <c r="E564" s="451" t="s">
        <v>46</v>
      </c>
      <c r="F564" s="457">
        <f>F550</f>
        <v>1200</v>
      </c>
      <c r="G564" s="457">
        <f t="shared" ref="G564:G570" si="38">TRUNC(D564*F564,2)</f>
        <v>960</v>
      </c>
      <c r="H564" s="457"/>
    </row>
    <row r="565" spans="1:8">
      <c r="B565" s="865"/>
      <c r="C565" s="484" t="s">
        <v>43</v>
      </c>
      <c r="D565" s="488">
        <v>7</v>
      </c>
      <c r="E565" s="451" t="s">
        <v>46</v>
      </c>
      <c r="F565" s="457">
        <f t="shared" ref="F565:F570" si="39">F551</f>
        <v>870</v>
      </c>
      <c r="G565" s="457">
        <f t="shared" si="38"/>
        <v>6090</v>
      </c>
      <c r="H565" s="457"/>
    </row>
    <row r="566" spans="1:8">
      <c r="B566" s="864" t="s">
        <v>63</v>
      </c>
      <c r="C566" s="484" t="s">
        <v>70</v>
      </c>
      <c r="D566" s="488">
        <v>0.61</v>
      </c>
      <c r="E566" s="451" t="s">
        <v>71</v>
      </c>
      <c r="F566" s="457">
        <f t="shared" si="39"/>
        <v>14000</v>
      </c>
      <c r="G566" s="457">
        <f t="shared" si="38"/>
        <v>8540</v>
      </c>
      <c r="H566" s="457"/>
    </row>
    <row r="567" spans="1:8">
      <c r="B567" s="868"/>
      <c r="C567" s="454" t="s">
        <v>217</v>
      </c>
      <c r="D567" s="488">
        <v>0.64</v>
      </c>
      <c r="E567" s="451" t="s">
        <v>68</v>
      </c>
      <c r="F567" s="457">
        <f t="shared" si="39"/>
        <v>1830</v>
      </c>
      <c r="G567" s="457">
        <f t="shared" si="38"/>
        <v>1171.2</v>
      </c>
      <c r="H567" s="457"/>
    </row>
    <row r="568" spans="1:8">
      <c r="B568" s="868"/>
      <c r="C568" s="454" t="s">
        <v>215</v>
      </c>
      <c r="D568" s="488">
        <v>0.21</v>
      </c>
      <c r="E568" s="451" t="s">
        <v>68</v>
      </c>
      <c r="F568" s="457">
        <f t="shared" si="39"/>
        <v>1830</v>
      </c>
      <c r="G568" s="457">
        <f t="shared" si="38"/>
        <v>384.3</v>
      </c>
      <c r="H568" s="457"/>
    </row>
    <row r="569" spans="1:8">
      <c r="B569" s="868"/>
      <c r="C569" s="528" t="str">
        <f>C555</f>
        <v>Sand crusher</v>
      </c>
      <c r="D569" s="488">
        <v>0.42499999999999999</v>
      </c>
      <c r="E569" s="456" t="s">
        <v>68</v>
      </c>
      <c r="F569" s="457">
        <f t="shared" si="39"/>
        <v>2200</v>
      </c>
      <c r="G569" s="457">
        <f t="shared" si="38"/>
        <v>935</v>
      </c>
      <c r="H569" s="457"/>
    </row>
    <row r="570" spans="1:8">
      <c r="B570" s="865"/>
      <c r="C570" s="484" t="s">
        <v>267</v>
      </c>
      <c r="D570" s="488">
        <v>300</v>
      </c>
      <c r="E570" s="456" t="s">
        <v>107</v>
      </c>
      <c r="F570" s="457">
        <f t="shared" si="39"/>
        <v>0</v>
      </c>
      <c r="G570" s="457">
        <f t="shared" si="38"/>
        <v>0</v>
      </c>
      <c r="H570" s="457"/>
    </row>
    <row r="571" spans="1:8">
      <c r="B571" s="855" t="s">
        <v>62</v>
      </c>
      <c r="C571" s="855"/>
      <c r="D571" s="856" t="s">
        <v>61</v>
      </c>
      <c r="E571" s="856"/>
      <c r="F571" s="856"/>
      <c r="G571" s="457">
        <f>SUM(G564:G570)</f>
        <v>18080.5</v>
      </c>
      <c r="H571" s="457"/>
    </row>
    <row r="572" spans="1:8">
      <c r="B572" s="855"/>
      <c r="C572" s="855"/>
      <c r="D572" s="857" t="s">
        <v>573</v>
      </c>
      <c r="E572" s="857"/>
      <c r="F572" s="857"/>
      <c r="G572" s="457">
        <f>INT(15%*G571*100)/100</f>
        <v>2712.07</v>
      </c>
      <c r="H572" s="457"/>
    </row>
    <row r="573" spans="1:8">
      <c r="B573" s="855"/>
      <c r="C573" s="855"/>
      <c r="D573" s="856" t="s">
        <v>47</v>
      </c>
      <c r="E573" s="856"/>
      <c r="F573" s="856"/>
      <c r="G573" s="457">
        <f>SUM(G571:G572)</f>
        <v>20792.57</v>
      </c>
      <c r="H573" s="457"/>
    </row>
    <row r="574" spans="1:8">
      <c r="B574" s="458"/>
      <c r="C574" s="458"/>
      <c r="F574" s="509"/>
      <c r="G574" s="460"/>
      <c r="H574" s="460"/>
    </row>
    <row r="575" spans="1:8">
      <c r="B575" s="458"/>
      <c r="C575" s="458"/>
      <c r="F575" s="509"/>
      <c r="G575" s="460"/>
      <c r="H575" s="460"/>
    </row>
    <row r="576" spans="1:8" ht="25.5" customHeight="1">
      <c r="A576" s="445">
        <v>4.07</v>
      </c>
      <c r="B576" s="446" t="s">
        <v>314</v>
      </c>
      <c r="C576" s="876" t="s">
        <v>719</v>
      </c>
      <c r="D576" s="877"/>
      <c r="E576" s="877"/>
      <c r="F576" s="447" t="s">
        <v>68</v>
      </c>
      <c r="G576" s="447">
        <f>G589</f>
        <v>10108.300000000001</v>
      </c>
      <c r="H576" s="448">
        <f>G591</f>
        <v>11624.54</v>
      </c>
    </row>
    <row r="577" spans="2:8">
      <c r="B577" s="450" t="s">
        <v>80</v>
      </c>
      <c r="C577" s="451" t="s">
        <v>81</v>
      </c>
      <c r="D577" s="451" t="s">
        <v>44</v>
      </c>
      <c r="E577" s="451" t="s">
        <v>45</v>
      </c>
      <c r="F577" s="452" t="s">
        <v>58</v>
      </c>
      <c r="G577" s="452" t="s">
        <v>59</v>
      </c>
      <c r="H577" s="452" t="s">
        <v>52</v>
      </c>
    </row>
    <row r="578" spans="2:8">
      <c r="B578" s="864" t="s">
        <v>60</v>
      </c>
      <c r="C578" s="484" t="s">
        <v>69</v>
      </c>
      <c r="D578" s="488">
        <v>0.5</v>
      </c>
      <c r="E578" s="451" t="s">
        <v>46</v>
      </c>
      <c r="F578" s="457">
        <f>F564</f>
        <v>1200</v>
      </c>
      <c r="G578" s="457">
        <f t="shared" ref="G578:G588" si="40">TRUNC(D578*F578,2)</f>
        <v>600</v>
      </c>
      <c r="H578" s="457"/>
    </row>
    <row r="579" spans="2:8">
      <c r="B579" s="865"/>
      <c r="C579" s="484" t="s">
        <v>43</v>
      </c>
      <c r="D579" s="488">
        <v>3.5</v>
      </c>
      <c r="E579" s="451" t="s">
        <v>46</v>
      </c>
      <c r="F579" s="457">
        <f t="shared" ref="F579:F584" si="41">F565</f>
        <v>870</v>
      </c>
      <c r="G579" s="457">
        <f t="shared" si="40"/>
        <v>3045</v>
      </c>
      <c r="H579" s="457"/>
    </row>
    <row r="580" spans="2:8">
      <c r="B580" s="864" t="s">
        <v>63</v>
      </c>
      <c r="C580" s="484" t="s">
        <v>70</v>
      </c>
      <c r="D580" s="488">
        <v>0.22</v>
      </c>
      <c r="E580" s="451" t="s">
        <v>71</v>
      </c>
      <c r="F580" s="457">
        <f t="shared" si="41"/>
        <v>14000</v>
      </c>
      <c r="G580" s="457">
        <f t="shared" si="40"/>
        <v>3080</v>
      </c>
      <c r="H580" s="457"/>
    </row>
    <row r="581" spans="2:8">
      <c r="B581" s="868"/>
      <c r="C581" s="454" t="s">
        <v>218</v>
      </c>
      <c r="D581" s="488">
        <v>0.65</v>
      </c>
      <c r="E581" s="451" t="s">
        <v>68</v>
      </c>
      <c r="F581" s="457">
        <f t="shared" si="41"/>
        <v>1830</v>
      </c>
      <c r="G581" s="457">
        <f t="shared" si="40"/>
        <v>1189.5</v>
      </c>
      <c r="H581" s="457"/>
    </row>
    <row r="582" spans="2:8">
      <c r="B582" s="868"/>
      <c r="C582" s="454" t="s">
        <v>217</v>
      </c>
      <c r="D582" s="488">
        <v>0.24</v>
      </c>
      <c r="E582" s="451" t="s">
        <v>68</v>
      </c>
      <c r="F582" s="457">
        <f t="shared" si="41"/>
        <v>1830</v>
      </c>
      <c r="G582" s="457">
        <f t="shared" si="40"/>
        <v>439.2</v>
      </c>
      <c r="H582" s="457"/>
    </row>
    <row r="583" spans="2:8">
      <c r="B583" s="868"/>
      <c r="C583" s="528" t="str">
        <f>C569</f>
        <v>Sand crusher</v>
      </c>
      <c r="D583" s="488">
        <v>0.42499999999999999</v>
      </c>
      <c r="E583" s="456" t="s">
        <v>68</v>
      </c>
      <c r="F583" s="457">
        <f t="shared" si="41"/>
        <v>2200</v>
      </c>
      <c r="G583" s="457">
        <f t="shared" si="40"/>
        <v>935</v>
      </c>
      <c r="H583" s="457"/>
    </row>
    <row r="584" spans="2:8" ht="12.75" customHeight="1">
      <c r="B584" s="868"/>
      <c r="C584" s="484" t="s">
        <v>267</v>
      </c>
      <c r="D584" s="488">
        <v>100</v>
      </c>
      <c r="E584" s="456" t="s">
        <v>107</v>
      </c>
      <c r="F584" s="457">
        <f t="shared" si="41"/>
        <v>0</v>
      </c>
      <c r="G584" s="457">
        <f t="shared" si="40"/>
        <v>0</v>
      </c>
      <c r="H584" s="457"/>
    </row>
    <row r="585" spans="2:8" ht="12.75" customHeight="1">
      <c r="B585" s="868"/>
      <c r="C585" s="514" t="s">
        <v>725</v>
      </c>
      <c r="D585" s="515">
        <v>3</v>
      </c>
      <c r="E585" s="536" t="s">
        <v>107</v>
      </c>
      <c r="F585" s="516">
        <f>'Basic Rate'!F64</f>
        <v>131.85840707964604</v>
      </c>
      <c r="G585" s="516">
        <f t="shared" si="40"/>
        <v>395.57</v>
      </c>
      <c r="H585" s="516"/>
    </row>
    <row r="586" spans="2:8" ht="12.75" customHeight="1">
      <c r="B586" s="865"/>
      <c r="C586" s="514" t="s">
        <v>310</v>
      </c>
      <c r="D586" s="515">
        <v>0.1</v>
      </c>
      <c r="E586" s="536" t="s">
        <v>107</v>
      </c>
      <c r="F586" s="516">
        <f>'Basic Rate'!F148</f>
        <v>150.88495575221239</v>
      </c>
      <c r="G586" s="516">
        <f t="shared" si="40"/>
        <v>15.08</v>
      </c>
      <c r="H586" s="516"/>
    </row>
    <row r="587" spans="2:8" s="495" customFormat="1" ht="12.75" customHeight="1">
      <c r="B587" s="864" t="s">
        <v>313</v>
      </c>
      <c r="C587" s="514" t="s">
        <v>311</v>
      </c>
      <c r="D587" s="515">
        <v>0.6</v>
      </c>
      <c r="E587" s="536" t="s">
        <v>285</v>
      </c>
      <c r="F587" s="516">
        <f>'Basic Rate'!F119</f>
        <v>627</v>
      </c>
      <c r="G587" s="516">
        <f t="shared" si="40"/>
        <v>376.2</v>
      </c>
      <c r="H587" s="516"/>
    </row>
    <row r="588" spans="2:8" ht="12.75" customHeight="1">
      <c r="B588" s="865"/>
      <c r="C588" s="484" t="s">
        <v>312</v>
      </c>
      <c r="D588" s="488">
        <v>0.25</v>
      </c>
      <c r="E588" s="456" t="s">
        <v>285</v>
      </c>
      <c r="F588" s="516">
        <f>'Basic Rate'!F213</f>
        <v>131</v>
      </c>
      <c r="G588" s="457">
        <f t="shared" si="40"/>
        <v>32.75</v>
      </c>
      <c r="H588" s="457"/>
    </row>
    <row r="589" spans="2:8">
      <c r="B589" s="855" t="s">
        <v>62</v>
      </c>
      <c r="C589" s="855"/>
      <c r="D589" s="856" t="s">
        <v>61</v>
      </c>
      <c r="E589" s="856"/>
      <c r="F589" s="856"/>
      <c r="G589" s="457">
        <f>SUM(G578:G588)</f>
        <v>10108.300000000001</v>
      </c>
      <c r="H589" s="457"/>
    </row>
    <row r="590" spans="2:8">
      <c r="B590" s="855"/>
      <c r="C590" s="855"/>
      <c r="D590" s="857" t="s">
        <v>573</v>
      </c>
      <c r="E590" s="857"/>
      <c r="F590" s="857"/>
      <c r="G590" s="457">
        <f>INT(15%*G589*100)/100</f>
        <v>1516.24</v>
      </c>
      <c r="H590" s="457"/>
    </row>
    <row r="591" spans="2:8">
      <c r="B591" s="855"/>
      <c r="C591" s="855"/>
      <c r="D591" s="856" t="s">
        <v>47</v>
      </c>
      <c r="E591" s="856"/>
      <c r="F591" s="856"/>
      <c r="G591" s="457">
        <f>SUM(G589:G590)</f>
        <v>11624.54</v>
      </c>
      <c r="H591" s="457"/>
    </row>
    <row r="592" spans="2:8">
      <c r="C592" s="444"/>
      <c r="F592" s="462"/>
      <c r="G592" s="460"/>
      <c r="H592" s="460"/>
    </row>
    <row r="594" spans="1:8" ht="25.5" customHeight="1">
      <c r="A594" s="445">
        <v>4.08</v>
      </c>
      <c r="B594" s="446" t="s">
        <v>315</v>
      </c>
      <c r="C594" s="876" t="s">
        <v>720</v>
      </c>
      <c r="D594" s="877"/>
      <c r="E594" s="877"/>
      <c r="F594" s="447" t="s">
        <v>68</v>
      </c>
      <c r="G594" s="447">
        <f>G607</f>
        <v>11479.1</v>
      </c>
      <c r="H594" s="448">
        <f>G609</f>
        <v>13200.960000000001</v>
      </c>
    </row>
    <row r="595" spans="1:8">
      <c r="B595" s="450" t="s">
        <v>80</v>
      </c>
      <c r="C595" s="451" t="s">
        <v>81</v>
      </c>
      <c r="D595" s="451" t="s">
        <v>44</v>
      </c>
      <c r="E595" s="451" t="s">
        <v>45</v>
      </c>
      <c r="F595" s="452" t="s">
        <v>58</v>
      </c>
      <c r="G595" s="452" t="s">
        <v>59</v>
      </c>
      <c r="H595" s="452" t="s">
        <v>52</v>
      </c>
    </row>
    <row r="596" spans="1:8">
      <c r="B596" s="864" t="s">
        <v>60</v>
      </c>
      <c r="C596" s="484" t="s">
        <v>69</v>
      </c>
      <c r="D596" s="488">
        <v>0.5</v>
      </c>
      <c r="E596" s="451" t="s">
        <v>46</v>
      </c>
      <c r="F596" s="457">
        <f>F578</f>
        <v>1200</v>
      </c>
      <c r="G596" s="457">
        <f t="shared" ref="G596:G606" si="42">TRUNC(D596*F596,2)</f>
        <v>600</v>
      </c>
      <c r="H596" s="457"/>
    </row>
    <row r="597" spans="1:8">
      <c r="B597" s="865"/>
      <c r="C597" s="484" t="s">
        <v>43</v>
      </c>
      <c r="D597" s="488">
        <v>3.5</v>
      </c>
      <c r="E597" s="451" t="s">
        <v>46</v>
      </c>
      <c r="F597" s="457">
        <f t="shared" ref="F597:F606" si="43">F579</f>
        <v>870</v>
      </c>
      <c r="G597" s="457">
        <f t="shared" si="42"/>
        <v>3045</v>
      </c>
      <c r="H597" s="457"/>
    </row>
    <row r="598" spans="1:8">
      <c r="B598" s="864" t="s">
        <v>63</v>
      </c>
      <c r="C598" s="484" t="s">
        <v>70</v>
      </c>
      <c r="D598" s="488">
        <v>0.32</v>
      </c>
      <c r="E598" s="451" t="s">
        <v>71</v>
      </c>
      <c r="F598" s="457">
        <f t="shared" si="43"/>
        <v>14000</v>
      </c>
      <c r="G598" s="457">
        <f t="shared" si="42"/>
        <v>4480</v>
      </c>
      <c r="H598" s="457"/>
    </row>
    <row r="599" spans="1:8">
      <c r="B599" s="868"/>
      <c r="C599" s="454" t="s">
        <v>218</v>
      </c>
      <c r="D599" s="488">
        <v>0.52</v>
      </c>
      <c r="E599" s="451" t="s">
        <v>68</v>
      </c>
      <c r="F599" s="457">
        <f t="shared" si="43"/>
        <v>1830</v>
      </c>
      <c r="G599" s="457">
        <f t="shared" si="42"/>
        <v>951.6</v>
      </c>
      <c r="H599" s="457"/>
    </row>
    <row r="600" spans="1:8">
      <c r="B600" s="868"/>
      <c r="C600" s="454" t="s">
        <v>217</v>
      </c>
      <c r="D600" s="488">
        <v>0.33</v>
      </c>
      <c r="E600" s="451" t="s">
        <v>68</v>
      </c>
      <c r="F600" s="457">
        <f t="shared" si="43"/>
        <v>1830</v>
      </c>
      <c r="G600" s="457">
        <f t="shared" si="42"/>
        <v>603.9</v>
      </c>
      <c r="H600" s="457"/>
    </row>
    <row r="601" spans="1:8">
      <c r="B601" s="868"/>
      <c r="C601" s="528" t="str">
        <f>C583</f>
        <v>Sand crusher</v>
      </c>
      <c r="D601" s="488">
        <v>0.44500000000000001</v>
      </c>
      <c r="E601" s="456" t="s">
        <v>68</v>
      </c>
      <c r="F601" s="457">
        <f t="shared" si="43"/>
        <v>2200</v>
      </c>
      <c r="G601" s="457">
        <f t="shared" si="42"/>
        <v>979</v>
      </c>
      <c r="H601" s="457"/>
    </row>
    <row r="602" spans="1:8">
      <c r="B602" s="868"/>
      <c r="C602" s="484" t="s">
        <v>267</v>
      </c>
      <c r="D602" s="488">
        <v>130</v>
      </c>
      <c r="E602" s="456" t="s">
        <v>107</v>
      </c>
      <c r="F602" s="457">
        <f t="shared" si="43"/>
        <v>0</v>
      </c>
      <c r="G602" s="457">
        <f t="shared" si="42"/>
        <v>0</v>
      </c>
      <c r="H602" s="457"/>
    </row>
    <row r="603" spans="1:8" ht="12.75" customHeight="1">
      <c r="B603" s="868"/>
      <c r="C603" s="484" t="s">
        <v>725</v>
      </c>
      <c r="D603" s="488">
        <v>3</v>
      </c>
      <c r="E603" s="456" t="s">
        <v>107</v>
      </c>
      <c r="F603" s="457">
        <f t="shared" si="43"/>
        <v>131.85840707964604</v>
      </c>
      <c r="G603" s="457">
        <f t="shared" si="42"/>
        <v>395.57</v>
      </c>
      <c r="H603" s="457"/>
    </row>
    <row r="604" spans="1:8" ht="12.75" customHeight="1">
      <c r="B604" s="865"/>
      <c r="C604" s="484" t="s">
        <v>310</v>
      </c>
      <c r="D604" s="488">
        <v>0.1</v>
      </c>
      <c r="E604" s="456" t="s">
        <v>107</v>
      </c>
      <c r="F604" s="457">
        <f t="shared" si="43"/>
        <v>150.88495575221239</v>
      </c>
      <c r="G604" s="457">
        <f t="shared" si="42"/>
        <v>15.08</v>
      </c>
      <c r="H604" s="457"/>
    </row>
    <row r="605" spans="1:8" ht="12.75" customHeight="1">
      <c r="B605" s="864" t="s">
        <v>313</v>
      </c>
      <c r="C605" s="484" t="s">
        <v>311</v>
      </c>
      <c r="D605" s="488">
        <v>0.6</v>
      </c>
      <c r="E605" s="456" t="s">
        <v>285</v>
      </c>
      <c r="F605" s="457">
        <f t="shared" si="43"/>
        <v>627</v>
      </c>
      <c r="G605" s="457">
        <f t="shared" si="42"/>
        <v>376.2</v>
      </c>
      <c r="H605" s="457"/>
    </row>
    <row r="606" spans="1:8" ht="12.75" customHeight="1">
      <c r="B606" s="865"/>
      <c r="C606" s="484" t="s">
        <v>312</v>
      </c>
      <c r="D606" s="488">
        <v>0.25</v>
      </c>
      <c r="E606" s="456" t="s">
        <v>285</v>
      </c>
      <c r="F606" s="457">
        <f t="shared" si="43"/>
        <v>131</v>
      </c>
      <c r="G606" s="457">
        <f t="shared" si="42"/>
        <v>32.75</v>
      </c>
      <c r="H606" s="457"/>
    </row>
    <row r="607" spans="1:8">
      <c r="B607" s="855" t="s">
        <v>62</v>
      </c>
      <c r="C607" s="855"/>
      <c r="D607" s="856" t="s">
        <v>61</v>
      </c>
      <c r="E607" s="856"/>
      <c r="F607" s="856"/>
      <c r="G607" s="457">
        <f>SUM(G596:G606)</f>
        <v>11479.1</v>
      </c>
      <c r="H607" s="457"/>
    </row>
    <row r="608" spans="1:8">
      <c r="B608" s="855"/>
      <c r="C608" s="855"/>
      <c r="D608" s="857" t="s">
        <v>573</v>
      </c>
      <c r="E608" s="857"/>
      <c r="F608" s="857"/>
      <c r="G608" s="457">
        <f>INT(15%*G607*100)/100</f>
        <v>1721.86</v>
      </c>
      <c r="H608" s="457"/>
    </row>
    <row r="609" spans="1:8">
      <c r="B609" s="855"/>
      <c r="C609" s="855"/>
      <c r="D609" s="856" t="s">
        <v>47</v>
      </c>
      <c r="E609" s="856"/>
      <c r="F609" s="856"/>
      <c r="G609" s="457">
        <f>SUM(G607:G608)</f>
        <v>13200.960000000001</v>
      </c>
      <c r="H609" s="457"/>
    </row>
    <row r="610" spans="1:8">
      <c r="B610" s="458"/>
      <c r="C610" s="458"/>
      <c r="F610" s="509"/>
      <c r="G610" s="460"/>
      <c r="H610" s="460"/>
    </row>
    <row r="611" spans="1:8" ht="25.5" customHeight="1">
      <c r="A611" s="445">
        <v>4.09</v>
      </c>
      <c r="B611" s="446" t="s">
        <v>316</v>
      </c>
      <c r="C611" s="876" t="s">
        <v>721</v>
      </c>
      <c r="D611" s="877"/>
      <c r="E611" s="877"/>
      <c r="F611" s="447" t="s">
        <v>68</v>
      </c>
      <c r="G611" s="447">
        <f>G624</f>
        <v>12573.400000000001</v>
      </c>
      <c r="H611" s="448">
        <f>G626</f>
        <v>14459.410000000002</v>
      </c>
    </row>
    <row r="612" spans="1:8">
      <c r="B612" s="450" t="s">
        <v>80</v>
      </c>
      <c r="C612" s="451" t="s">
        <v>81</v>
      </c>
      <c r="D612" s="451" t="s">
        <v>44</v>
      </c>
      <c r="E612" s="451" t="s">
        <v>45</v>
      </c>
      <c r="F612" s="452" t="s">
        <v>58</v>
      </c>
      <c r="G612" s="452" t="s">
        <v>59</v>
      </c>
      <c r="H612" s="452" t="s">
        <v>52</v>
      </c>
    </row>
    <row r="613" spans="1:8">
      <c r="B613" s="864" t="s">
        <v>60</v>
      </c>
      <c r="C613" s="484" t="s">
        <v>69</v>
      </c>
      <c r="D613" s="488">
        <v>0.5</v>
      </c>
      <c r="E613" s="451" t="s">
        <v>46</v>
      </c>
      <c r="F613" s="457">
        <f t="shared" ref="F613:F623" si="44">F596</f>
        <v>1200</v>
      </c>
      <c r="G613" s="457">
        <f t="shared" ref="G613:G623" si="45">TRUNC(D613*F613,2)</f>
        <v>600</v>
      </c>
      <c r="H613" s="457"/>
    </row>
    <row r="614" spans="1:8">
      <c r="B614" s="865"/>
      <c r="C614" s="484" t="s">
        <v>43</v>
      </c>
      <c r="D614" s="488">
        <v>3.5</v>
      </c>
      <c r="E614" s="451" t="s">
        <v>46</v>
      </c>
      <c r="F614" s="457">
        <f t="shared" si="44"/>
        <v>870</v>
      </c>
      <c r="G614" s="457">
        <f t="shared" si="45"/>
        <v>3045</v>
      </c>
      <c r="H614" s="457"/>
    </row>
    <row r="615" spans="1:8">
      <c r="B615" s="864" t="s">
        <v>63</v>
      </c>
      <c r="C615" s="484" t="s">
        <v>70</v>
      </c>
      <c r="D615" s="488">
        <v>0.4</v>
      </c>
      <c r="E615" s="451" t="s">
        <v>71</v>
      </c>
      <c r="F615" s="457">
        <f t="shared" si="44"/>
        <v>14000</v>
      </c>
      <c r="G615" s="457">
        <f t="shared" si="45"/>
        <v>5600</v>
      </c>
      <c r="H615" s="457"/>
    </row>
    <row r="616" spans="1:8">
      <c r="B616" s="868"/>
      <c r="C616" s="454" t="s">
        <v>217</v>
      </c>
      <c r="D616" s="488">
        <v>0.56999999999999995</v>
      </c>
      <c r="E616" s="451" t="s">
        <v>68</v>
      </c>
      <c r="F616" s="457">
        <f t="shared" si="44"/>
        <v>1830</v>
      </c>
      <c r="G616" s="457">
        <f t="shared" si="45"/>
        <v>1043.0999999999999</v>
      </c>
      <c r="H616" s="457"/>
    </row>
    <row r="617" spans="1:8">
      <c r="B617" s="868"/>
      <c r="C617" s="454" t="s">
        <v>215</v>
      </c>
      <c r="D617" s="488">
        <v>0.28999999999999998</v>
      </c>
      <c r="E617" s="451" t="s">
        <v>68</v>
      </c>
      <c r="F617" s="457">
        <f t="shared" si="44"/>
        <v>1830</v>
      </c>
      <c r="G617" s="457">
        <f t="shared" si="45"/>
        <v>530.70000000000005</v>
      </c>
      <c r="H617" s="457"/>
    </row>
    <row r="618" spans="1:8">
      <c r="B618" s="868"/>
      <c r="C618" s="528" t="str">
        <f>C601</f>
        <v>Sand crusher</v>
      </c>
      <c r="D618" s="488">
        <v>0.42499999999999999</v>
      </c>
      <c r="E618" s="456" t="s">
        <v>68</v>
      </c>
      <c r="F618" s="457">
        <f t="shared" si="44"/>
        <v>2200</v>
      </c>
      <c r="G618" s="457">
        <f t="shared" si="45"/>
        <v>935</v>
      </c>
      <c r="H618" s="457"/>
    </row>
    <row r="619" spans="1:8">
      <c r="B619" s="868"/>
      <c r="C619" s="484" t="s">
        <v>267</v>
      </c>
      <c r="D619" s="488">
        <v>200</v>
      </c>
      <c r="E619" s="456" t="s">
        <v>107</v>
      </c>
      <c r="F619" s="457">
        <f t="shared" si="44"/>
        <v>0</v>
      </c>
      <c r="G619" s="457">
        <f t="shared" si="45"/>
        <v>0</v>
      </c>
      <c r="H619" s="457"/>
    </row>
    <row r="620" spans="1:8" ht="12.75" customHeight="1">
      <c r="B620" s="868"/>
      <c r="C620" s="484" t="s">
        <v>725</v>
      </c>
      <c r="D620" s="488">
        <v>3</v>
      </c>
      <c r="E620" s="456" t="s">
        <v>107</v>
      </c>
      <c r="F620" s="457">
        <f t="shared" si="44"/>
        <v>131.85840707964604</v>
      </c>
      <c r="G620" s="457">
        <f t="shared" si="45"/>
        <v>395.57</v>
      </c>
      <c r="H620" s="457"/>
    </row>
    <row r="621" spans="1:8" ht="12.75" customHeight="1">
      <c r="B621" s="865"/>
      <c r="C621" s="484" t="s">
        <v>310</v>
      </c>
      <c r="D621" s="488">
        <v>0.1</v>
      </c>
      <c r="E621" s="456" t="s">
        <v>107</v>
      </c>
      <c r="F621" s="457">
        <f t="shared" si="44"/>
        <v>150.88495575221239</v>
      </c>
      <c r="G621" s="457">
        <f t="shared" si="45"/>
        <v>15.08</v>
      </c>
      <c r="H621" s="457"/>
    </row>
    <row r="622" spans="1:8" ht="12.75" customHeight="1">
      <c r="B622" s="864" t="s">
        <v>313</v>
      </c>
      <c r="C622" s="484" t="s">
        <v>311</v>
      </c>
      <c r="D622" s="488">
        <v>0.6</v>
      </c>
      <c r="E622" s="456" t="s">
        <v>285</v>
      </c>
      <c r="F622" s="457">
        <f t="shared" si="44"/>
        <v>627</v>
      </c>
      <c r="G622" s="457">
        <f t="shared" si="45"/>
        <v>376.2</v>
      </c>
      <c r="H622" s="457"/>
    </row>
    <row r="623" spans="1:8" ht="12.75" customHeight="1">
      <c r="B623" s="865"/>
      <c r="C623" s="484" t="s">
        <v>312</v>
      </c>
      <c r="D623" s="488">
        <v>0.25</v>
      </c>
      <c r="E623" s="456" t="s">
        <v>285</v>
      </c>
      <c r="F623" s="457">
        <f t="shared" si="44"/>
        <v>131</v>
      </c>
      <c r="G623" s="457">
        <f t="shared" si="45"/>
        <v>32.75</v>
      </c>
      <c r="H623" s="457"/>
    </row>
    <row r="624" spans="1:8">
      <c r="B624" s="855" t="s">
        <v>62</v>
      </c>
      <c r="C624" s="855"/>
      <c r="D624" s="856" t="s">
        <v>61</v>
      </c>
      <c r="E624" s="856"/>
      <c r="F624" s="856"/>
      <c r="G624" s="457">
        <f>SUM(G613:G623)</f>
        <v>12573.400000000001</v>
      </c>
      <c r="H624" s="457"/>
    </row>
    <row r="625" spans="1:8">
      <c r="B625" s="855"/>
      <c r="C625" s="855"/>
      <c r="D625" s="857" t="s">
        <v>573</v>
      </c>
      <c r="E625" s="857"/>
      <c r="F625" s="857"/>
      <c r="G625" s="457">
        <f>INT(15%*G624*100)/100</f>
        <v>1886.01</v>
      </c>
      <c r="H625" s="457"/>
    </row>
    <row r="626" spans="1:8">
      <c r="B626" s="855"/>
      <c r="C626" s="855"/>
      <c r="D626" s="856" t="s">
        <v>47</v>
      </c>
      <c r="E626" s="856"/>
      <c r="F626" s="856"/>
      <c r="G626" s="457">
        <f>SUM(G624:G625)</f>
        <v>14459.410000000002</v>
      </c>
      <c r="H626" s="457"/>
    </row>
    <row r="627" spans="1:8">
      <c r="B627" s="458"/>
      <c r="C627" s="458"/>
      <c r="F627" s="509"/>
      <c r="G627" s="460"/>
      <c r="H627" s="460"/>
    </row>
    <row r="628" spans="1:8">
      <c r="B628" s="458"/>
      <c r="C628" s="458"/>
      <c r="F628" s="509"/>
      <c r="G628" s="460"/>
      <c r="H628" s="460"/>
    </row>
    <row r="629" spans="1:8" ht="25.5" customHeight="1">
      <c r="A629" s="507">
        <v>4.0999999999999996</v>
      </c>
      <c r="B629" s="446" t="s">
        <v>317</v>
      </c>
      <c r="C629" s="876" t="s">
        <v>722</v>
      </c>
      <c r="D629" s="877"/>
      <c r="E629" s="877"/>
      <c r="F629" s="447" t="s">
        <v>68</v>
      </c>
      <c r="G629" s="447">
        <f>G642</f>
        <v>15495.1</v>
      </c>
      <c r="H629" s="448">
        <f>G644</f>
        <v>17819.36</v>
      </c>
    </row>
    <row r="630" spans="1:8">
      <c r="B630" s="450" t="s">
        <v>80</v>
      </c>
      <c r="C630" s="451" t="s">
        <v>81</v>
      </c>
      <c r="D630" s="451" t="s">
        <v>44</v>
      </c>
      <c r="E630" s="451" t="s">
        <v>45</v>
      </c>
      <c r="F630" s="452" t="s">
        <v>58</v>
      </c>
      <c r="G630" s="452" t="s">
        <v>59</v>
      </c>
      <c r="H630" s="452" t="s">
        <v>52</v>
      </c>
    </row>
    <row r="631" spans="1:8">
      <c r="B631" s="864" t="s">
        <v>60</v>
      </c>
      <c r="C631" s="484" t="s">
        <v>69</v>
      </c>
      <c r="D631" s="488">
        <v>0.5</v>
      </c>
      <c r="E631" s="451" t="s">
        <v>46</v>
      </c>
      <c r="F631" s="457">
        <f>F613</f>
        <v>1200</v>
      </c>
      <c r="G631" s="457">
        <f t="shared" ref="G631:G641" si="46">TRUNC(D631*F631,2)</f>
        <v>600</v>
      </c>
      <c r="H631" s="457"/>
    </row>
    <row r="632" spans="1:8">
      <c r="B632" s="865"/>
      <c r="C632" s="484" t="s">
        <v>43</v>
      </c>
      <c r="D632" s="488">
        <v>3.5</v>
      </c>
      <c r="E632" s="451" t="s">
        <v>46</v>
      </c>
      <c r="F632" s="457">
        <f t="shared" ref="F632:F641" si="47">F614</f>
        <v>870</v>
      </c>
      <c r="G632" s="457">
        <f t="shared" si="46"/>
        <v>3045</v>
      </c>
      <c r="H632" s="457"/>
    </row>
    <row r="633" spans="1:8">
      <c r="B633" s="864" t="s">
        <v>63</v>
      </c>
      <c r="C633" s="484" t="s">
        <v>70</v>
      </c>
      <c r="D633" s="488">
        <v>0.61</v>
      </c>
      <c r="E633" s="451" t="s">
        <v>71</v>
      </c>
      <c r="F633" s="457">
        <f t="shared" si="47"/>
        <v>14000</v>
      </c>
      <c r="G633" s="457">
        <f t="shared" si="46"/>
        <v>8540</v>
      </c>
      <c r="H633" s="457"/>
    </row>
    <row r="634" spans="1:8">
      <c r="B634" s="868"/>
      <c r="C634" s="454" t="s">
        <v>217</v>
      </c>
      <c r="D634" s="488">
        <v>0.64</v>
      </c>
      <c r="E634" s="451" t="s">
        <v>68</v>
      </c>
      <c r="F634" s="457">
        <f t="shared" si="47"/>
        <v>1830</v>
      </c>
      <c r="G634" s="457">
        <f t="shared" si="46"/>
        <v>1171.2</v>
      </c>
      <c r="H634" s="457"/>
    </row>
    <row r="635" spans="1:8">
      <c r="B635" s="868"/>
      <c r="C635" s="454" t="s">
        <v>215</v>
      </c>
      <c r="D635" s="488">
        <v>0.21</v>
      </c>
      <c r="E635" s="451" t="s">
        <v>68</v>
      </c>
      <c r="F635" s="457">
        <f t="shared" si="47"/>
        <v>1830</v>
      </c>
      <c r="G635" s="457">
        <f t="shared" si="46"/>
        <v>384.3</v>
      </c>
      <c r="H635" s="457"/>
    </row>
    <row r="636" spans="1:8">
      <c r="B636" s="868"/>
      <c r="C636" s="528" t="str">
        <f>C601</f>
        <v>Sand crusher</v>
      </c>
      <c r="D636" s="488">
        <v>0.42499999999999999</v>
      </c>
      <c r="E636" s="456" t="s">
        <v>68</v>
      </c>
      <c r="F636" s="457">
        <f t="shared" si="47"/>
        <v>2200</v>
      </c>
      <c r="G636" s="457">
        <f t="shared" si="46"/>
        <v>935</v>
      </c>
      <c r="H636" s="457"/>
    </row>
    <row r="637" spans="1:8">
      <c r="B637" s="868"/>
      <c r="C637" s="484" t="s">
        <v>267</v>
      </c>
      <c r="D637" s="488">
        <v>300</v>
      </c>
      <c r="E637" s="456" t="s">
        <v>107</v>
      </c>
      <c r="F637" s="457">
        <f t="shared" si="47"/>
        <v>0</v>
      </c>
      <c r="G637" s="457">
        <f t="shared" si="46"/>
        <v>0</v>
      </c>
      <c r="H637" s="457"/>
    </row>
    <row r="638" spans="1:8" ht="12.75" customHeight="1">
      <c r="B638" s="868"/>
      <c r="C638" s="484" t="s">
        <v>725</v>
      </c>
      <c r="D638" s="488">
        <v>3</v>
      </c>
      <c r="E638" s="456" t="s">
        <v>107</v>
      </c>
      <c r="F638" s="457">
        <f t="shared" si="47"/>
        <v>131.85840707964604</v>
      </c>
      <c r="G638" s="457">
        <f t="shared" si="46"/>
        <v>395.57</v>
      </c>
      <c r="H638" s="457"/>
    </row>
    <row r="639" spans="1:8" ht="12.75" customHeight="1">
      <c r="B639" s="865"/>
      <c r="C639" s="484" t="s">
        <v>310</v>
      </c>
      <c r="D639" s="488">
        <v>0.1</v>
      </c>
      <c r="E639" s="456" t="s">
        <v>107</v>
      </c>
      <c r="F639" s="457">
        <f t="shared" si="47"/>
        <v>150.88495575221239</v>
      </c>
      <c r="G639" s="457">
        <f t="shared" si="46"/>
        <v>15.08</v>
      </c>
      <c r="H639" s="457"/>
    </row>
    <row r="640" spans="1:8" ht="12.75" customHeight="1">
      <c r="B640" s="864" t="s">
        <v>313</v>
      </c>
      <c r="C640" s="484" t="s">
        <v>311</v>
      </c>
      <c r="D640" s="488">
        <v>0.6</v>
      </c>
      <c r="E640" s="456" t="s">
        <v>285</v>
      </c>
      <c r="F640" s="457">
        <f t="shared" si="47"/>
        <v>627</v>
      </c>
      <c r="G640" s="457">
        <f t="shared" si="46"/>
        <v>376.2</v>
      </c>
      <c r="H640" s="457"/>
    </row>
    <row r="641" spans="1:8" ht="12.75" customHeight="1">
      <c r="B641" s="865"/>
      <c r="C641" s="484" t="s">
        <v>312</v>
      </c>
      <c r="D641" s="488">
        <v>0.25</v>
      </c>
      <c r="E641" s="456" t="s">
        <v>285</v>
      </c>
      <c r="F641" s="457">
        <f t="shared" si="47"/>
        <v>131</v>
      </c>
      <c r="G641" s="457">
        <f t="shared" si="46"/>
        <v>32.75</v>
      </c>
      <c r="H641" s="457"/>
    </row>
    <row r="642" spans="1:8">
      <c r="B642" s="855" t="s">
        <v>62</v>
      </c>
      <c r="C642" s="855"/>
      <c r="D642" s="856" t="s">
        <v>61</v>
      </c>
      <c r="E642" s="856"/>
      <c r="F642" s="856"/>
      <c r="G642" s="457">
        <f>SUM(G631:G641)</f>
        <v>15495.1</v>
      </c>
      <c r="H642" s="457"/>
    </row>
    <row r="643" spans="1:8">
      <c r="B643" s="855"/>
      <c r="C643" s="855"/>
      <c r="D643" s="857" t="s">
        <v>573</v>
      </c>
      <c r="E643" s="857"/>
      <c r="F643" s="857"/>
      <c r="G643" s="457">
        <f>INT(15%*G642*100)/100</f>
        <v>2324.2600000000002</v>
      </c>
      <c r="H643" s="457"/>
    </row>
    <row r="644" spans="1:8">
      <c r="B644" s="855"/>
      <c r="C644" s="855"/>
      <c r="D644" s="856" t="s">
        <v>47</v>
      </c>
      <c r="E644" s="856"/>
      <c r="F644" s="856"/>
      <c r="G644" s="457">
        <f>SUM(G642:G643)</f>
        <v>17819.36</v>
      </c>
      <c r="H644" s="457"/>
    </row>
    <row r="645" spans="1:8">
      <c r="B645" s="458"/>
      <c r="C645" s="458"/>
      <c r="F645" s="459"/>
      <c r="G645" s="460"/>
      <c r="H645" s="460"/>
    </row>
    <row r="646" spans="1:8">
      <c r="C646" s="444"/>
      <c r="F646" s="462"/>
      <c r="G646" s="460"/>
      <c r="H646" s="460"/>
    </row>
    <row r="647" spans="1:8" ht="25.5" customHeight="1">
      <c r="A647" s="445">
        <v>4.1100000000000003</v>
      </c>
      <c r="B647" s="446" t="s">
        <v>318</v>
      </c>
      <c r="C647" s="876" t="s">
        <v>723</v>
      </c>
      <c r="D647" s="877"/>
      <c r="E647" s="877"/>
      <c r="F647" s="447" t="s">
        <v>68</v>
      </c>
      <c r="G647" s="447">
        <f>G661</f>
        <v>15280.75</v>
      </c>
      <c r="H647" s="448">
        <f>G663</f>
        <v>17572.86</v>
      </c>
    </row>
    <row r="648" spans="1:8">
      <c r="B648" s="450" t="s">
        <v>80</v>
      </c>
      <c r="C648" s="451" t="s">
        <v>81</v>
      </c>
      <c r="D648" s="451" t="s">
        <v>44</v>
      </c>
      <c r="E648" s="451" t="s">
        <v>45</v>
      </c>
      <c r="F648" s="452" t="s">
        <v>58</v>
      </c>
      <c r="G648" s="452" t="s">
        <v>59</v>
      </c>
      <c r="H648" s="452" t="s">
        <v>52</v>
      </c>
    </row>
    <row r="649" spans="1:8">
      <c r="B649" s="864" t="s">
        <v>60</v>
      </c>
      <c r="C649" s="484" t="s">
        <v>69</v>
      </c>
      <c r="D649" s="488">
        <v>0.5</v>
      </c>
      <c r="E649" s="451" t="s">
        <v>46</v>
      </c>
      <c r="F649" s="457">
        <f>F631</f>
        <v>1200</v>
      </c>
      <c r="G649" s="457">
        <f t="shared" ref="G649:G660" si="48">TRUNC(D649*F649,2)</f>
        <v>600</v>
      </c>
      <c r="H649" s="457"/>
    </row>
    <row r="650" spans="1:8">
      <c r="B650" s="865"/>
      <c r="C650" s="484" t="s">
        <v>43</v>
      </c>
      <c r="D650" s="488">
        <v>3.5</v>
      </c>
      <c r="E650" s="451" t="s">
        <v>46</v>
      </c>
      <c r="F650" s="457">
        <f>F632</f>
        <v>870</v>
      </c>
      <c r="G650" s="457">
        <f t="shared" si="48"/>
        <v>3045</v>
      </c>
      <c r="H650" s="457"/>
    </row>
    <row r="651" spans="1:8">
      <c r="B651" s="864" t="s">
        <v>63</v>
      </c>
      <c r="C651" s="484" t="s">
        <v>70</v>
      </c>
      <c r="D651" s="488">
        <v>0.6</v>
      </c>
      <c r="E651" s="451" t="s">
        <v>71</v>
      </c>
      <c r="F651" s="457">
        <f>F633</f>
        <v>14000</v>
      </c>
      <c r="G651" s="457">
        <f t="shared" si="48"/>
        <v>8400</v>
      </c>
      <c r="H651" s="457"/>
    </row>
    <row r="652" spans="1:8">
      <c r="B652" s="868"/>
      <c r="C652" s="454" t="s">
        <v>217</v>
      </c>
      <c r="D652" s="488">
        <v>0.82499999999999996</v>
      </c>
      <c r="E652" s="451" t="s">
        <v>68</v>
      </c>
      <c r="F652" s="457">
        <f>F634</f>
        <v>1830</v>
      </c>
      <c r="G652" s="457">
        <f t="shared" si="48"/>
        <v>1509.75</v>
      </c>
      <c r="H652" s="457"/>
    </row>
    <row r="653" spans="1:8">
      <c r="B653" s="868"/>
      <c r="C653" s="528" t="str">
        <f>C636</f>
        <v>Sand crusher</v>
      </c>
      <c r="D653" s="488">
        <v>0.41199999999999998</v>
      </c>
      <c r="E653" s="456" t="s">
        <v>68</v>
      </c>
      <c r="F653" s="457">
        <f>F636</f>
        <v>2200</v>
      </c>
      <c r="G653" s="457">
        <f t="shared" si="48"/>
        <v>906.4</v>
      </c>
      <c r="H653" s="457"/>
    </row>
    <row r="654" spans="1:8">
      <c r="B654" s="868"/>
      <c r="C654" s="484" t="s">
        <v>320</v>
      </c>
      <c r="D654" s="488">
        <v>12</v>
      </c>
      <c r="E654" s="451" t="s">
        <v>107</v>
      </c>
      <c r="F654" s="457">
        <f>'Basic Rate'!F194</f>
        <v>0</v>
      </c>
      <c r="G654" s="457">
        <f t="shared" si="48"/>
        <v>0</v>
      </c>
      <c r="H654" s="457"/>
    </row>
    <row r="655" spans="1:8">
      <c r="B655" s="868"/>
      <c r="C655" s="484" t="s">
        <v>985</v>
      </c>
      <c r="D655" s="488">
        <v>40</v>
      </c>
      <c r="E655" s="451" t="s">
        <v>74</v>
      </c>
      <c r="F655" s="457">
        <f>'Basic Rate'!F118</f>
        <v>0</v>
      </c>
      <c r="G655" s="457">
        <f t="shared" si="48"/>
        <v>0</v>
      </c>
      <c r="H655" s="457"/>
    </row>
    <row r="656" spans="1:8">
      <c r="B656" s="868"/>
      <c r="C656" s="484" t="s">
        <v>267</v>
      </c>
      <c r="D656" s="488">
        <v>150</v>
      </c>
      <c r="E656" s="456" t="s">
        <v>107</v>
      </c>
      <c r="F656" s="457">
        <f>F637</f>
        <v>0</v>
      </c>
      <c r="G656" s="457">
        <f t="shared" si="48"/>
        <v>0</v>
      </c>
      <c r="H656" s="457"/>
    </row>
    <row r="657" spans="1:8" ht="12.75" customHeight="1">
      <c r="B657" s="868"/>
      <c r="C657" s="484" t="s">
        <v>725</v>
      </c>
      <c r="D657" s="488">
        <v>3</v>
      </c>
      <c r="E657" s="456" t="s">
        <v>107</v>
      </c>
      <c r="F657" s="457">
        <f>'Basic Rate'!F64</f>
        <v>131.85840707964604</v>
      </c>
      <c r="G657" s="457">
        <f t="shared" si="48"/>
        <v>395.57</v>
      </c>
      <c r="H657" s="457"/>
    </row>
    <row r="658" spans="1:8" ht="12.75" customHeight="1">
      <c r="B658" s="868"/>
      <c r="C658" s="484" t="s">
        <v>310</v>
      </c>
      <c r="D658" s="488">
        <v>0.1</v>
      </c>
      <c r="E658" s="456" t="s">
        <v>107</v>
      </c>
      <c r="F658" s="457">
        <f>F639</f>
        <v>150.88495575221239</v>
      </c>
      <c r="G658" s="457">
        <f t="shared" si="48"/>
        <v>15.08</v>
      </c>
      <c r="H658" s="457"/>
    </row>
    <row r="659" spans="1:8" ht="12.75" customHeight="1">
      <c r="B659" s="868"/>
      <c r="C659" s="484" t="s">
        <v>311</v>
      </c>
      <c r="D659" s="488">
        <v>0.6</v>
      </c>
      <c r="E659" s="456" t="s">
        <v>285</v>
      </c>
      <c r="F659" s="457">
        <f>F640</f>
        <v>627</v>
      </c>
      <c r="G659" s="457">
        <f t="shared" si="48"/>
        <v>376.2</v>
      </c>
      <c r="H659" s="457"/>
    </row>
    <row r="660" spans="1:8" ht="12.75" customHeight="1">
      <c r="B660" s="868"/>
      <c r="C660" s="484" t="s">
        <v>312</v>
      </c>
      <c r="D660" s="488">
        <v>0.25</v>
      </c>
      <c r="E660" s="456" t="s">
        <v>285</v>
      </c>
      <c r="F660" s="457">
        <f>F641</f>
        <v>131</v>
      </c>
      <c r="G660" s="457">
        <f t="shared" si="48"/>
        <v>32.75</v>
      </c>
      <c r="H660" s="457"/>
    </row>
    <row r="661" spans="1:8">
      <c r="B661" s="855" t="s">
        <v>62</v>
      </c>
      <c r="C661" s="855"/>
      <c r="D661" s="856" t="s">
        <v>61</v>
      </c>
      <c r="E661" s="856"/>
      <c r="F661" s="856"/>
      <c r="G661" s="457">
        <f>SUM(G649:G660)</f>
        <v>15280.75</v>
      </c>
      <c r="H661" s="457"/>
    </row>
    <row r="662" spans="1:8">
      <c r="B662" s="855"/>
      <c r="C662" s="855"/>
      <c r="D662" s="857" t="s">
        <v>573</v>
      </c>
      <c r="E662" s="857"/>
      <c r="F662" s="857"/>
      <c r="G662" s="457">
        <f>INT(15%*G661*100)/100</f>
        <v>2292.11</v>
      </c>
      <c r="H662" s="457"/>
    </row>
    <row r="663" spans="1:8">
      <c r="B663" s="855"/>
      <c r="C663" s="855"/>
      <c r="D663" s="856" t="s">
        <v>47</v>
      </c>
      <c r="E663" s="856"/>
      <c r="F663" s="856"/>
      <c r="G663" s="457">
        <f>SUM(G661:G662)</f>
        <v>17572.86</v>
      </c>
      <c r="H663" s="457"/>
    </row>
    <row r="664" spans="1:8">
      <c r="B664" s="458"/>
      <c r="C664" s="458"/>
      <c r="F664" s="459"/>
      <c r="G664" s="460"/>
      <c r="H664" s="460"/>
    </row>
    <row r="665" spans="1:8">
      <c r="B665" s="458"/>
      <c r="C665" s="458"/>
      <c r="F665" s="509"/>
      <c r="G665" s="460"/>
      <c r="H665" s="460"/>
    </row>
    <row r="666" spans="1:8" ht="25.5" customHeight="1">
      <c r="A666" s="445">
        <v>4.12</v>
      </c>
      <c r="B666" s="446" t="s">
        <v>304</v>
      </c>
      <c r="C666" s="876" t="s">
        <v>23</v>
      </c>
      <c r="D666" s="877"/>
      <c r="E666" s="877"/>
      <c r="F666" s="447" t="s">
        <v>68</v>
      </c>
      <c r="G666" s="447">
        <f>G675</f>
        <v>10064.950000000001</v>
      </c>
      <c r="H666" s="448">
        <f>G677</f>
        <v>11574.69</v>
      </c>
    </row>
    <row r="667" spans="1:8">
      <c r="B667" s="450" t="s">
        <v>80</v>
      </c>
      <c r="C667" s="451" t="s">
        <v>81</v>
      </c>
      <c r="D667" s="451" t="s">
        <v>44</v>
      </c>
      <c r="E667" s="451" t="s">
        <v>45</v>
      </c>
      <c r="F667" s="452" t="s">
        <v>58</v>
      </c>
      <c r="G667" s="452" t="s">
        <v>59</v>
      </c>
      <c r="H667" s="452" t="s">
        <v>52</v>
      </c>
    </row>
    <row r="668" spans="1:8">
      <c r="B668" s="864" t="s">
        <v>60</v>
      </c>
      <c r="C668" s="484" t="s">
        <v>69</v>
      </c>
      <c r="D668" s="488">
        <v>1</v>
      </c>
      <c r="E668" s="451" t="s">
        <v>46</v>
      </c>
      <c r="F668" s="457">
        <f>F649</f>
        <v>1200</v>
      </c>
      <c r="G668" s="457">
        <f t="shared" ref="G668:G674" si="49">TRUNC(D668*F668,2)</f>
        <v>1200</v>
      </c>
      <c r="H668" s="457"/>
    </row>
    <row r="669" spans="1:8">
      <c r="B669" s="865"/>
      <c r="C669" s="484" t="s">
        <v>43</v>
      </c>
      <c r="D669" s="488">
        <v>4</v>
      </c>
      <c r="E669" s="451" t="s">
        <v>46</v>
      </c>
      <c r="F669" s="457">
        <f>F650</f>
        <v>870</v>
      </c>
      <c r="G669" s="457">
        <f t="shared" si="49"/>
        <v>3480</v>
      </c>
      <c r="H669" s="457"/>
    </row>
    <row r="670" spans="1:8">
      <c r="B670" s="864" t="s">
        <v>63</v>
      </c>
      <c r="C670" s="484" t="s">
        <v>70</v>
      </c>
      <c r="D670" s="488">
        <v>0.17</v>
      </c>
      <c r="E670" s="451" t="s">
        <v>71</v>
      </c>
      <c r="F670" s="457">
        <f>F651</f>
        <v>14000</v>
      </c>
      <c r="G670" s="457">
        <f t="shared" si="49"/>
        <v>2380</v>
      </c>
      <c r="H670" s="457"/>
    </row>
    <row r="671" spans="1:8">
      <c r="B671" s="868"/>
      <c r="C671" s="490" t="s">
        <v>329</v>
      </c>
      <c r="D671" s="488">
        <v>0.65</v>
      </c>
      <c r="E671" s="451" t="s">
        <v>68</v>
      </c>
      <c r="F671" s="457">
        <f>'Basic Rate'!F17</f>
        <v>2135</v>
      </c>
      <c r="G671" s="457">
        <f t="shared" si="49"/>
        <v>1387.75</v>
      </c>
      <c r="H671" s="457"/>
    </row>
    <row r="672" spans="1:8">
      <c r="B672" s="868"/>
      <c r="C672" s="490" t="s">
        <v>327</v>
      </c>
      <c r="D672" s="488">
        <v>0.24</v>
      </c>
      <c r="E672" s="451" t="s">
        <v>68</v>
      </c>
      <c r="F672" s="457">
        <f>'Basic Rate'!F15</f>
        <v>2430</v>
      </c>
      <c r="G672" s="457">
        <f t="shared" si="49"/>
        <v>583.20000000000005</v>
      </c>
      <c r="H672" s="457"/>
    </row>
    <row r="673" spans="1:8">
      <c r="B673" s="868"/>
      <c r="C673" s="528" t="s">
        <v>982</v>
      </c>
      <c r="D673" s="488">
        <v>0.47</v>
      </c>
      <c r="E673" s="456" t="s">
        <v>68</v>
      </c>
      <c r="F673" s="457">
        <f>'Basic Rate'!F173</f>
        <v>2200</v>
      </c>
      <c r="G673" s="457">
        <f t="shared" si="49"/>
        <v>1034</v>
      </c>
      <c r="H673" s="457"/>
    </row>
    <row r="674" spans="1:8" ht="12.75" customHeight="1">
      <c r="B674" s="865"/>
      <c r="C674" s="484" t="s">
        <v>267</v>
      </c>
      <c r="D674" s="488">
        <v>100</v>
      </c>
      <c r="E674" s="456" t="s">
        <v>107</v>
      </c>
      <c r="F674" s="457">
        <f>F637</f>
        <v>0</v>
      </c>
      <c r="G674" s="457">
        <f t="shared" si="49"/>
        <v>0</v>
      </c>
      <c r="H674" s="457"/>
    </row>
    <row r="675" spans="1:8">
      <c r="B675" s="855" t="s">
        <v>62</v>
      </c>
      <c r="C675" s="855"/>
      <c r="D675" s="858" t="s">
        <v>61</v>
      </c>
      <c r="E675" s="859"/>
      <c r="F675" s="860"/>
      <c r="G675" s="457">
        <f>SUM(G668:G674)</f>
        <v>10064.950000000001</v>
      </c>
      <c r="H675" s="457"/>
    </row>
    <row r="676" spans="1:8" ht="12.75" customHeight="1">
      <c r="B676" s="855"/>
      <c r="C676" s="855"/>
      <c r="D676" s="861" t="s">
        <v>573</v>
      </c>
      <c r="E676" s="862"/>
      <c r="F676" s="863"/>
      <c r="G676" s="457">
        <f>INT(15%*G675*100)/100</f>
        <v>1509.74</v>
      </c>
      <c r="H676" s="457"/>
    </row>
    <row r="677" spans="1:8" ht="12.75" customHeight="1">
      <c r="B677" s="855"/>
      <c r="C677" s="855"/>
      <c r="D677" s="858" t="s">
        <v>47</v>
      </c>
      <c r="E677" s="859"/>
      <c r="F677" s="860"/>
      <c r="G677" s="457">
        <f>SUM(G675:G676)</f>
        <v>11574.69</v>
      </c>
      <c r="H677" s="457"/>
    </row>
    <row r="678" spans="1:8">
      <c r="F678" s="462"/>
    </row>
    <row r="679" spans="1:8" ht="25.5" customHeight="1">
      <c r="A679" s="445">
        <v>4.13</v>
      </c>
      <c r="B679" s="446" t="s">
        <v>305</v>
      </c>
      <c r="C679" s="876" t="s">
        <v>24</v>
      </c>
      <c r="D679" s="877"/>
      <c r="E679" s="877"/>
      <c r="F679" s="447" t="s">
        <v>68</v>
      </c>
      <c r="G679" s="447">
        <f>G688</f>
        <v>10764.95</v>
      </c>
      <c r="H679" s="448">
        <f>G690</f>
        <v>12379.69</v>
      </c>
    </row>
    <row r="680" spans="1:8">
      <c r="B680" s="450" t="s">
        <v>80</v>
      </c>
      <c r="C680" s="451" t="s">
        <v>81</v>
      </c>
      <c r="D680" s="451" t="s">
        <v>44</v>
      </c>
      <c r="E680" s="451" t="s">
        <v>45</v>
      </c>
      <c r="F680" s="452" t="s">
        <v>58</v>
      </c>
      <c r="G680" s="452" t="s">
        <v>59</v>
      </c>
      <c r="H680" s="452" t="s">
        <v>52</v>
      </c>
    </row>
    <row r="681" spans="1:8">
      <c r="B681" s="864" t="s">
        <v>60</v>
      </c>
      <c r="C681" s="484" t="s">
        <v>69</v>
      </c>
      <c r="D681" s="488">
        <v>1</v>
      </c>
      <c r="E681" s="451" t="s">
        <v>46</v>
      </c>
      <c r="F681" s="457">
        <f>F668</f>
        <v>1200</v>
      </c>
      <c r="G681" s="457">
        <f t="shared" ref="G681:G687" si="50">TRUNC(D681*F681,2)</f>
        <v>1200</v>
      </c>
      <c r="H681" s="457"/>
    </row>
    <row r="682" spans="1:8">
      <c r="B682" s="865"/>
      <c r="C682" s="484" t="s">
        <v>43</v>
      </c>
      <c r="D682" s="488">
        <v>4</v>
      </c>
      <c r="E682" s="451" t="s">
        <v>46</v>
      </c>
      <c r="F682" s="457">
        <f t="shared" ref="F682:F687" si="51">F669</f>
        <v>870</v>
      </c>
      <c r="G682" s="457">
        <f t="shared" si="50"/>
        <v>3480</v>
      </c>
      <c r="H682" s="457"/>
    </row>
    <row r="683" spans="1:8">
      <c r="B683" s="864" t="s">
        <v>63</v>
      </c>
      <c r="C683" s="484" t="s">
        <v>70</v>
      </c>
      <c r="D683" s="488">
        <v>0.22</v>
      </c>
      <c r="E683" s="451" t="s">
        <v>71</v>
      </c>
      <c r="F683" s="457">
        <f t="shared" si="51"/>
        <v>14000</v>
      </c>
      <c r="G683" s="457">
        <f t="shared" si="50"/>
        <v>3080</v>
      </c>
      <c r="H683" s="457"/>
    </row>
    <row r="684" spans="1:8">
      <c r="B684" s="868"/>
      <c r="C684" s="490" t="s">
        <v>329</v>
      </c>
      <c r="D684" s="488">
        <v>0.65</v>
      </c>
      <c r="E684" s="451" t="s">
        <v>68</v>
      </c>
      <c r="F684" s="457">
        <f t="shared" si="51"/>
        <v>2135</v>
      </c>
      <c r="G684" s="457">
        <f t="shared" si="50"/>
        <v>1387.75</v>
      </c>
      <c r="H684" s="457"/>
    </row>
    <row r="685" spans="1:8">
      <c r="B685" s="868"/>
      <c r="C685" s="490" t="s">
        <v>327</v>
      </c>
      <c r="D685" s="488">
        <v>0.24</v>
      </c>
      <c r="E685" s="451" t="s">
        <v>68</v>
      </c>
      <c r="F685" s="457">
        <f t="shared" si="51"/>
        <v>2430</v>
      </c>
      <c r="G685" s="457">
        <f t="shared" si="50"/>
        <v>583.20000000000005</v>
      </c>
      <c r="H685" s="457"/>
    </row>
    <row r="686" spans="1:8">
      <c r="B686" s="868"/>
      <c r="C686" s="528" t="str">
        <f>C673</f>
        <v xml:space="preserve">Sand Crusher </v>
      </c>
      <c r="D686" s="488">
        <v>0.47</v>
      </c>
      <c r="E686" s="456" t="s">
        <v>68</v>
      </c>
      <c r="F686" s="457">
        <f t="shared" si="51"/>
        <v>2200</v>
      </c>
      <c r="G686" s="457">
        <f t="shared" si="50"/>
        <v>1034</v>
      </c>
      <c r="H686" s="457"/>
    </row>
    <row r="687" spans="1:8" ht="12.75" customHeight="1">
      <c r="B687" s="865"/>
      <c r="C687" s="484" t="s">
        <v>267</v>
      </c>
      <c r="D687" s="488">
        <v>120</v>
      </c>
      <c r="E687" s="456" t="s">
        <v>107</v>
      </c>
      <c r="F687" s="457">
        <f t="shared" si="51"/>
        <v>0</v>
      </c>
      <c r="G687" s="457">
        <f t="shared" si="50"/>
        <v>0</v>
      </c>
      <c r="H687" s="457"/>
    </row>
    <row r="688" spans="1:8">
      <c r="B688" s="855" t="s">
        <v>62</v>
      </c>
      <c r="C688" s="855"/>
      <c r="D688" s="856" t="s">
        <v>61</v>
      </c>
      <c r="E688" s="856"/>
      <c r="F688" s="856"/>
      <c r="G688" s="457">
        <f>SUM(G681:G687)</f>
        <v>10764.95</v>
      </c>
      <c r="H688" s="457"/>
    </row>
    <row r="689" spans="1:8">
      <c r="B689" s="855"/>
      <c r="C689" s="855"/>
      <c r="D689" s="857" t="s">
        <v>573</v>
      </c>
      <c r="E689" s="857"/>
      <c r="F689" s="857"/>
      <c r="G689" s="457">
        <f>INT(15%*G688*100)/100</f>
        <v>1614.74</v>
      </c>
      <c r="H689" s="457"/>
    </row>
    <row r="690" spans="1:8">
      <c r="B690" s="855"/>
      <c r="C690" s="855"/>
      <c r="D690" s="856" t="s">
        <v>47</v>
      </c>
      <c r="E690" s="856"/>
      <c r="F690" s="856"/>
      <c r="G690" s="457">
        <f>SUM(G688:G689)</f>
        <v>12379.69</v>
      </c>
      <c r="H690" s="457"/>
    </row>
    <row r="692" spans="1:8" ht="25.5" customHeight="1">
      <c r="A692" s="445" t="s">
        <v>941</v>
      </c>
      <c r="B692" s="446" t="s">
        <v>315</v>
      </c>
      <c r="C692" s="876" t="s">
        <v>938</v>
      </c>
      <c r="D692" s="877"/>
      <c r="E692" s="877"/>
      <c r="F692" s="447" t="s">
        <v>68</v>
      </c>
      <c r="G692" s="447">
        <f>G698</f>
        <v>14177.75</v>
      </c>
      <c r="H692" s="448">
        <f>G700</f>
        <v>16304.41</v>
      </c>
    </row>
    <row r="693" spans="1:8">
      <c r="B693" s="450" t="s">
        <v>80</v>
      </c>
      <c r="C693" s="451" t="s">
        <v>81</v>
      </c>
      <c r="D693" s="451" t="s">
        <v>44</v>
      </c>
      <c r="E693" s="451" t="s">
        <v>45</v>
      </c>
      <c r="F693" s="452" t="s">
        <v>58</v>
      </c>
      <c r="G693" s="452" t="s">
        <v>59</v>
      </c>
      <c r="H693" s="452" t="s">
        <v>52</v>
      </c>
    </row>
    <row r="694" spans="1:8">
      <c r="B694" s="864" t="s">
        <v>60</v>
      </c>
      <c r="C694" s="484" t="s">
        <v>69</v>
      </c>
      <c r="D694" s="488">
        <v>0.5</v>
      </c>
      <c r="E694" s="451" t="s">
        <v>46</v>
      </c>
      <c r="F694" s="457">
        <f>LOOKUP(C694,'Basic Rate'!$B$8:$B$328,'Basic Rate'!$F$8:$F$328)</f>
        <v>1200</v>
      </c>
      <c r="G694" s="457">
        <f>TRUNC(D694*F694,2)</f>
        <v>600</v>
      </c>
      <c r="H694" s="457"/>
    </row>
    <row r="695" spans="1:8">
      <c r="B695" s="865"/>
      <c r="C695" s="484" t="s">
        <v>43</v>
      </c>
      <c r="D695" s="488">
        <v>3.5</v>
      </c>
      <c r="E695" s="451" t="s">
        <v>46</v>
      </c>
      <c r="F695" s="457">
        <f>LOOKUP(C695,'Basic Rate'!$B$8:$B$328,'Basic Rate'!$F$8:$F$328)</f>
        <v>870</v>
      </c>
      <c r="G695" s="457">
        <f>TRUNC(D695*F695,2)</f>
        <v>3045</v>
      </c>
      <c r="H695" s="457"/>
    </row>
    <row r="696" spans="1:8" ht="12.75" customHeight="1">
      <c r="B696" s="529" t="s">
        <v>63</v>
      </c>
      <c r="C696" s="484" t="s">
        <v>940</v>
      </c>
      <c r="D696" s="488">
        <v>1</v>
      </c>
      <c r="E696" s="456" t="s">
        <v>68</v>
      </c>
      <c r="F696" s="457">
        <f>'Basic Rate'!F135</f>
        <v>10500</v>
      </c>
      <c r="G696" s="457">
        <f>TRUNC(D696*F696,2)</f>
        <v>10500</v>
      </c>
      <c r="H696" s="457"/>
    </row>
    <row r="697" spans="1:8" ht="12.75" customHeight="1">
      <c r="B697" s="529" t="s">
        <v>313</v>
      </c>
      <c r="C697" s="484" t="s">
        <v>312</v>
      </c>
      <c r="D697" s="488">
        <v>0.25</v>
      </c>
      <c r="E697" s="456" t="s">
        <v>285</v>
      </c>
      <c r="F697" s="457">
        <f>LOOKUP(C697,'Basic Rate'!$B$8:$B$328,'Basic Rate'!$F$8:$F$328)</f>
        <v>131</v>
      </c>
      <c r="G697" s="457">
        <f>TRUNC(D697*F697,2)</f>
        <v>32.75</v>
      </c>
      <c r="H697" s="457"/>
    </row>
    <row r="698" spans="1:8">
      <c r="B698" s="855" t="s">
        <v>62</v>
      </c>
      <c r="C698" s="855"/>
      <c r="D698" s="856" t="s">
        <v>61</v>
      </c>
      <c r="E698" s="856"/>
      <c r="F698" s="856"/>
      <c r="G698" s="457">
        <f>SUM(G694:G697)</f>
        <v>14177.75</v>
      </c>
      <c r="H698" s="457"/>
    </row>
    <row r="699" spans="1:8">
      <c r="B699" s="855"/>
      <c r="C699" s="855"/>
      <c r="D699" s="857" t="s">
        <v>573</v>
      </c>
      <c r="E699" s="857"/>
      <c r="F699" s="857"/>
      <c r="G699" s="457">
        <f>INT(15%*G698*100)/100</f>
        <v>2126.66</v>
      </c>
      <c r="H699" s="457"/>
    </row>
    <row r="700" spans="1:8">
      <c r="B700" s="855"/>
      <c r="C700" s="855"/>
      <c r="D700" s="856" t="s">
        <v>47</v>
      </c>
      <c r="E700" s="856"/>
      <c r="F700" s="856"/>
      <c r="G700" s="457">
        <f>SUM(G698:G699)</f>
        <v>16304.41</v>
      </c>
      <c r="H700" s="457"/>
    </row>
    <row r="701" spans="1:8" ht="25.5" customHeight="1">
      <c r="A701" s="445">
        <v>4.1399999999999997</v>
      </c>
      <c r="B701" s="446" t="s">
        <v>306</v>
      </c>
      <c r="C701" s="876" t="s">
        <v>25</v>
      </c>
      <c r="D701" s="877"/>
      <c r="E701" s="877"/>
      <c r="F701" s="447" t="s">
        <v>68</v>
      </c>
      <c r="G701" s="447">
        <f>G711</f>
        <v>12091.800000000001</v>
      </c>
      <c r="H701" s="448">
        <f>G713</f>
        <v>13905.570000000002</v>
      </c>
    </row>
    <row r="702" spans="1:8">
      <c r="B702" s="450" t="s">
        <v>80</v>
      </c>
      <c r="C702" s="451" t="s">
        <v>81</v>
      </c>
      <c r="D702" s="451" t="s">
        <v>44</v>
      </c>
      <c r="E702" s="451" t="s">
        <v>45</v>
      </c>
      <c r="F702" s="452" t="s">
        <v>58</v>
      </c>
      <c r="G702" s="452" t="s">
        <v>59</v>
      </c>
      <c r="H702" s="452" t="s">
        <v>52</v>
      </c>
    </row>
    <row r="703" spans="1:8">
      <c r="B703" s="864" t="s">
        <v>60</v>
      </c>
      <c r="C703" s="484" t="s">
        <v>69</v>
      </c>
      <c r="D703" s="455">
        <v>1</v>
      </c>
      <c r="E703" s="451" t="s">
        <v>46</v>
      </c>
      <c r="F703" s="457">
        <f>F681</f>
        <v>1200</v>
      </c>
      <c r="G703" s="457">
        <f t="shared" ref="G703:G710" si="52">TRUNC(D703*F703,2)</f>
        <v>1200</v>
      </c>
      <c r="H703" s="457"/>
    </row>
    <row r="704" spans="1:8">
      <c r="B704" s="865"/>
      <c r="C704" s="484" t="s">
        <v>43</v>
      </c>
      <c r="D704" s="455">
        <v>4</v>
      </c>
      <c r="E704" s="451" t="s">
        <v>46</v>
      </c>
      <c r="F704" s="457">
        <f>F682</f>
        <v>870</v>
      </c>
      <c r="G704" s="457">
        <f t="shared" si="52"/>
        <v>3480</v>
      </c>
      <c r="H704" s="457"/>
    </row>
    <row r="705" spans="1:8">
      <c r="B705" s="864" t="s">
        <v>63</v>
      </c>
      <c r="C705" s="484" t="s">
        <v>70</v>
      </c>
      <c r="D705" s="455">
        <v>0.32</v>
      </c>
      <c r="E705" s="451" t="s">
        <v>71</v>
      </c>
      <c r="F705" s="457">
        <f>F683</f>
        <v>14000</v>
      </c>
      <c r="G705" s="457">
        <f t="shared" si="52"/>
        <v>4480</v>
      </c>
      <c r="H705" s="457"/>
    </row>
    <row r="706" spans="1:8">
      <c r="B706" s="868"/>
      <c r="C706" s="490" t="s">
        <v>329</v>
      </c>
      <c r="D706" s="455">
        <v>0.52</v>
      </c>
      <c r="E706" s="451" t="s">
        <v>68</v>
      </c>
      <c r="F706" s="457">
        <f>F684</f>
        <v>2135</v>
      </c>
      <c r="G706" s="457">
        <f t="shared" si="52"/>
        <v>1110.2</v>
      </c>
      <c r="H706" s="457"/>
    </row>
    <row r="707" spans="1:8">
      <c r="B707" s="868"/>
      <c r="C707" s="490" t="s">
        <v>327</v>
      </c>
      <c r="D707" s="455">
        <v>0.22</v>
      </c>
      <c r="E707" s="451" t="s">
        <v>68</v>
      </c>
      <c r="F707" s="457">
        <f>F685</f>
        <v>2430</v>
      </c>
      <c r="G707" s="457">
        <f t="shared" si="52"/>
        <v>534.6</v>
      </c>
      <c r="H707" s="457"/>
    </row>
    <row r="708" spans="1:8">
      <c r="B708" s="868"/>
      <c r="C708" s="490" t="s">
        <v>328</v>
      </c>
      <c r="D708" s="455">
        <v>0.11</v>
      </c>
      <c r="E708" s="451" t="s">
        <v>68</v>
      </c>
      <c r="F708" s="457">
        <f>'Basic Rate'!F11</f>
        <v>2800</v>
      </c>
      <c r="G708" s="457">
        <f t="shared" si="52"/>
        <v>308</v>
      </c>
      <c r="H708" s="457"/>
    </row>
    <row r="709" spans="1:8">
      <c r="B709" s="868"/>
      <c r="C709" s="528" t="str">
        <f>C686</f>
        <v xml:space="preserve">Sand Crusher </v>
      </c>
      <c r="D709" s="455">
        <v>0.44500000000000001</v>
      </c>
      <c r="E709" s="456" t="s">
        <v>68</v>
      </c>
      <c r="F709" s="457">
        <f>F686</f>
        <v>2200</v>
      </c>
      <c r="G709" s="457">
        <f t="shared" si="52"/>
        <v>979</v>
      </c>
      <c r="H709" s="457"/>
    </row>
    <row r="710" spans="1:8">
      <c r="B710" s="865"/>
      <c r="C710" s="484" t="s">
        <v>267</v>
      </c>
      <c r="D710" s="488">
        <v>150</v>
      </c>
      <c r="E710" s="456" t="s">
        <v>107</v>
      </c>
      <c r="F710" s="457">
        <f>F687</f>
        <v>0</v>
      </c>
      <c r="G710" s="457">
        <f t="shared" si="52"/>
        <v>0</v>
      </c>
      <c r="H710" s="457"/>
    </row>
    <row r="711" spans="1:8">
      <c r="B711" s="855" t="s">
        <v>62</v>
      </c>
      <c r="C711" s="855"/>
      <c r="D711" s="856" t="s">
        <v>61</v>
      </c>
      <c r="E711" s="856"/>
      <c r="F711" s="856"/>
      <c r="G711" s="457">
        <f>SUM(G703:G710)</f>
        <v>12091.800000000001</v>
      </c>
      <c r="H711" s="457"/>
    </row>
    <row r="712" spans="1:8">
      <c r="B712" s="855"/>
      <c r="C712" s="855"/>
      <c r="D712" s="857" t="s">
        <v>573</v>
      </c>
      <c r="E712" s="857"/>
      <c r="F712" s="857"/>
      <c r="G712" s="457">
        <f>INT(15%*G711*100)/100</f>
        <v>1813.77</v>
      </c>
      <c r="H712" s="457"/>
    </row>
    <row r="713" spans="1:8">
      <c r="B713" s="855"/>
      <c r="C713" s="855"/>
      <c r="D713" s="856" t="s">
        <v>47</v>
      </c>
      <c r="E713" s="856"/>
      <c r="F713" s="856"/>
      <c r="G713" s="457">
        <f>SUM(G711:G712)</f>
        <v>13905.570000000002</v>
      </c>
      <c r="H713" s="457"/>
    </row>
    <row r="714" spans="1:8" ht="25.5" customHeight="1">
      <c r="A714" s="445" t="s">
        <v>961</v>
      </c>
      <c r="B714" s="446" t="s">
        <v>962</v>
      </c>
      <c r="C714" s="876" t="s">
        <v>963</v>
      </c>
      <c r="D714" s="877"/>
      <c r="E714" s="877"/>
      <c r="F714" s="447" t="s">
        <v>68</v>
      </c>
      <c r="G714" s="447">
        <f>G719</f>
        <v>14645</v>
      </c>
      <c r="H714" s="448">
        <f>G721</f>
        <v>16841.75</v>
      </c>
    </row>
    <row r="715" spans="1:8">
      <c r="B715" s="450" t="s">
        <v>80</v>
      </c>
      <c r="C715" s="451" t="s">
        <v>81</v>
      </c>
      <c r="D715" s="451" t="s">
        <v>44</v>
      </c>
      <c r="E715" s="451" t="s">
        <v>45</v>
      </c>
      <c r="F715" s="452" t="s">
        <v>58</v>
      </c>
      <c r="G715" s="452" t="s">
        <v>59</v>
      </c>
      <c r="H715" s="452" t="s">
        <v>52</v>
      </c>
    </row>
    <row r="716" spans="1:8">
      <c r="B716" s="864" t="s">
        <v>60</v>
      </c>
      <c r="C716" s="484" t="s">
        <v>69</v>
      </c>
      <c r="D716" s="455">
        <v>0.5</v>
      </c>
      <c r="E716" s="451" t="s">
        <v>46</v>
      </c>
      <c r="F716" s="457">
        <f>LOOKUP(C716,'Basic Rate'!$B$8:$B$328,'Basic Rate'!$F$8:$F$328)</f>
        <v>1200</v>
      </c>
      <c r="G716" s="457">
        <f>TRUNC(D716*F716,2)</f>
        <v>600</v>
      </c>
      <c r="H716" s="457"/>
    </row>
    <row r="717" spans="1:8">
      <c r="B717" s="865"/>
      <c r="C717" s="484" t="s">
        <v>43</v>
      </c>
      <c r="D717" s="455">
        <v>3.5</v>
      </c>
      <c r="E717" s="451" t="s">
        <v>46</v>
      </c>
      <c r="F717" s="457">
        <f>LOOKUP(C717,'Basic Rate'!$B$8:$B$328,'Basic Rate'!$F$8:$F$328)</f>
        <v>870</v>
      </c>
      <c r="G717" s="457">
        <f>TRUNC(D717*F717,2)</f>
        <v>3045</v>
      </c>
      <c r="H717" s="457"/>
    </row>
    <row r="718" spans="1:8" ht="12.75" customHeight="1">
      <c r="B718" s="529" t="s">
        <v>63</v>
      </c>
      <c r="C718" s="484" t="s">
        <v>945</v>
      </c>
      <c r="D718" s="488">
        <v>1</v>
      </c>
      <c r="E718" s="456" t="s">
        <v>68</v>
      </c>
      <c r="F718" s="457">
        <f>'Basic Rate'!F136</f>
        <v>11000</v>
      </c>
      <c r="G718" s="457">
        <f>TRUNC(D718*F718,2)</f>
        <v>11000</v>
      </c>
      <c r="H718" s="457"/>
    </row>
    <row r="719" spans="1:8">
      <c r="B719" s="855" t="s">
        <v>62</v>
      </c>
      <c r="C719" s="855"/>
      <c r="D719" s="856" t="s">
        <v>61</v>
      </c>
      <c r="E719" s="856"/>
      <c r="F719" s="856"/>
      <c r="G719" s="457">
        <f>SUM(G716:G718)</f>
        <v>14645</v>
      </c>
      <c r="H719" s="457"/>
    </row>
    <row r="720" spans="1:8">
      <c r="B720" s="855"/>
      <c r="C720" s="855"/>
      <c r="D720" s="857" t="s">
        <v>573</v>
      </c>
      <c r="E720" s="857"/>
      <c r="F720" s="857"/>
      <c r="G720" s="457">
        <f>INT(15%*G719*100)/100</f>
        <v>2196.75</v>
      </c>
      <c r="H720" s="457"/>
    </row>
    <row r="721" spans="1:8">
      <c r="B721" s="855"/>
      <c r="C721" s="855"/>
      <c r="D721" s="856" t="s">
        <v>47</v>
      </c>
      <c r="E721" s="856"/>
      <c r="F721" s="856"/>
      <c r="G721" s="457">
        <f>SUM(G719:G720)</f>
        <v>16841.75</v>
      </c>
      <c r="H721" s="457"/>
    </row>
    <row r="722" spans="1:8">
      <c r="C722" s="444"/>
      <c r="F722" s="462"/>
      <c r="H722" s="460"/>
    </row>
    <row r="723" spans="1:8" ht="23.25" customHeight="1">
      <c r="A723" s="445">
        <v>4.1500000000000004</v>
      </c>
      <c r="B723" s="446" t="s">
        <v>307</v>
      </c>
      <c r="C723" s="876" t="s">
        <v>26</v>
      </c>
      <c r="D723" s="877"/>
      <c r="E723" s="877"/>
      <c r="F723" s="447" t="s">
        <v>68</v>
      </c>
      <c r="G723" s="447">
        <f>G733</f>
        <v>14461.800000000001</v>
      </c>
      <c r="H723" s="448">
        <f>G735</f>
        <v>16631.07</v>
      </c>
    </row>
    <row r="724" spans="1:8">
      <c r="B724" s="450" t="s">
        <v>80</v>
      </c>
      <c r="C724" s="451" t="s">
        <v>81</v>
      </c>
      <c r="D724" s="451" t="s">
        <v>44</v>
      </c>
      <c r="E724" s="451" t="s">
        <v>45</v>
      </c>
      <c r="F724" s="452" t="s">
        <v>58</v>
      </c>
      <c r="G724" s="452" t="s">
        <v>59</v>
      </c>
      <c r="H724" s="452" t="s">
        <v>52</v>
      </c>
    </row>
    <row r="725" spans="1:8">
      <c r="B725" s="864" t="s">
        <v>60</v>
      </c>
      <c r="C725" s="484" t="s">
        <v>69</v>
      </c>
      <c r="D725" s="488">
        <v>0.8</v>
      </c>
      <c r="E725" s="451" t="s">
        <v>46</v>
      </c>
      <c r="F725" s="457">
        <f>F703</f>
        <v>1200</v>
      </c>
      <c r="G725" s="457">
        <f t="shared" ref="G725:G732" si="53">TRUNC(D725*F725,2)</f>
        <v>960</v>
      </c>
      <c r="H725" s="457"/>
    </row>
    <row r="726" spans="1:8">
      <c r="B726" s="865"/>
      <c r="C726" s="484" t="s">
        <v>43</v>
      </c>
      <c r="D726" s="488">
        <v>7</v>
      </c>
      <c r="E726" s="451" t="s">
        <v>46</v>
      </c>
      <c r="F726" s="457">
        <f t="shared" ref="F726:F732" si="54">F704</f>
        <v>870</v>
      </c>
      <c r="G726" s="457">
        <f t="shared" si="53"/>
        <v>6090</v>
      </c>
      <c r="H726" s="457"/>
    </row>
    <row r="727" spans="1:8">
      <c r="B727" s="864" t="s">
        <v>63</v>
      </c>
      <c r="C727" s="484" t="s">
        <v>70</v>
      </c>
      <c r="D727" s="488">
        <v>0.32</v>
      </c>
      <c r="E727" s="451" t="s">
        <v>71</v>
      </c>
      <c r="F727" s="457">
        <f t="shared" si="54"/>
        <v>14000</v>
      </c>
      <c r="G727" s="457">
        <f t="shared" si="53"/>
        <v>4480</v>
      </c>
      <c r="H727" s="457"/>
    </row>
    <row r="728" spans="1:8">
      <c r="B728" s="868"/>
      <c r="C728" s="490" t="s">
        <v>329</v>
      </c>
      <c r="D728" s="488">
        <v>0.52</v>
      </c>
      <c r="E728" s="451" t="s">
        <v>68</v>
      </c>
      <c r="F728" s="457">
        <f t="shared" si="54"/>
        <v>2135</v>
      </c>
      <c r="G728" s="457">
        <f t="shared" si="53"/>
        <v>1110.2</v>
      </c>
      <c r="H728" s="457"/>
    </row>
    <row r="729" spans="1:8">
      <c r="B729" s="868"/>
      <c r="C729" s="490" t="s">
        <v>330</v>
      </c>
      <c r="D729" s="488">
        <v>0.22</v>
      </c>
      <c r="E729" s="451" t="s">
        <v>68</v>
      </c>
      <c r="F729" s="457">
        <f t="shared" si="54"/>
        <v>2430</v>
      </c>
      <c r="G729" s="457">
        <f t="shared" si="53"/>
        <v>534.6</v>
      </c>
      <c r="H729" s="457"/>
    </row>
    <row r="730" spans="1:8">
      <c r="B730" s="868"/>
      <c r="C730" s="490" t="s">
        <v>328</v>
      </c>
      <c r="D730" s="488">
        <v>0.11</v>
      </c>
      <c r="E730" s="451" t="s">
        <v>68</v>
      </c>
      <c r="F730" s="457">
        <f t="shared" si="54"/>
        <v>2800</v>
      </c>
      <c r="G730" s="457">
        <f t="shared" si="53"/>
        <v>308</v>
      </c>
      <c r="H730" s="457"/>
    </row>
    <row r="731" spans="1:8">
      <c r="B731" s="868"/>
      <c r="C731" s="528" t="str">
        <f>C709</f>
        <v xml:space="preserve">Sand Crusher </v>
      </c>
      <c r="D731" s="488">
        <v>0.44500000000000001</v>
      </c>
      <c r="E731" s="456" t="s">
        <v>68</v>
      </c>
      <c r="F731" s="457">
        <f t="shared" si="54"/>
        <v>2200</v>
      </c>
      <c r="G731" s="457">
        <f t="shared" si="53"/>
        <v>979</v>
      </c>
      <c r="H731" s="457"/>
    </row>
    <row r="732" spans="1:8">
      <c r="B732" s="865"/>
      <c r="C732" s="484" t="s">
        <v>267</v>
      </c>
      <c r="D732" s="488">
        <v>150</v>
      </c>
      <c r="E732" s="456" t="s">
        <v>107</v>
      </c>
      <c r="F732" s="457">
        <f t="shared" si="54"/>
        <v>0</v>
      </c>
      <c r="G732" s="457">
        <f t="shared" si="53"/>
        <v>0</v>
      </c>
      <c r="H732" s="457"/>
    </row>
    <row r="733" spans="1:8">
      <c r="B733" s="855" t="s">
        <v>62</v>
      </c>
      <c r="C733" s="855"/>
      <c r="D733" s="856" t="s">
        <v>61</v>
      </c>
      <c r="E733" s="856"/>
      <c r="F733" s="856"/>
      <c r="G733" s="457">
        <f>SUM(G725:G732)</f>
        <v>14461.800000000001</v>
      </c>
      <c r="H733" s="457"/>
    </row>
    <row r="734" spans="1:8">
      <c r="B734" s="855"/>
      <c r="C734" s="855"/>
      <c r="D734" s="857" t="s">
        <v>573</v>
      </c>
      <c r="E734" s="857"/>
      <c r="F734" s="857"/>
      <c r="G734" s="457">
        <f>INT(15%*G733*100)/100</f>
        <v>2169.27</v>
      </c>
      <c r="H734" s="457"/>
    </row>
    <row r="735" spans="1:8">
      <c r="B735" s="855"/>
      <c r="C735" s="855"/>
      <c r="D735" s="856" t="s">
        <v>47</v>
      </c>
      <c r="E735" s="856"/>
      <c r="F735" s="856"/>
      <c r="G735" s="457">
        <f>SUM(G733:G734)</f>
        <v>16631.07</v>
      </c>
      <c r="H735" s="457"/>
    </row>
    <row r="736" spans="1:8">
      <c r="B736" s="458"/>
      <c r="C736" s="458"/>
      <c r="F736" s="459"/>
      <c r="G736" s="460"/>
      <c r="H736" s="460"/>
    </row>
    <row r="737" spans="1:8" s="495" customFormat="1" ht="25.5" customHeight="1">
      <c r="A737" s="445" t="s">
        <v>942</v>
      </c>
      <c r="B737" s="446" t="s">
        <v>943</v>
      </c>
      <c r="C737" s="888" t="s">
        <v>944</v>
      </c>
      <c r="D737" s="889"/>
      <c r="E737" s="889"/>
      <c r="F737" s="447" t="s">
        <v>68</v>
      </c>
      <c r="G737" s="447">
        <f>G743</f>
        <v>14677.75</v>
      </c>
      <c r="H737" s="448">
        <f>G745</f>
        <v>16879.41</v>
      </c>
    </row>
    <row r="738" spans="1:8">
      <c r="B738" s="450" t="s">
        <v>80</v>
      </c>
      <c r="C738" s="451" t="s">
        <v>81</v>
      </c>
      <c r="D738" s="451" t="s">
        <v>44</v>
      </c>
      <c r="E738" s="451" t="s">
        <v>45</v>
      </c>
      <c r="F738" s="452" t="s">
        <v>58</v>
      </c>
      <c r="G738" s="452" t="s">
        <v>59</v>
      </c>
      <c r="H738" s="452" t="s">
        <v>52</v>
      </c>
    </row>
    <row r="739" spans="1:8">
      <c r="B739" s="864" t="s">
        <v>60</v>
      </c>
      <c r="C739" s="484" t="s">
        <v>69</v>
      </c>
      <c r="D739" s="488">
        <v>0.5</v>
      </c>
      <c r="E739" s="451" t="s">
        <v>46</v>
      </c>
      <c r="F739" s="457">
        <f>LOOKUP(C739,'Basic Rate'!$B$8:$B$328,'Basic Rate'!$F$8:$F$328)</f>
        <v>1200</v>
      </c>
      <c r="G739" s="457">
        <f>TRUNC(D739*F739,2)</f>
        <v>600</v>
      </c>
      <c r="H739" s="457"/>
    </row>
    <row r="740" spans="1:8">
      <c r="B740" s="865"/>
      <c r="C740" s="484" t="s">
        <v>43</v>
      </c>
      <c r="D740" s="488">
        <v>3.5</v>
      </c>
      <c r="E740" s="451" t="s">
        <v>46</v>
      </c>
      <c r="F740" s="457">
        <f>LOOKUP(C740,'Basic Rate'!$B$8:$B$328,'Basic Rate'!$F$8:$F$328)</f>
        <v>870</v>
      </c>
      <c r="G740" s="457">
        <f>TRUNC(D740*F740,2)</f>
        <v>3045</v>
      </c>
      <c r="H740" s="457"/>
    </row>
    <row r="741" spans="1:8" ht="12.75" customHeight="1">
      <c r="B741" s="529" t="s">
        <v>63</v>
      </c>
      <c r="C741" s="484" t="s">
        <v>945</v>
      </c>
      <c r="D741" s="488">
        <v>1</v>
      </c>
      <c r="E741" s="456" t="s">
        <v>68</v>
      </c>
      <c r="F741" s="457">
        <f>'Basic Rate'!F136</f>
        <v>11000</v>
      </c>
      <c r="G741" s="457">
        <f>TRUNC(D741*F741,2)</f>
        <v>11000</v>
      </c>
      <c r="H741" s="457"/>
    </row>
    <row r="742" spans="1:8" ht="12.75" customHeight="1">
      <c r="B742" s="529" t="s">
        <v>313</v>
      </c>
      <c r="C742" s="484" t="s">
        <v>312</v>
      </c>
      <c r="D742" s="488">
        <v>0.25</v>
      </c>
      <c r="E742" s="456" t="s">
        <v>285</v>
      </c>
      <c r="F742" s="457">
        <f>LOOKUP(C742,'Basic Rate'!$B$8:$B$328,'Basic Rate'!$F$8:$F$328)</f>
        <v>131</v>
      </c>
      <c r="G742" s="457">
        <f>TRUNC(D742*F742,2)</f>
        <v>32.75</v>
      </c>
      <c r="H742" s="457"/>
    </row>
    <row r="743" spans="1:8">
      <c r="B743" s="855" t="s">
        <v>62</v>
      </c>
      <c r="C743" s="855"/>
      <c r="D743" s="856" t="s">
        <v>61</v>
      </c>
      <c r="E743" s="856"/>
      <c r="F743" s="856"/>
      <c r="G743" s="457">
        <f>SUM(G739:G742)</f>
        <v>14677.75</v>
      </c>
      <c r="H743" s="457"/>
    </row>
    <row r="744" spans="1:8">
      <c r="B744" s="855"/>
      <c r="C744" s="855"/>
      <c r="D744" s="857" t="s">
        <v>573</v>
      </c>
      <c r="E744" s="857"/>
      <c r="F744" s="857"/>
      <c r="G744" s="457">
        <f>INT(15%*G743*100)/100</f>
        <v>2201.66</v>
      </c>
      <c r="H744" s="457"/>
    </row>
    <row r="745" spans="1:8">
      <c r="B745" s="855"/>
      <c r="C745" s="855"/>
      <c r="D745" s="856" t="s">
        <v>47</v>
      </c>
      <c r="E745" s="856"/>
      <c r="F745" s="856"/>
      <c r="G745" s="457">
        <f>SUM(G743:G744)</f>
        <v>16879.41</v>
      </c>
      <c r="H745" s="457"/>
    </row>
    <row r="746" spans="1:8" ht="25.5" customHeight="1">
      <c r="A746" s="445">
        <v>4.16</v>
      </c>
      <c r="B746" s="446" t="s">
        <v>308</v>
      </c>
      <c r="C746" s="876" t="s">
        <v>27</v>
      </c>
      <c r="D746" s="877"/>
      <c r="E746" s="877"/>
      <c r="F746" s="447" t="s">
        <v>68</v>
      </c>
      <c r="G746" s="447">
        <f>G755</f>
        <v>15674.800000000001</v>
      </c>
      <c r="H746" s="448">
        <f>G757</f>
        <v>18026.02</v>
      </c>
    </row>
    <row r="747" spans="1:8">
      <c r="B747" s="450" t="s">
        <v>80</v>
      </c>
      <c r="C747" s="451" t="s">
        <v>81</v>
      </c>
      <c r="D747" s="451" t="s">
        <v>44</v>
      </c>
      <c r="E747" s="451" t="s">
        <v>45</v>
      </c>
      <c r="F747" s="452" t="s">
        <v>58</v>
      </c>
      <c r="G747" s="452" t="s">
        <v>59</v>
      </c>
      <c r="H747" s="452" t="s">
        <v>52</v>
      </c>
    </row>
    <row r="748" spans="1:8">
      <c r="B748" s="864" t="s">
        <v>60</v>
      </c>
      <c r="C748" s="484" t="s">
        <v>69</v>
      </c>
      <c r="D748" s="488">
        <v>0.8</v>
      </c>
      <c r="E748" s="451" t="s">
        <v>46</v>
      </c>
      <c r="F748" s="457">
        <f>F725</f>
        <v>1200</v>
      </c>
      <c r="G748" s="457">
        <f t="shared" ref="G748:G754" si="55">TRUNC(D748*F748,2)</f>
        <v>960</v>
      </c>
      <c r="H748" s="457"/>
    </row>
    <row r="749" spans="1:8">
      <c r="B749" s="865"/>
      <c r="C749" s="484" t="s">
        <v>43</v>
      </c>
      <c r="D749" s="488">
        <v>7</v>
      </c>
      <c r="E749" s="451" t="s">
        <v>46</v>
      </c>
      <c r="F749" s="457">
        <f>F726</f>
        <v>870</v>
      </c>
      <c r="G749" s="457">
        <f t="shared" si="55"/>
        <v>6090</v>
      </c>
      <c r="H749" s="457"/>
    </row>
    <row r="750" spans="1:8">
      <c r="B750" s="864" t="s">
        <v>63</v>
      </c>
      <c r="C750" s="484" t="s">
        <v>70</v>
      </c>
      <c r="D750" s="488">
        <v>0.4</v>
      </c>
      <c r="E750" s="451" t="s">
        <v>71</v>
      </c>
      <c r="F750" s="457">
        <f>F727</f>
        <v>14000</v>
      </c>
      <c r="G750" s="457">
        <f t="shared" si="55"/>
        <v>5600</v>
      </c>
      <c r="H750" s="457"/>
    </row>
    <row r="751" spans="1:8">
      <c r="B751" s="868"/>
      <c r="C751" s="490" t="s">
        <v>327</v>
      </c>
      <c r="D751" s="488">
        <v>0.56999999999999995</v>
      </c>
      <c r="E751" s="451" t="s">
        <v>68</v>
      </c>
      <c r="F751" s="457">
        <f>F729</f>
        <v>2430</v>
      </c>
      <c r="G751" s="457">
        <f t="shared" si="55"/>
        <v>1385.1</v>
      </c>
      <c r="H751" s="457"/>
    </row>
    <row r="752" spans="1:8">
      <c r="B752" s="868"/>
      <c r="C752" s="490" t="s">
        <v>328</v>
      </c>
      <c r="D752" s="488">
        <v>0.28999999999999998</v>
      </c>
      <c r="E752" s="451" t="s">
        <v>68</v>
      </c>
      <c r="F752" s="457">
        <f>F729</f>
        <v>2430</v>
      </c>
      <c r="G752" s="457">
        <f t="shared" si="55"/>
        <v>704.7</v>
      </c>
      <c r="H752" s="457"/>
    </row>
    <row r="753" spans="1:8">
      <c r="B753" s="868"/>
      <c r="C753" s="528" t="str">
        <f>C709</f>
        <v xml:space="preserve">Sand Crusher </v>
      </c>
      <c r="D753" s="488">
        <v>0.42499999999999999</v>
      </c>
      <c r="E753" s="456" t="s">
        <v>68</v>
      </c>
      <c r="F753" s="457">
        <f>F731</f>
        <v>2200</v>
      </c>
      <c r="G753" s="457">
        <f t="shared" si="55"/>
        <v>935</v>
      </c>
      <c r="H753" s="457"/>
    </row>
    <row r="754" spans="1:8">
      <c r="B754" s="865"/>
      <c r="C754" s="484" t="s">
        <v>267</v>
      </c>
      <c r="D754" s="488">
        <v>200</v>
      </c>
      <c r="E754" s="456" t="s">
        <v>107</v>
      </c>
      <c r="F754" s="457">
        <f>F732</f>
        <v>0</v>
      </c>
      <c r="G754" s="457">
        <f t="shared" si="55"/>
        <v>0</v>
      </c>
      <c r="H754" s="457"/>
    </row>
    <row r="755" spans="1:8">
      <c r="B755" s="855" t="s">
        <v>62</v>
      </c>
      <c r="C755" s="855"/>
      <c r="D755" s="856" t="s">
        <v>61</v>
      </c>
      <c r="E755" s="856"/>
      <c r="F755" s="856"/>
      <c r="G755" s="457">
        <f>SUM(G748:G754)</f>
        <v>15674.800000000001</v>
      </c>
      <c r="H755" s="457"/>
    </row>
    <row r="756" spans="1:8">
      <c r="B756" s="855"/>
      <c r="C756" s="855"/>
      <c r="D756" s="857" t="s">
        <v>573</v>
      </c>
      <c r="E756" s="857"/>
      <c r="F756" s="857"/>
      <c r="G756" s="457">
        <f>INT(15%*G755*100)/100</f>
        <v>2351.2199999999998</v>
      </c>
      <c r="H756" s="457"/>
    </row>
    <row r="757" spans="1:8">
      <c r="B757" s="855"/>
      <c r="C757" s="855"/>
      <c r="D757" s="856" t="s">
        <v>47</v>
      </c>
      <c r="E757" s="856"/>
      <c r="F757" s="856"/>
      <c r="G757" s="457">
        <f>SUM(G755:G756)</f>
        <v>18026.02</v>
      </c>
      <c r="H757" s="457"/>
    </row>
    <row r="758" spans="1:8" ht="25.5" customHeight="1">
      <c r="A758" s="445" t="s">
        <v>950</v>
      </c>
      <c r="B758" s="446" t="s">
        <v>951</v>
      </c>
      <c r="C758" s="876" t="s">
        <v>952</v>
      </c>
      <c r="D758" s="877"/>
      <c r="E758" s="877"/>
      <c r="F758" s="447" t="s">
        <v>68</v>
      </c>
      <c r="G758" s="447">
        <f>G764</f>
        <v>15677.75</v>
      </c>
      <c r="H758" s="448">
        <f>G766</f>
        <v>18029.41</v>
      </c>
    </row>
    <row r="759" spans="1:8">
      <c r="B759" s="450" t="s">
        <v>80</v>
      </c>
      <c r="C759" s="451" t="s">
        <v>81</v>
      </c>
      <c r="D759" s="451" t="s">
        <v>44</v>
      </c>
      <c r="E759" s="451" t="s">
        <v>45</v>
      </c>
      <c r="F759" s="452" t="s">
        <v>58</v>
      </c>
      <c r="G759" s="452" t="s">
        <v>59</v>
      </c>
      <c r="H759" s="452" t="s">
        <v>52</v>
      </c>
    </row>
    <row r="760" spans="1:8">
      <c r="B760" s="864" t="s">
        <v>60</v>
      </c>
      <c r="C760" s="484" t="s">
        <v>69</v>
      </c>
      <c r="D760" s="488">
        <v>0.5</v>
      </c>
      <c r="E760" s="451" t="s">
        <v>46</v>
      </c>
      <c r="F760" s="457">
        <f>LOOKUP(C760,'Basic Rate'!$B$8:$B$328,'Basic Rate'!$F$8:$F$328)</f>
        <v>1200</v>
      </c>
      <c r="G760" s="457">
        <f>TRUNC(D760*F760,2)</f>
        <v>600</v>
      </c>
      <c r="H760" s="457"/>
    </row>
    <row r="761" spans="1:8">
      <c r="B761" s="865"/>
      <c r="C761" s="484" t="s">
        <v>43</v>
      </c>
      <c r="D761" s="488">
        <v>3.5</v>
      </c>
      <c r="E761" s="451" t="s">
        <v>46</v>
      </c>
      <c r="F761" s="457">
        <f>LOOKUP(C761,'Basic Rate'!$B$8:$B$328,'Basic Rate'!$F$8:$F$328)</f>
        <v>870</v>
      </c>
      <c r="G761" s="457">
        <f>TRUNC(D761*F761,2)</f>
        <v>3045</v>
      </c>
      <c r="H761" s="457"/>
    </row>
    <row r="762" spans="1:8" ht="12.75" customHeight="1">
      <c r="B762" s="529" t="s">
        <v>63</v>
      </c>
      <c r="C762" s="484" t="s">
        <v>953</v>
      </c>
      <c r="D762" s="488">
        <v>1</v>
      </c>
      <c r="E762" s="456" t="s">
        <v>68</v>
      </c>
      <c r="F762" s="457">
        <f>'Basic Rate'!F137</f>
        <v>12000</v>
      </c>
      <c r="G762" s="457">
        <f>TRUNC(D762*F762,2)</f>
        <v>12000</v>
      </c>
      <c r="H762" s="457"/>
    </row>
    <row r="763" spans="1:8" ht="12.75" customHeight="1">
      <c r="B763" s="529" t="s">
        <v>313</v>
      </c>
      <c r="C763" s="484" t="s">
        <v>312</v>
      </c>
      <c r="D763" s="488">
        <v>0.25</v>
      </c>
      <c r="E763" s="456" t="s">
        <v>285</v>
      </c>
      <c r="F763" s="457">
        <f>LOOKUP(C763,'Basic Rate'!$B$8:$B$328,'Basic Rate'!$F$8:$F$328)</f>
        <v>131</v>
      </c>
      <c r="G763" s="457">
        <f>TRUNC(D763*F763,2)</f>
        <v>32.75</v>
      </c>
      <c r="H763" s="457"/>
    </row>
    <row r="764" spans="1:8">
      <c r="B764" s="855" t="s">
        <v>62</v>
      </c>
      <c r="C764" s="855"/>
      <c r="D764" s="856" t="s">
        <v>61</v>
      </c>
      <c r="E764" s="856"/>
      <c r="F764" s="856"/>
      <c r="G764" s="457">
        <f>SUM(G760:G763)</f>
        <v>15677.75</v>
      </c>
      <c r="H764" s="457"/>
    </row>
    <row r="765" spans="1:8">
      <c r="B765" s="855"/>
      <c r="C765" s="855"/>
      <c r="D765" s="857" t="s">
        <v>573</v>
      </c>
      <c r="E765" s="857"/>
      <c r="F765" s="857"/>
      <c r="G765" s="457">
        <f>INT(15%*G764*100)/100</f>
        <v>2351.66</v>
      </c>
      <c r="H765" s="457"/>
    </row>
    <row r="766" spans="1:8">
      <c r="B766" s="855"/>
      <c r="C766" s="855"/>
      <c r="D766" s="856" t="s">
        <v>47</v>
      </c>
      <c r="E766" s="856"/>
      <c r="F766" s="856"/>
      <c r="G766" s="457">
        <f>SUM(G764:G765)</f>
        <v>18029.41</v>
      </c>
      <c r="H766" s="457"/>
    </row>
    <row r="767" spans="1:8">
      <c r="B767" s="458"/>
      <c r="C767" s="458"/>
      <c r="F767" s="509"/>
      <c r="G767" s="460"/>
      <c r="H767" s="460"/>
    </row>
    <row r="768" spans="1:8" ht="25.5" customHeight="1">
      <c r="A768" s="445">
        <v>4.17</v>
      </c>
      <c r="B768" s="446" t="s">
        <v>309</v>
      </c>
      <c r="C768" s="876" t="s">
        <v>321</v>
      </c>
      <c r="D768" s="877"/>
      <c r="E768" s="877"/>
      <c r="F768" s="447" t="s">
        <v>68</v>
      </c>
      <c r="G768" s="447">
        <f>G777</f>
        <v>18590.5</v>
      </c>
      <c r="H768" s="448">
        <f>G779</f>
        <v>21379.07</v>
      </c>
    </row>
    <row r="769" spans="1:8">
      <c r="B769" s="450" t="s">
        <v>80</v>
      </c>
      <c r="C769" s="451" t="s">
        <v>81</v>
      </c>
      <c r="D769" s="451" t="s">
        <v>44</v>
      </c>
      <c r="E769" s="451" t="s">
        <v>45</v>
      </c>
      <c r="F769" s="452" t="s">
        <v>58</v>
      </c>
      <c r="G769" s="452" t="s">
        <v>59</v>
      </c>
      <c r="H769" s="452" t="s">
        <v>52</v>
      </c>
    </row>
    <row r="770" spans="1:8">
      <c r="B770" s="864" t="s">
        <v>60</v>
      </c>
      <c r="C770" s="484" t="s">
        <v>69</v>
      </c>
      <c r="D770" s="488">
        <v>0.8</v>
      </c>
      <c r="E770" s="451" t="s">
        <v>46</v>
      </c>
      <c r="F770" s="457">
        <f t="shared" ref="F770:F776" si="56">F748</f>
        <v>1200</v>
      </c>
      <c r="G770" s="457">
        <f t="shared" ref="G770:G776" si="57">TRUNC(D770*F770,2)</f>
        <v>960</v>
      </c>
      <c r="H770" s="457"/>
    </row>
    <row r="771" spans="1:8">
      <c r="B771" s="865"/>
      <c r="C771" s="484" t="s">
        <v>43</v>
      </c>
      <c r="D771" s="488">
        <v>7</v>
      </c>
      <c r="E771" s="451" t="s">
        <v>46</v>
      </c>
      <c r="F771" s="457">
        <f t="shared" si="56"/>
        <v>870</v>
      </c>
      <c r="G771" s="457">
        <f t="shared" si="57"/>
        <v>6090</v>
      </c>
      <c r="H771" s="457"/>
    </row>
    <row r="772" spans="1:8">
      <c r="B772" s="864" t="s">
        <v>63</v>
      </c>
      <c r="C772" s="484" t="s">
        <v>70</v>
      </c>
      <c r="D772" s="488">
        <v>0.61</v>
      </c>
      <c r="E772" s="451" t="s">
        <v>71</v>
      </c>
      <c r="F772" s="457">
        <f t="shared" si="56"/>
        <v>14000</v>
      </c>
      <c r="G772" s="457">
        <f t="shared" si="57"/>
        <v>8540</v>
      </c>
      <c r="H772" s="457"/>
    </row>
    <row r="773" spans="1:8">
      <c r="B773" s="868"/>
      <c r="C773" s="490" t="s">
        <v>327</v>
      </c>
      <c r="D773" s="488">
        <v>0.64</v>
      </c>
      <c r="E773" s="451" t="s">
        <v>68</v>
      </c>
      <c r="F773" s="457">
        <f t="shared" si="56"/>
        <v>2430</v>
      </c>
      <c r="G773" s="457">
        <f t="shared" si="57"/>
        <v>1555.2</v>
      </c>
      <c r="H773" s="457"/>
    </row>
    <row r="774" spans="1:8">
      <c r="B774" s="868"/>
      <c r="C774" s="490" t="s">
        <v>328</v>
      </c>
      <c r="D774" s="488">
        <v>0.21</v>
      </c>
      <c r="E774" s="451" t="s">
        <v>68</v>
      </c>
      <c r="F774" s="457">
        <f t="shared" si="56"/>
        <v>2430</v>
      </c>
      <c r="G774" s="457">
        <f t="shared" si="57"/>
        <v>510.3</v>
      </c>
      <c r="H774" s="457"/>
    </row>
    <row r="775" spans="1:8">
      <c r="B775" s="868"/>
      <c r="C775" s="528" t="str">
        <f>C753</f>
        <v xml:space="preserve">Sand Crusher </v>
      </c>
      <c r="D775" s="488">
        <v>0.42499999999999999</v>
      </c>
      <c r="E775" s="456" t="s">
        <v>68</v>
      </c>
      <c r="F775" s="457">
        <f t="shared" si="56"/>
        <v>2200</v>
      </c>
      <c r="G775" s="457">
        <f t="shared" si="57"/>
        <v>935</v>
      </c>
      <c r="H775" s="457"/>
    </row>
    <row r="776" spans="1:8">
      <c r="B776" s="865"/>
      <c r="C776" s="484" t="s">
        <v>267</v>
      </c>
      <c r="D776" s="488">
        <v>300</v>
      </c>
      <c r="E776" s="456" t="s">
        <v>107</v>
      </c>
      <c r="F776" s="457">
        <f t="shared" si="56"/>
        <v>0</v>
      </c>
      <c r="G776" s="457">
        <f t="shared" si="57"/>
        <v>0</v>
      </c>
      <c r="H776" s="457"/>
    </row>
    <row r="777" spans="1:8">
      <c r="B777" s="855" t="s">
        <v>62</v>
      </c>
      <c r="C777" s="855"/>
      <c r="D777" s="856" t="s">
        <v>61</v>
      </c>
      <c r="E777" s="856"/>
      <c r="F777" s="856"/>
      <c r="G777" s="457">
        <f>SUM(G770:G776)</f>
        <v>18590.5</v>
      </c>
      <c r="H777" s="457"/>
    </row>
    <row r="778" spans="1:8">
      <c r="B778" s="855"/>
      <c r="C778" s="855"/>
      <c r="D778" s="857" t="s">
        <v>573</v>
      </c>
      <c r="E778" s="857"/>
      <c r="F778" s="857"/>
      <c r="G778" s="457">
        <f>INT(15%*G777*100)/100</f>
        <v>2788.57</v>
      </c>
      <c r="H778" s="457"/>
    </row>
    <row r="779" spans="1:8">
      <c r="B779" s="855"/>
      <c r="C779" s="855"/>
      <c r="D779" s="856" t="s">
        <v>47</v>
      </c>
      <c r="E779" s="856"/>
      <c r="F779" s="856"/>
      <c r="G779" s="457">
        <f>SUM(G777:G778)</f>
        <v>21379.07</v>
      </c>
      <c r="H779" s="457"/>
    </row>
    <row r="780" spans="1:8">
      <c r="B780" s="458"/>
      <c r="C780" s="458"/>
      <c r="F780" s="459"/>
      <c r="G780" s="460"/>
      <c r="H780" s="460"/>
    </row>
    <row r="781" spans="1:8">
      <c r="B781" s="458"/>
      <c r="C781" s="458"/>
      <c r="F781" s="509"/>
      <c r="G781" s="460"/>
      <c r="H781" s="460"/>
    </row>
    <row r="782" spans="1:8" ht="25.5" customHeight="1">
      <c r="A782" s="445" t="s">
        <v>937</v>
      </c>
      <c r="B782" s="446" t="s">
        <v>314</v>
      </c>
      <c r="C782" s="876" t="s">
        <v>322</v>
      </c>
      <c r="D782" s="877"/>
      <c r="E782" s="877"/>
      <c r="F782" s="447" t="s">
        <v>68</v>
      </c>
      <c r="G782" s="447">
        <f>G795</f>
        <v>10450.550000000001</v>
      </c>
      <c r="H782" s="448">
        <f>G797</f>
        <v>12018.130000000001</v>
      </c>
    </row>
    <row r="783" spans="1:8">
      <c r="B783" s="450" t="s">
        <v>80</v>
      </c>
      <c r="C783" s="451" t="s">
        <v>81</v>
      </c>
      <c r="D783" s="451" t="s">
        <v>44</v>
      </c>
      <c r="E783" s="451" t="s">
        <v>45</v>
      </c>
      <c r="F783" s="452" t="s">
        <v>58</v>
      </c>
      <c r="G783" s="452" t="s">
        <v>59</v>
      </c>
      <c r="H783" s="452" t="s">
        <v>52</v>
      </c>
    </row>
    <row r="784" spans="1:8">
      <c r="B784" s="864" t="s">
        <v>60</v>
      </c>
      <c r="C784" s="484" t="s">
        <v>69</v>
      </c>
      <c r="D784" s="488">
        <v>0.5</v>
      </c>
      <c r="E784" s="451" t="s">
        <v>46</v>
      </c>
      <c r="F784" s="457">
        <f>F770</f>
        <v>1200</v>
      </c>
      <c r="G784" s="457">
        <f t="shared" ref="G784:G794" si="58">TRUNC(D784*F784,2)</f>
        <v>600</v>
      </c>
      <c r="H784" s="457"/>
    </row>
    <row r="785" spans="1:8">
      <c r="B785" s="865"/>
      <c r="C785" s="484" t="s">
        <v>43</v>
      </c>
      <c r="D785" s="488">
        <v>3.5</v>
      </c>
      <c r="E785" s="451" t="s">
        <v>46</v>
      </c>
      <c r="F785" s="457">
        <f>F771</f>
        <v>870</v>
      </c>
      <c r="G785" s="457">
        <f t="shared" si="58"/>
        <v>3045</v>
      </c>
      <c r="H785" s="457"/>
    </row>
    <row r="786" spans="1:8">
      <c r="B786" s="864" t="s">
        <v>63</v>
      </c>
      <c r="C786" s="484" t="s">
        <v>70</v>
      </c>
      <c r="D786" s="488">
        <v>0.22</v>
      </c>
      <c r="E786" s="451" t="s">
        <v>71</v>
      </c>
      <c r="F786" s="457">
        <f>F772</f>
        <v>14000</v>
      </c>
      <c r="G786" s="457">
        <f t="shared" si="58"/>
        <v>3080</v>
      </c>
      <c r="H786" s="457"/>
    </row>
    <row r="787" spans="1:8">
      <c r="B787" s="868"/>
      <c r="C787" s="490" t="s">
        <v>329</v>
      </c>
      <c r="D787" s="488">
        <v>0.65</v>
      </c>
      <c r="E787" s="451" t="s">
        <v>68</v>
      </c>
      <c r="F787" s="457">
        <f>F728</f>
        <v>2135</v>
      </c>
      <c r="G787" s="457">
        <f t="shared" si="58"/>
        <v>1387.75</v>
      </c>
      <c r="H787" s="457"/>
    </row>
    <row r="788" spans="1:8">
      <c r="B788" s="868"/>
      <c r="C788" s="490" t="s">
        <v>327</v>
      </c>
      <c r="D788" s="488">
        <v>0.24</v>
      </c>
      <c r="E788" s="451" t="s">
        <v>68</v>
      </c>
      <c r="F788" s="457">
        <f>F774</f>
        <v>2430</v>
      </c>
      <c r="G788" s="457">
        <f t="shared" si="58"/>
        <v>583.20000000000005</v>
      </c>
      <c r="H788" s="457"/>
    </row>
    <row r="789" spans="1:8">
      <c r="B789" s="868"/>
      <c r="C789" s="528" t="str">
        <f>C775</f>
        <v xml:space="preserve">Sand Crusher </v>
      </c>
      <c r="D789" s="488">
        <v>0.42499999999999999</v>
      </c>
      <c r="E789" s="456" t="s">
        <v>68</v>
      </c>
      <c r="F789" s="457">
        <f>F775</f>
        <v>2200</v>
      </c>
      <c r="G789" s="457">
        <f t="shared" si="58"/>
        <v>935</v>
      </c>
      <c r="H789" s="457"/>
    </row>
    <row r="790" spans="1:8" ht="12.75" customHeight="1">
      <c r="B790" s="868"/>
      <c r="C790" s="484" t="s">
        <v>267</v>
      </c>
      <c r="D790" s="488">
        <v>100</v>
      </c>
      <c r="E790" s="456" t="s">
        <v>107</v>
      </c>
      <c r="F790" s="457">
        <f>F776</f>
        <v>0</v>
      </c>
      <c r="G790" s="457">
        <f t="shared" si="58"/>
        <v>0</v>
      </c>
      <c r="H790" s="457"/>
    </row>
    <row r="791" spans="1:8" ht="12.75" customHeight="1">
      <c r="B791" s="868"/>
      <c r="C791" s="484" t="s">
        <v>725</v>
      </c>
      <c r="D791" s="488">
        <v>3</v>
      </c>
      <c r="E791" s="456" t="s">
        <v>107</v>
      </c>
      <c r="F791" s="457">
        <f>F657</f>
        <v>131.85840707964604</v>
      </c>
      <c r="G791" s="457">
        <f t="shared" si="58"/>
        <v>395.57</v>
      </c>
      <c r="H791" s="457"/>
    </row>
    <row r="792" spans="1:8" ht="12.75" customHeight="1">
      <c r="B792" s="865"/>
      <c r="C792" s="484" t="s">
        <v>310</v>
      </c>
      <c r="D792" s="488">
        <v>0.1</v>
      </c>
      <c r="E792" s="456" t="s">
        <v>107</v>
      </c>
      <c r="F792" s="457">
        <f>F658</f>
        <v>150.88495575221239</v>
      </c>
      <c r="G792" s="457">
        <f t="shared" si="58"/>
        <v>15.08</v>
      </c>
      <c r="H792" s="457"/>
    </row>
    <row r="793" spans="1:8" ht="12.75" customHeight="1">
      <c r="B793" s="864" t="s">
        <v>313</v>
      </c>
      <c r="C793" s="484" t="s">
        <v>311</v>
      </c>
      <c r="D793" s="488">
        <v>0.6</v>
      </c>
      <c r="E793" s="456" t="s">
        <v>285</v>
      </c>
      <c r="F793" s="457">
        <f>F659</f>
        <v>627</v>
      </c>
      <c r="G793" s="457">
        <f t="shared" si="58"/>
        <v>376.2</v>
      </c>
      <c r="H793" s="457"/>
    </row>
    <row r="794" spans="1:8" ht="12.75" customHeight="1">
      <c r="B794" s="865"/>
      <c r="C794" s="484" t="s">
        <v>312</v>
      </c>
      <c r="D794" s="488">
        <v>0.25</v>
      </c>
      <c r="E794" s="456" t="s">
        <v>285</v>
      </c>
      <c r="F794" s="457">
        <f>F660</f>
        <v>131</v>
      </c>
      <c r="G794" s="457">
        <f t="shared" si="58"/>
        <v>32.75</v>
      </c>
      <c r="H794" s="457"/>
    </row>
    <row r="795" spans="1:8">
      <c r="B795" s="855" t="s">
        <v>62</v>
      </c>
      <c r="C795" s="855"/>
      <c r="D795" s="856" t="s">
        <v>61</v>
      </c>
      <c r="E795" s="856"/>
      <c r="F795" s="856"/>
      <c r="G795" s="457">
        <f>SUM(G784:G794)</f>
        <v>10450.550000000001</v>
      </c>
      <c r="H795" s="457"/>
    </row>
    <row r="796" spans="1:8">
      <c r="B796" s="855"/>
      <c r="C796" s="855"/>
      <c r="D796" s="857" t="s">
        <v>573</v>
      </c>
      <c r="E796" s="857"/>
      <c r="F796" s="857"/>
      <c r="G796" s="457">
        <f>INT(15%*G795*100)/100</f>
        <v>1567.58</v>
      </c>
      <c r="H796" s="457"/>
    </row>
    <row r="797" spans="1:8">
      <c r="B797" s="855"/>
      <c r="C797" s="855"/>
      <c r="D797" s="856" t="s">
        <v>47</v>
      </c>
      <c r="E797" s="856"/>
      <c r="F797" s="856"/>
      <c r="G797" s="457">
        <f>SUM(G795:G796)</f>
        <v>12018.130000000001</v>
      </c>
      <c r="H797" s="457"/>
    </row>
    <row r="799" spans="1:8" ht="25.5" customHeight="1">
      <c r="A799" s="445">
        <v>4.1900000000000004</v>
      </c>
      <c r="B799" s="446" t="s">
        <v>315</v>
      </c>
      <c r="C799" s="876" t="s">
        <v>323</v>
      </c>
      <c r="D799" s="877"/>
      <c r="E799" s="877"/>
      <c r="F799" s="447" t="s">
        <v>68</v>
      </c>
      <c r="G799" s="447">
        <f>G812</f>
        <v>11835.7</v>
      </c>
      <c r="H799" s="448">
        <f>G814</f>
        <v>13611.050000000001</v>
      </c>
    </row>
    <row r="800" spans="1:8">
      <c r="B800" s="450" t="s">
        <v>80</v>
      </c>
      <c r="C800" s="451" t="s">
        <v>81</v>
      </c>
      <c r="D800" s="451" t="s">
        <v>44</v>
      </c>
      <c r="E800" s="451" t="s">
        <v>45</v>
      </c>
      <c r="F800" s="452" t="s">
        <v>58</v>
      </c>
      <c r="G800" s="452" t="s">
        <v>59</v>
      </c>
      <c r="H800" s="452" t="s">
        <v>52</v>
      </c>
    </row>
    <row r="801" spans="2:8">
      <c r="B801" s="864" t="s">
        <v>60</v>
      </c>
      <c r="C801" s="484" t="s">
        <v>69</v>
      </c>
      <c r="D801" s="488">
        <v>0.5</v>
      </c>
      <c r="E801" s="451" t="s">
        <v>46</v>
      </c>
      <c r="F801" s="457">
        <f t="shared" ref="F801:F811" si="59">F784</f>
        <v>1200</v>
      </c>
      <c r="G801" s="457">
        <f t="shared" ref="G801:G811" si="60">TRUNC(D801*F801,2)</f>
        <v>600</v>
      </c>
      <c r="H801" s="457"/>
    </row>
    <row r="802" spans="2:8">
      <c r="B802" s="865"/>
      <c r="C802" s="484" t="s">
        <v>43</v>
      </c>
      <c r="D802" s="488">
        <v>3.5</v>
      </c>
      <c r="E802" s="451" t="s">
        <v>46</v>
      </c>
      <c r="F802" s="457">
        <f t="shared" si="59"/>
        <v>870</v>
      </c>
      <c r="G802" s="457">
        <f t="shared" si="60"/>
        <v>3045</v>
      </c>
      <c r="H802" s="457"/>
    </row>
    <row r="803" spans="2:8">
      <c r="B803" s="864" t="s">
        <v>63</v>
      </c>
      <c r="C803" s="484" t="s">
        <v>70</v>
      </c>
      <c r="D803" s="488">
        <v>0.32</v>
      </c>
      <c r="E803" s="451" t="s">
        <v>71</v>
      </c>
      <c r="F803" s="457">
        <f t="shared" si="59"/>
        <v>14000</v>
      </c>
      <c r="G803" s="457">
        <f t="shared" si="60"/>
        <v>4480</v>
      </c>
      <c r="H803" s="457"/>
    </row>
    <row r="804" spans="2:8">
      <c r="B804" s="868"/>
      <c r="C804" s="490" t="s">
        <v>329</v>
      </c>
      <c r="D804" s="488">
        <v>0.52</v>
      </c>
      <c r="E804" s="451" t="s">
        <v>68</v>
      </c>
      <c r="F804" s="457">
        <f t="shared" si="59"/>
        <v>2135</v>
      </c>
      <c r="G804" s="457">
        <f t="shared" si="60"/>
        <v>1110.2</v>
      </c>
      <c r="H804" s="457"/>
    </row>
    <row r="805" spans="2:8">
      <c r="B805" s="868"/>
      <c r="C805" s="490" t="s">
        <v>327</v>
      </c>
      <c r="D805" s="488">
        <v>0.33</v>
      </c>
      <c r="E805" s="451" t="s">
        <v>68</v>
      </c>
      <c r="F805" s="457">
        <f t="shared" si="59"/>
        <v>2430</v>
      </c>
      <c r="G805" s="457">
        <f t="shared" si="60"/>
        <v>801.9</v>
      </c>
      <c r="H805" s="457"/>
    </row>
    <row r="806" spans="2:8">
      <c r="B806" s="868"/>
      <c r="C806" s="528" t="str">
        <f>C789</f>
        <v xml:space="preserve">Sand Crusher </v>
      </c>
      <c r="D806" s="488">
        <v>0.44500000000000001</v>
      </c>
      <c r="E806" s="456" t="s">
        <v>68</v>
      </c>
      <c r="F806" s="457">
        <f t="shared" si="59"/>
        <v>2200</v>
      </c>
      <c r="G806" s="457">
        <f t="shared" si="60"/>
        <v>979</v>
      </c>
      <c r="H806" s="457"/>
    </row>
    <row r="807" spans="2:8">
      <c r="B807" s="868"/>
      <c r="C807" s="484" t="s">
        <v>267</v>
      </c>
      <c r="D807" s="488">
        <v>130</v>
      </c>
      <c r="E807" s="456" t="s">
        <v>107</v>
      </c>
      <c r="F807" s="457">
        <f t="shared" si="59"/>
        <v>0</v>
      </c>
      <c r="G807" s="457">
        <f t="shared" si="60"/>
        <v>0</v>
      </c>
      <c r="H807" s="457"/>
    </row>
    <row r="808" spans="2:8" ht="12.75" customHeight="1">
      <c r="B808" s="868"/>
      <c r="C808" s="484" t="s">
        <v>725</v>
      </c>
      <c r="D808" s="488">
        <v>3</v>
      </c>
      <c r="E808" s="456" t="s">
        <v>107</v>
      </c>
      <c r="F808" s="457">
        <f t="shared" si="59"/>
        <v>131.85840707964604</v>
      </c>
      <c r="G808" s="457">
        <f t="shared" si="60"/>
        <v>395.57</v>
      </c>
      <c r="H808" s="457"/>
    </row>
    <row r="809" spans="2:8" ht="12.75" customHeight="1">
      <c r="B809" s="865"/>
      <c r="C809" s="484" t="s">
        <v>310</v>
      </c>
      <c r="D809" s="488">
        <v>0.1</v>
      </c>
      <c r="E809" s="456" t="s">
        <v>107</v>
      </c>
      <c r="F809" s="457">
        <f t="shared" si="59"/>
        <v>150.88495575221239</v>
      </c>
      <c r="G809" s="457">
        <f t="shared" si="60"/>
        <v>15.08</v>
      </c>
      <c r="H809" s="457"/>
    </row>
    <row r="810" spans="2:8" ht="12.75" customHeight="1">
      <c r="B810" s="864" t="s">
        <v>313</v>
      </c>
      <c r="C810" s="484" t="s">
        <v>311</v>
      </c>
      <c r="D810" s="488">
        <v>0.6</v>
      </c>
      <c r="E810" s="456" t="s">
        <v>285</v>
      </c>
      <c r="F810" s="457">
        <f t="shared" si="59"/>
        <v>627</v>
      </c>
      <c r="G810" s="457">
        <f t="shared" si="60"/>
        <v>376.2</v>
      </c>
      <c r="H810" s="457"/>
    </row>
    <row r="811" spans="2:8" ht="12.75" customHeight="1">
      <c r="B811" s="865"/>
      <c r="C811" s="484" t="s">
        <v>312</v>
      </c>
      <c r="D811" s="488">
        <v>0.25</v>
      </c>
      <c r="E811" s="456" t="s">
        <v>285</v>
      </c>
      <c r="F811" s="457">
        <f t="shared" si="59"/>
        <v>131</v>
      </c>
      <c r="G811" s="457">
        <f t="shared" si="60"/>
        <v>32.75</v>
      </c>
      <c r="H811" s="457"/>
    </row>
    <row r="812" spans="2:8">
      <c r="B812" s="855" t="s">
        <v>62</v>
      </c>
      <c r="C812" s="855"/>
      <c r="D812" s="856" t="s">
        <v>61</v>
      </c>
      <c r="E812" s="856"/>
      <c r="F812" s="856"/>
      <c r="G812" s="457">
        <f>SUM(G801:G811)</f>
        <v>11835.7</v>
      </c>
      <c r="H812" s="457"/>
    </row>
    <row r="813" spans="2:8">
      <c r="B813" s="855"/>
      <c r="C813" s="855"/>
      <c r="D813" s="857" t="s">
        <v>573</v>
      </c>
      <c r="E813" s="857"/>
      <c r="F813" s="857"/>
      <c r="G813" s="457">
        <f>INT(15%*G812*100)/100</f>
        <v>1775.35</v>
      </c>
      <c r="H813" s="457"/>
    </row>
    <row r="814" spans="2:8">
      <c r="B814" s="855"/>
      <c r="C814" s="855"/>
      <c r="D814" s="856" t="s">
        <v>47</v>
      </c>
      <c r="E814" s="856"/>
      <c r="F814" s="856"/>
      <c r="G814" s="457">
        <f>SUM(G812:G813)</f>
        <v>13611.050000000001</v>
      </c>
      <c r="H814" s="457"/>
    </row>
    <row r="815" spans="2:8">
      <c r="B815" s="458"/>
      <c r="C815" s="458"/>
      <c r="F815" s="509"/>
      <c r="G815" s="460"/>
      <c r="H815" s="460"/>
    </row>
    <row r="816" spans="2:8">
      <c r="B816" s="458"/>
      <c r="C816" s="458"/>
      <c r="F816" s="509"/>
      <c r="G816" s="460"/>
      <c r="H816" s="460"/>
    </row>
    <row r="817" spans="1:8" ht="34.799999999999997" customHeight="1">
      <c r="A817" s="507" t="s">
        <v>936</v>
      </c>
      <c r="B817" s="446" t="s">
        <v>316</v>
      </c>
      <c r="C817" s="876" t="s">
        <v>324</v>
      </c>
      <c r="D817" s="877"/>
      <c r="E817" s="877"/>
      <c r="F817" s="447" t="s">
        <v>68</v>
      </c>
      <c r="G817" s="447">
        <f>G830</f>
        <v>13089.400000000001</v>
      </c>
      <c r="H817" s="448">
        <f>G832</f>
        <v>15052.810000000001</v>
      </c>
    </row>
    <row r="818" spans="1:8">
      <c r="B818" s="450" t="s">
        <v>80</v>
      </c>
      <c r="C818" s="451" t="s">
        <v>81</v>
      </c>
      <c r="D818" s="451" t="s">
        <v>44</v>
      </c>
      <c r="E818" s="451" t="s">
        <v>45</v>
      </c>
      <c r="F818" s="452" t="s">
        <v>58</v>
      </c>
      <c r="G818" s="452" t="s">
        <v>59</v>
      </c>
      <c r="H818" s="452" t="s">
        <v>52</v>
      </c>
    </row>
    <row r="819" spans="1:8">
      <c r="B819" s="864" t="s">
        <v>60</v>
      </c>
      <c r="C819" s="484" t="s">
        <v>69</v>
      </c>
      <c r="D819" s="488">
        <v>0.5</v>
      </c>
      <c r="E819" s="451" t="s">
        <v>46</v>
      </c>
      <c r="F819" s="457">
        <f>F801</f>
        <v>1200</v>
      </c>
      <c r="G819" s="457">
        <f t="shared" ref="G819:G829" si="61">TRUNC(D819*F819,2)</f>
        <v>600</v>
      </c>
      <c r="H819" s="457"/>
    </row>
    <row r="820" spans="1:8">
      <c r="B820" s="865"/>
      <c r="C820" s="484" t="s">
        <v>43</v>
      </c>
      <c r="D820" s="488">
        <v>3.5</v>
      </c>
      <c r="E820" s="451" t="s">
        <v>46</v>
      </c>
      <c r="F820" s="457">
        <f t="shared" ref="F820:F829" si="62">F802</f>
        <v>870</v>
      </c>
      <c r="G820" s="457">
        <f t="shared" si="61"/>
        <v>3045</v>
      </c>
      <c r="H820" s="457"/>
    </row>
    <row r="821" spans="1:8">
      <c r="B821" s="864" t="s">
        <v>63</v>
      </c>
      <c r="C821" s="484" t="s">
        <v>70</v>
      </c>
      <c r="D821" s="488">
        <v>0.4</v>
      </c>
      <c r="E821" s="451" t="s">
        <v>71</v>
      </c>
      <c r="F821" s="457">
        <f t="shared" si="62"/>
        <v>14000</v>
      </c>
      <c r="G821" s="457">
        <f t="shared" si="61"/>
        <v>5600</v>
      </c>
      <c r="H821" s="457"/>
    </row>
    <row r="822" spans="1:8">
      <c r="B822" s="868"/>
      <c r="C822" s="490" t="s">
        <v>327</v>
      </c>
      <c r="D822" s="488">
        <v>0.56999999999999995</v>
      </c>
      <c r="E822" s="451" t="s">
        <v>68</v>
      </c>
      <c r="F822" s="457">
        <f>F805</f>
        <v>2430</v>
      </c>
      <c r="G822" s="457">
        <f t="shared" si="61"/>
        <v>1385.1</v>
      </c>
      <c r="H822" s="457"/>
    </row>
    <row r="823" spans="1:8">
      <c r="B823" s="868"/>
      <c r="C823" s="490" t="s">
        <v>328</v>
      </c>
      <c r="D823" s="488">
        <v>0.28999999999999998</v>
      </c>
      <c r="E823" s="451" t="s">
        <v>68</v>
      </c>
      <c r="F823" s="457">
        <f t="shared" si="62"/>
        <v>2430</v>
      </c>
      <c r="G823" s="457">
        <f t="shared" si="61"/>
        <v>704.7</v>
      </c>
      <c r="H823" s="457"/>
    </row>
    <row r="824" spans="1:8">
      <c r="B824" s="868"/>
      <c r="C824" s="528" t="str">
        <f>C806</f>
        <v xml:space="preserve">Sand Crusher </v>
      </c>
      <c r="D824" s="488">
        <v>0.42499999999999999</v>
      </c>
      <c r="E824" s="456" t="s">
        <v>68</v>
      </c>
      <c r="F824" s="457">
        <f t="shared" si="62"/>
        <v>2200</v>
      </c>
      <c r="G824" s="457">
        <f t="shared" si="61"/>
        <v>935</v>
      </c>
      <c r="H824" s="457"/>
    </row>
    <row r="825" spans="1:8">
      <c r="B825" s="868"/>
      <c r="C825" s="484" t="s">
        <v>267</v>
      </c>
      <c r="D825" s="488">
        <v>200</v>
      </c>
      <c r="E825" s="456" t="s">
        <v>107</v>
      </c>
      <c r="F825" s="457">
        <f t="shared" si="62"/>
        <v>0</v>
      </c>
      <c r="G825" s="457">
        <f t="shared" si="61"/>
        <v>0</v>
      </c>
      <c r="H825" s="457"/>
    </row>
    <row r="826" spans="1:8" ht="12.75" customHeight="1">
      <c r="B826" s="868"/>
      <c r="C826" s="484" t="s">
        <v>725</v>
      </c>
      <c r="D826" s="488">
        <v>3</v>
      </c>
      <c r="E826" s="456" t="s">
        <v>107</v>
      </c>
      <c r="F826" s="457">
        <f t="shared" si="62"/>
        <v>131.85840707964604</v>
      </c>
      <c r="G826" s="457">
        <f t="shared" si="61"/>
        <v>395.57</v>
      </c>
      <c r="H826" s="457"/>
    </row>
    <row r="827" spans="1:8" ht="12.75" customHeight="1">
      <c r="B827" s="865"/>
      <c r="C827" s="484" t="s">
        <v>310</v>
      </c>
      <c r="D827" s="488">
        <v>0.1</v>
      </c>
      <c r="E827" s="456" t="s">
        <v>107</v>
      </c>
      <c r="F827" s="457">
        <f t="shared" si="62"/>
        <v>150.88495575221239</v>
      </c>
      <c r="G827" s="457">
        <f t="shared" si="61"/>
        <v>15.08</v>
      </c>
      <c r="H827" s="457"/>
    </row>
    <row r="828" spans="1:8" ht="12.75" customHeight="1">
      <c r="B828" s="864" t="s">
        <v>313</v>
      </c>
      <c r="C828" s="484" t="s">
        <v>311</v>
      </c>
      <c r="D828" s="488">
        <v>0.6</v>
      </c>
      <c r="E828" s="456" t="s">
        <v>285</v>
      </c>
      <c r="F828" s="457">
        <f t="shared" si="62"/>
        <v>627</v>
      </c>
      <c r="G828" s="457">
        <f t="shared" si="61"/>
        <v>376.2</v>
      </c>
      <c r="H828" s="457"/>
    </row>
    <row r="829" spans="1:8" ht="12.75" customHeight="1">
      <c r="B829" s="865"/>
      <c r="C829" s="484" t="s">
        <v>312</v>
      </c>
      <c r="D829" s="488">
        <v>0.25</v>
      </c>
      <c r="E829" s="456" t="s">
        <v>285</v>
      </c>
      <c r="F829" s="457">
        <f t="shared" si="62"/>
        <v>131</v>
      </c>
      <c r="G829" s="457">
        <f t="shared" si="61"/>
        <v>32.75</v>
      </c>
      <c r="H829" s="457"/>
    </row>
    <row r="830" spans="1:8">
      <c r="B830" s="855" t="s">
        <v>62</v>
      </c>
      <c r="C830" s="855"/>
      <c r="D830" s="856" t="s">
        <v>61</v>
      </c>
      <c r="E830" s="856"/>
      <c r="F830" s="856"/>
      <c r="G830" s="457">
        <f>SUM(G819:G829)</f>
        <v>13089.400000000001</v>
      </c>
      <c r="H830" s="457"/>
    </row>
    <row r="831" spans="1:8">
      <c r="B831" s="855"/>
      <c r="C831" s="855"/>
      <c r="D831" s="857" t="s">
        <v>573</v>
      </c>
      <c r="E831" s="857"/>
      <c r="F831" s="857"/>
      <c r="G831" s="457">
        <f>INT(15%*G830*100)/100</f>
        <v>1963.41</v>
      </c>
      <c r="H831" s="457"/>
    </row>
    <row r="832" spans="1:8">
      <c r="B832" s="855"/>
      <c r="C832" s="855"/>
      <c r="D832" s="856" t="s">
        <v>47</v>
      </c>
      <c r="E832" s="856"/>
      <c r="F832" s="856"/>
      <c r="G832" s="457">
        <f>SUM(G830:G831)</f>
        <v>15052.810000000001</v>
      </c>
      <c r="H832" s="457"/>
    </row>
    <row r="833" spans="1:8">
      <c r="B833" s="458"/>
      <c r="C833" s="458"/>
      <c r="F833" s="509"/>
      <c r="G833" s="460"/>
      <c r="H833" s="460"/>
    </row>
    <row r="834" spans="1:8" ht="32.4" customHeight="1">
      <c r="A834" s="507">
        <v>4.21</v>
      </c>
      <c r="B834" s="446" t="s">
        <v>317</v>
      </c>
      <c r="C834" s="876" t="s">
        <v>325</v>
      </c>
      <c r="D834" s="877"/>
      <c r="E834" s="877"/>
      <c r="F834" s="447" t="s">
        <v>68</v>
      </c>
      <c r="G834" s="447">
        <f>G847</f>
        <v>16005.1</v>
      </c>
      <c r="H834" s="448">
        <f>G849</f>
        <v>18405.86</v>
      </c>
    </row>
    <row r="835" spans="1:8">
      <c r="B835" s="450" t="s">
        <v>80</v>
      </c>
      <c r="C835" s="451" t="s">
        <v>81</v>
      </c>
      <c r="D835" s="451" t="s">
        <v>44</v>
      </c>
      <c r="E835" s="451" t="s">
        <v>45</v>
      </c>
      <c r="F835" s="452" t="s">
        <v>58</v>
      </c>
      <c r="G835" s="452" t="s">
        <v>59</v>
      </c>
      <c r="H835" s="452" t="s">
        <v>52</v>
      </c>
    </row>
    <row r="836" spans="1:8">
      <c r="B836" s="864" t="s">
        <v>60</v>
      </c>
      <c r="C836" s="484" t="s">
        <v>69</v>
      </c>
      <c r="D836" s="488">
        <v>0.5</v>
      </c>
      <c r="E836" s="451" t="s">
        <v>46</v>
      </c>
      <c r="F836" s="457">
        <f>F819</f>
        <v>1200</v>
      </c>
      <c r="G836" s="457">
        <f t="shared" ref="G836:G846" si="63">TRUNC(D836*F836,2)</f>
        <v>600</v>
      </c>
      <c r="H836" s="457"/>
    </row>
    <row r="837" spans="1:8">
      <c r="B837" s="865"/>
      <c r="C837" s="484" t="s">
        <v>43</v>
      </c>
      <c r="D837" s="488">
        <v>3.5</v>
      </c>
      <c r="E837" s="451" t="s">
        <v>46</v>
      </c>
      <c r="F837" s="457">
        <f t="shared" ref="F837:F846" si="64">F820</f>
        <v>870</v>
      </c>
      <c r="G837" s="457">
        <f t="shared" si="63"/>
        <v>3045</v>
      </c>
      <c r="H837" s="457"/>
    </row>
    <row r="838" spans="1:8">
      <c r="B838" s="864" t="s">
        <v>63</v>
      </c>
      <c r="C838" s="484" t="s">
        <v>70</v>
      </c>
      <c r="D838" s="488">
        <v>0.61</v>
      </c>
      <c r="E838" s="451" t="s">
        <v>71</v>
      </c>
      <c r="F838" s="457">
        <f t="shared" si="64"/>
        <v>14000</v>
      </c>
      <c r="G838" s="457">
        <f t="shared" si="63"/>
        <v>8540</v>
      </c>
      <c r="H838" s="457"/>
    </row>
    <row r="839" spans="1:8">
      <c r="B839" s="868"/>
      <c r="C839" s="490" t="s">
        <v>327</v>
      </c>
      <c r="D839" s="488">
        <v>0.64</v>
      </c>
      <c r="E839" s="451" t="s">
        <v>68</v>
      </c>
      <c r="F839" s="457">
        <f t="shared" si="64"/>
        <v>2430</v>
      </c>
      <c r="G839" s="457">
        <f t="shared" si="63"/>
        <v>1555.2</v>
      </c>
      <c r="H839" s="457"/>
    </row>
    <row r="840" spans="1:8">
      <c r="B840" s="868"/>
      <c r="C840" s="490" t="s">
        <v>328</v>
      </c>
      <c r="D840" s="488">
        <v>0.21</v>
      </c>
      <c r="E840" s="451" t="s">
        <v>68</v>
      </c>
      <c r="F840" s="457">
        <f t="shared" si="64"/>
        <v>2430</v>
      </c>
      <c r="G840" s="457">
        <f t="shared" si="63"/>
        <v>510.3</v>
      </c>
      <c r="H840" s="457"/>
    </row>
    <row r="841" spans="1:8">
      <c r="B841" s="868"/>
      <c r="C841" s="528" t="str">
        <f>C824</f>
        <v xml:space="preserve">Sand Crusher </v>
      </c>
      <c r="D841" s="488">
        <v>0.42499999999999999</v>
      </c>
      <c r="E841" s="456" t="s">
        <v>68</v>
      </c>
      <c r="F841" s="457">
        <f t="shared" si="64"/>
        <v>2200</v>
      </c>
      <c r="G841" s="457">
        <f t="shared" si="63"/>
        <v>935</v>
      </c>
      <c r="H841" s="457"/>
    </row>
    <row r="842" spans="1:8">
      <c r="B842" s="868"/>
      <c r="C842" s="484" t="s">
        <v>267</v>
      </c>
      <c r="D842" s="488">
        <v>300</v>
      </c>
      <c r="E842" s="456" t="s">
        <v>107</v>
      </c>
      <c r="F842" s="457">
        <f t="shared" si="64"/>
        <v>0</v>
      </c>
      <c r="G842" s="457">
        <f t="shared" si="63"/>
        <v>0</v>
      </c>
      <c r="H842" s="457"/>
    </row>
    <row r="843" spans="1:8" ht="12.75" customHeight="1">
      <c r="B843" s="868"/>
      <c r="C843" s="484" t="s">
        <v>725</v>
      </c>
      <c r="D843" s="488">
        <v>3</v>
      </c>
      <c r="E843" s="456" t="s">
        <v>107</v>
      </c>
      <c r="F843" s="457">
        <f t="shared" si="64"/>
        <v>131.85840707964604</v>
      </c>
      <c r="G843" s="457">
        <f t="shared" si="63"/>
        <v>395.57</v>
      </c>
      <c r="H843" s="457"/>
    </row>
    <row r="844" spans="1:8" ht="12.75" customHeight="1">
      <c r="B844" s="865"/>
      <c r="C844" s="484" t="s">
        <v>310</v>
      </c>
      <c r="D844" s="488">
        <v>0.1</v>
      </c>
      <c r="E844" s="456" t="s">
        <v>107</v>
      </c>
      <c r="F844" s="457">
        <f t="shared" si="64"/>
        <v>150.88495575221239</v>
      </c>
      <c r="G844" s="457">
        <f t="shared" si="63"/>
        <v>15.08</v>
      </c>
      <c r="H844" s="457"/>
    </row>
    <row r="845" spans="1:8" ht="12.75" customHeight="1">
      <c r="B845" s="864" t="s">
        <v>313</v>
      </c>
      <c r="C845" s="484" t="s">
        <v>311</v>
      </c>
      <c r="D845" s="488">
        <v>0.6</v>
      </c>
      <c r="E845" s="456" t="s">
        <v>285</v>
      </c>
      <c r="F845" s="457">
        <f t="shared" si="64"/>
        <v>627</v>
      </c>
      <c r="G845" s="457">
        <f t="shared" si="63"/>
        <v>376.2</v>
      </c>
      <c r="H845" s="457"/>
    </row>
    <row r="846" spans="1:8" ht="12.75" customHeight="1">
      <c r="B846" s="865"/>
      <c r="C846" s="484" t="s">
        <v>312</v>
      </c>
      <c r="D846" s="488">
        <v>0.25</v>
      </c>
      <c r="E846" s="456" t="s">
        <v>285</v>
      </c>
      <c r="F846" s="457">
        <f t="shared" si="64"/>
        <v>131</v>
      </c>
      <c r="G846" s="457">
        <f t="shared" si="63"/>
        <v>32.75</v>
      </c>
      <c r="H846" s="457"/>
    </row>
    <row r="847" spans="1:8">
      <c r="B847" s="855" t="s">
        <v>62</v>
      </c>
      <c r="C847" s="855"/>
      <c r="D847" s="856" t="s">
        <v>61</v>
      </c>
      <c r="E847" s="856"/>
      <c r="F847" s="856"/>
      <c r="G847" s="457">
        <f>SUM(G836:G846)</f>
        <v>16005.1</v>
      </c>
      <c r="H847" s="457"/>
    </row>
    <row r="848" spans="1:8">
      <c r="B848" s="855"/>
      <c r="C848" s="855"/>
      <c r="D848" s="857" t="s">
        <v>573</v>
      </c>
      <c r="E848" s="857"/>
      <c r="F848" s="857"/>
      <c r="G848" s="457">
        <f>INT(15%*G847*100)/100</f>
        <v>2400.7600000000002</v>
      </c>
      <c r="H848" s="457"/>
    </row>
    <row r="849" spans="1:8">
      <c r="B849" s="855"/>
      <c r="C849" s="855"/>
      <c r="D849" s="856" t="s">
        <v>47</v>
      </c>
      <c r="E849" s="856"/>
      <c r="F849" s="856"/>
      <c r="G849" s="457">
        <f>SUM(G847:G848)</f>
        <v>18405.86</v>
      </c>
      <c r="H849" s="457"/>
    </row>
    <row r="850" spans="1:8" ht="25.5" customHeight="1">
      <c r="A850" s="445" t="s">
        <v>954</v>
      </c>
      <c r="B850" s="446" t="s">
        <v>955</v>
      </c>
      <c r="C850" s="876" t="s">
        <v>956</v>
      </c>
      <c r="D850" s="877"/>
      <c r="E850" s="877"/>
      <c r="F850" s="447" t="s">
        <v>68</v>
      </c>
      <c r="G850" s="447">
        <f>G856</f>
        <v>16677.75</v>
      </c>
      <c r="H850" s="448">
        <f>G858</f>
        <v>19179.41</v>
      </c>
    </row>
    <row r="851" spans="1:8">
      <c r="B851" s="450" t="s">
        <v>80</v>
      </c>
      <c r="C851" s="451" t="s">
        <v>81</v>
      </c>
      <c r="D851" s="451" t="s">
        <v>44</v>
      </c>
      <c r="E851" s="451" t="s">
        <v>45</v>
      </c>
      <c r="F851" s="452" t="s">
        <v>58</v>
      </c>
      <c r="G851" s="452" t="s">
        <v>59</v>
      </c>
      <c r="H851" s="452" t="s">
        <v>52</v>
      </c>
    </row>
    <row r="852" spans="1:8">
      <c r="B852" s="864" t="s">
        <v>60</v>
      </c>
      <c r="C852" s="484" t="s">
        <v>69</v>
      </c>
      <c r="D852" s="488">
        <v>0.5</v>
      </c>
      <c r="E852" s="451" t="s">
        <v>46</v>
      </c>
      <c r="F852" s="457">
        <f>LOOKUP(C852,'Basic Rate'!$B$8:$B$328,'Basic Rate'!$F$8:$F$328)</f>
        <v>1200</v>
      </c>
      <c r="G852" s="457">
        <f>TRUNC(D852*F852,2)</f>
        <v>600</v>
      </c>
      <c r="H852" s="457"/>
    </row>
    <row r="853" spans="1:8">
      <c r="B853" s="865"/>
      <c r="C853" s="484" t="s">
        <v>43</v>
      </c>
      <c r="D853" s="488">
        <v>3.5</v>
      </c>
      <c r="E853" s="451" t="s">
        <v>46</v>
      </c>
      <c r="F853" s="457">
        <f>LOOKUP(C853,'Basic Rate'!$B$8:$B$328,'Basic Rate'!$F$8:$F$328)</f>
        <v>870</v>
      </c>
      <c r="G853" s="457">
        <f>TRUNC(D853*F853,2)</f>
        <v>3045</v>
      </c>
      <c r="H853" s="457"/>
    </row>
    <row r="854" spans="1:8" ht="12.6" customHeight="1">
      <c r="B854" s="529" t="s">
        <v>63</v>
      </c>
      <c r="C854" s="484" t="s">
        <v>973</v>
      </c>
      <c r="D854" s="488">
        <v>1</v>
      </c>
      <c r="E854" s="456" t="s">
        <v>68</v>
      </c>
      <c r="F854" s="457">
        <f>'Basic Rate'!F138</f>
        <v>13000</v>
      </c>
      <c r="G854" s="457">
        <f>TRUNC(D854*F854,2)</f>
        <v>13000</v>
      </c>
      <c r="H854" s="457"/>
    </row>
    <row r="855" spans="1:8" ht="12.6" customHeight="1">
      <c r="B855" s="529" t="s">
        <v>313</v>
      </c>
      <c r="C855" s="484" t="s">
        <v>312</v>
      </c>
      <c r="D855" s="488">
        <v>0.25</v>
      </c>
      <c r="E855" s="456" t="s">
        <v>285</v>
      </c>
      <c r="F855" s="457">
        <f>LOOKUP(C855,'Basic Rate'!$B$8:$B$328,'Basic Rate'!$F$8:$F$328)</f>
        <v>131</v>
      </c>
      <c r="G855" s="457">
        <f>TRUNC(D855*F855,2)</f>
        <v>32.75</v>
      </c>
      <c r="H855" s="457"/>
    </row>
    <row r="856" spans="1:8" ht="19.649999999999999" customHeight="1">
      <c r="B856" s="855" t="s">
        <v>62</v>
      </c>
      <c r="C856" s="855"/>
      <c r="D856" s="856" t="s">
        <v>61</v>
      </c>
      <c r="E856" s="856"/>
      <c r="F856" s="856"/>
      <c r="G856" s="457">
        <f>SUM(G852:G855)</f>
        <v>16677.75</v>
      </c>
      <c r="H856" s="457"/>
    </row>
    <row r="857" spans="1:8" ht="12" customHeight="1">
      <c r="B857" s="855"/>
      <c r="C857" s="855"/>
      <c r="D857" s="857" t="s">
        <v>573</v>
      </c>
      <c r="E857" s="857"/>
      <c r="F857" s="857"/>
      <c r="G857" s="457">
        <f>INT(15%*G856*100)/100</f>
        <v>2501.66</v>
      </c>
      <c r="H857" s="457"/>
    </row>
    <row r="858" spans="1:8" ht="16.350000000000001" customHeight="1">
      <c r="B858" s="855"/>
      <c r="C858" s="855"/>
      <c r="D858" s="856" t="s">
        <v>47</v>
      </c>
      <c r="E858" s="856"/>
      <c r="F858" s="856"/>
      <c r="G858" s="457">
        <f>SUM(G856:G857)</f>
        <v>19179.41</v>
      </c>
      <c r="H858" s="457"/>
    </row>
    <row r="859" spans="1:8" ht="16.649999999999999" customHeight="1">
      <c r="C859" s="444"/>
      <c r="F859" s="462"/>
      <c r="G859" s="460"/>
      <c r="H859" s="460"/>
    </row>
    <row r="860" spans="1:8" ht="28.8" customHeight="1">
      <c r="A860" s="445">
        <v>4.22</v>
      </c>
      <c r="B860" s="446" t="s">
        <v>318</v>
      </c>
      <c r="C860" s="876" t="s">
        <v>326</v>
      </c>
      <c r="D860" s="877"/>
      <c r="E860" s="877"/>
      <c r="F860" s="447" t="s">
        <v>68</v>
      </c>
      <c r="G860" s="447">
        <f>G874</f>
        <v>15775.75</v>
      </c>
      <c r="H860" s="448">
        <f>G876</f>
        <v>18142.11</v>
      </c>
    </row>
    <row r="861" spans="1:8" ht="11.4" customHeight="1">
      <c r="B861" s="450" t="s">
        <v>80</v>
      </c>
      <c r="C861" s="451" t="s">
        <v>81</v>
      </c>
      <c r="D861" s="451" t="s">
        <v>44</v>
      </c>
      <c r="E861" s="451" t="s">
        <v>45</v>
      </c>
      <c r="F861" s="452" t="s">
        <v>58</v>
      </c>
      <c r="G861" s="452" t="s">
        <v>59</v>
      </c>
      <c r="H861" s="452" t="s">
        <v>52</v>
      </c>
    </row>
    <row r="862" spans="1:8" s="495" customFormat="1" ht="27" customHeight="1">
      <c r="B862" s="864" t="s">
        <v>60</v>
      </c>
      <c r="C862" s="514" t="s">
        <v>69</v>
      </c>
      <c r="D862" s="515">
        <v>0.5</v>
      </c>
      <c r="E862" s="450" t="s">
        <v>46</v>
      </c>
      <c r="F862" s="516">
        <f>F836</f>
        <v>1200</v>
      </c>
      <c r="G862" s="516">
        <f t="shared" ref="G862:G873" si="65">TRUNC(D862*F862,2)</f>
        <v>600</v>
      </c>
      <c r="H862" s="516"/>
    </row>
    <row r="863" spans="1:8" s="495" customFormat="1" ht="18.600000000000001" customHeight="1">
      <c r="B863" s="865"/>
      <c r="C863" s="514" t="s">
        <v>43</v>
      </c>
      <c r="D863" s="515">
        <v>3.5</v>
      </c>
      <c r="E863" s="450" t="s">
        <v>46</v>
      </c>
      <c r="F863" s="516">
        <f>F837</f>
        <v>870</v>
      </c>
      <c r="G863" s="516">
        <f t="shared" si="65"/>
        <v>3045</v>
      </c>
      <c r="H863" s="516"/>
    </row>
    <row r="864" spans="1:8" s="495" customFormat="1" ht="18" customHeight="1">
      <c r="B864" s="864" t="s">
        <v>63</v>
      </c>
      <c r="C864" s="514" t="s">
        <v>70</v>
      </c>
      <c r="D864" s="515">
        <v>0.6</v>
      </c>
      <c r="E864" s="450" t="s">
        <v>71</v>
      </c>
      <c r="F864" s="516">
        <f>F838</f>
        <v>14000</v>
      </c>
      <c r="G864" s="516">
        <f t="shared" si="65"/>
        <v>8400</v>
      </c>
      <c r="H864" s="516"/>
    </row>
    <row r="865" spans="1:8" s="495" customFormat="1" ht="16.649999999999999" customHeight="1">
      <c r="B865" s="868"/>
      <c r="C865" s="537" t="s">
        <v>327</v>
      </c>
      <c r="D865" s="515">
        <v>0.82499999999999996</v>
      </c>
      <c r="E865" s="450" t="s">
        <v>68</v>
      </c>
      <c r="F865" s="516">
        <f>F839</f>
        <v>2430</v>
      </c>
      <c r="G865" s="516">
        <f t="shared" si="65"/>
        <v>2004.75</v>
      </c>
      <c r="H865" s="516"/>
    </row>
    <row r="866" spans="1:8" s="495" customFormat="1" ht="13.65" customHeight="1">
      <c r="B866" s="868"/>
      <c r="C866" s="538" t="str">
        <f>C841</f>
        <v xml:space="preserve">Sand Crusher </v>
      </c>
      <c r="D866" s="515">
        <v>0.41199999999999998</v>
      </c>
      <c r="E866" s="536" t="s">
        <v>68</v>
      </c>
      <c r="F866" s="516">
        <f>F841</f>
        <v>2200</v>
      </c>
      <c r="G866" s="516">
        <f t="shared" si="65"/>
        <v>906.4</v>
      </c>
      <c r="H866" s="516"/>
    </row>
    <row r="867" spans="1:8" s="495" customFormat="1" ht="13.35" customHeight="1">
      <c r="B867" s="868"/>
      <c r="C867" s="514" t="s">
        <v>320</v>
      </c>
      <c r="D867" s="515">
        <v>12</v>
      </c>
      <c r="E867" s="450" t="s">
        <v>74</v>
      </c>
      <c r="F867" s="516">
        <f>'Basic Rate'!D194</f>
        <v>0</v>
      </c>
      <c r="G867" s="516">
        <f t="shared" si="65"/>
        <v>0</v>
      </c>
      <c r="H867" s="516"/>
    </row>
    <row r="868" spans="1:8" s="495" customFormat="1" ht="15.6" customHeight="1">
      <c r="B868" s="868"/>
      <c r="C868" s="514" t="s">
        <v>319</v>
      </c>
      <c r="D868" s="515">
        <v>40</v>
      </c>
      <c r="E868" s="450" t="s">
        <v>74</v>
      </c>
      <c r="F868" s="516">
        <f>'Basic Rate'!F118</f>
        <v>0</v>
      </c>
      <c r="G868" s="516">
        <f t="shared" si="65"/>
        <v>0</v>
      </c>
      <c r="H868" s="516"/>
    </row>
    <row r="869" spans="1:8" s="495" customFormat="1" ht="21" customHeight="1">
      <c r="B869" s="868"/>
      <c r="C869" s="514" t="s">
        <v>267</v>
      </c>
      <c r="D869" s="515">
        <v>150</v>
      </c>
      <c r="E869" s="536" t="s">
        <v>107</v>
      </c>
      <c r="F869" s="516">
        <f>F842</f>
        <v>0</v>
      </c>
      <c r="G869" s="516">
        <f t="shared" si="65"/>
        <v>0</v>
      </c>
      <c r="H869" s="516"/>
    </row>
    <row r="870" spans="1:8" s="495" customFormat="1" ht="12.75" customHeight="1">
      <c r="B870" s="868"/>
      <c r="C870" s="514" t="s">
        <v>725</v>
      </c>
      <c r="D870" s="515">
        <v>3</v>
      </c>
      <c r="E870" s="536" t="s">
        <v>107</v>
      </c>
      <c r="F870" s="516">
        <f>F843</f>
        <v>131.85840707964604</v>
      </c>
      <c r="G870" s="516">
        <f t="shared" si="65"/>
        <v>395.57</v>
      </c>
      <c r="H870" s="516"/>
    </row>
    <row r="871" spans="1:8" s="495" customFormat="1" ht="12.75" customHeight="1">
      <c r="B871" s="868"/>
      <c r="C871" s="514" t="s">
        <v>310</v>
      </c>
      <c r="D871" s="515">
        <v>0.1</v>
      </c>
      <c r="E871" s="536" t="s">
        <v>107</v>
      </c>
      <c r="F871" s="516">
        <f>F844</f>
        <v>150.88495575221239</v>
      </c>
      <c r="G871" s="516">
        <f t="shared" si="65"/>
        <v>15.08</v>
      </c>
      <c r="H871" s="516"/>
    </row>
    <row r="872" spans="1:8" s="495" customFormat="1" ht="12.75" customHeight="1">
      <c r="B872" s="868"/>
      <c r="C872" s="514" t="s">
        <v>311</v>
      </c>
      <c r="D872" s="515">
        <v>0.6</v>
      </c>
      <c r="E872" s="536" t="s">
        <v>285</v>
      </c>
      <c r="F872" s="516">
        <f>F845</f>
        <v>627</v>
      </c>
      <c r="G872" s="516">
        <f t="shared" si="65"/>
        <v>376.2</v>
      </c>
      <c r="H872" s="516"/>
    </row>
    <row r="873" spans="1:8" s="495" customFormat="1" ht="12.75" customHeight="1">
      <c r="B873" s="868"/>
      <c r="C873" s="514" t="s">
        <v>312</v>
      </c>
      <c r="D873" s="515">
        <v>0.25</v>
      </c>
      <c r="E873" s="536" t="s">
        <v>285</v>
      </c>
      <c r="F873" s="516">
        <f>F846</f>
        <v>131</v>
      </c>
      <c r="G873" s="516">
        <f t="shared" si="65"/>
        <v>32.75</v>
      </c>
      <c r="H873" s="516"/>
    </row>
    <row r="874" spans="1:8" s="495" customFormat="1">
      <c r="B874" s="855" t="s">
        <v>62</v>
      </c>
      <c r="C874" s="855"/>
      <c r="D874" s="887" t="s">
        <v>61</v>
      </c>
      <c r="E874" s="887"/>
      <c r="F874" s="887"/>
      <c r="G874" s="516">
        <f>SUM(G862:G873)</f>
        <v>15775.75</v>
      </c>
      <c r="H874" s="516"/>
    </row>
    <row r="875" spans="1:8" s="495" customFormat="1">
      <c r="B875" s="855"/>
      <c r="C875" s="855"/>
      <c r="D875" s="934" t="s">
        <v>573</v>
      </c>
      <c r="E875" s="934"/>
      <c r="F875" s="934"/>
      <c r="G875" s="516">
        <f>INT(15%*G874*100)/100</f>
        <v>2366.36</v>
      </c>
      <c r="H875" s="516"/>
    </row>
    <row r="876" spans="1:8" s="495" customFormat="1">
      <c r="B876" s="855"/>
      <c r="C876" s="855"/>
      <c r="D876" s="887" t="s">
        <v>47</v>
      </c>
      <c r="E876" s="887"/>
      <c r="F876" s="887"/>
      <c r="G876" s="516">
        <f>SUM(G874:G875)</f>
        <v>18142.11</v>
      </c>
      <c r="H876" s="516"/>
    </row>
    <row r="877" spans="1:8" ht="10.35" customHeight="1">
      <c r="B877" s="458"/>
      <c r="C877" s="458"/>
      <c r="F877" s="459"/>
      <c r="G877" s="460"/>
      <c r="H877" s="460"/>
    </row>
    <row r="878" spans="1:8" ht="25.5" customHeight="1">
      <c r="A878" s="445" t="s">
        <v>958</v>
      </c>
      <c r="B878" s="446" t="s">
        <v>959</v>
      </c>
      <c r="C878" s="876" t="s">
        <v>957</v>
      </c>
      <c r="D878" s="877"/>
      <c r="E878" s="877"/>
      <c r="F878" s="447" t="s">
        <v>68</v>
      </c>
      <c r="G878" s="447">
        <f>G884</f>
        <v>17677.75</v>
      </c>
      <c r="H878" s="448">
        <f>G886</f>
        <v>20329.41</v>
      </c>
    </row>
    <row r="879" spans="1:8">
      <c r="B879" s="450" t="s">
        <v>80</v>
      </c>
      <c r="C879" s="451" t="s">
        <v>81</v>
      </c>
      <c r="D879" s="451" t="s">
        <v>44</v>
      </c>
      <c r="E879" s="451" t="s">
        <v>45</v>
      </c>
      <c r="F879" s="452" t="s">
        <v>58</v>
      </c>
      <c r="G879" s="452" t="s">
        <v>59</v>
      </c>
      <c r="H879" s="452" t="s">
        <v>52</v>
      </c>
    </row>
    <row r="880" spans="1:8">
      <c r="B880" s="864" t="s">
        <v>60</v>
      </c>
      <c r="C880" s="484" t="s">
        <v>69</v>
      </c>
      <c r="D880" s="488">
        <v>0.5</v>
      </c>
      <c r="E880" s="451" t="s">
        <v>46</v>
      </c>
      <c r="F880" s="457">
        <f>LOOKUP(C880,'Basic Rate'!$B$8:$B$328,'Basic Rate'!$F$8:$F$328)</f>
        <v>1200</v>
      </c>
      <c r="G880" s="457">
        <f>TRUNC(D880*F880,2)</f>
        <v>600</v>
      </c>
      <c r="H880" s="457"/>
    </row>
    <row r="881" spans="1:8">
      <c r="B881" s="865"/>
      <c r="C881" s="484" t="s">
        <v>43</v>
      </c>
      <c r="D881" s="488">
        <v>3.5</v>
      </c>
      <c r="E881" s="451" t="s">
        <v>46</v>
      </c>
      <c r="F881" s="457">
        <f>LOOKUP(C881,'Basic Rate'!$B$8:$B$328,'Basic Rate'!$F$8:$F$328)</f>
        <v>870</v>
      </c>
      <c r="G881" s="457">
        <f>TRUNC(D881*F881,2)</f>
        <v>3045</v>
      </c>
      <c r="H881" s="457"/>
    </row>
    <row r="882" spans="1:8" ht="12.75" customHeight="1">
      <c r="B882" s="529" t="s">
        <v>63</v>
      </c>
      <c r="C882" s="484" t="s">
        <v>960</v>
      </c>
      <c r="D882" s="488">
        <v>1</v>
      </c>
      <c r="E882" s="456" t="s">
        <v>68</v>
      </c>
      <c r="F882" s="457">
        <f>'Basic Rate'!F139</f>
        <v>14000</v>
      </c>
      <c r="G882" s="457">
        <f>TRUNC(D882*F882,2)</f>
        <v>14000</v>
      </c>
      <c r="H882" s="457"/>
    </row>
    <row r="883" spans="1:8" ht="12.75" customHeight="1">
      <c r="B883" s="529" t="s">
        <v>313</v>
      </c>
      <c r="C883" s="484" t="s">
        <v>312</v>
      </c>
      <c r="D883" s="488">
        <v>0.25</v>
      </c>
      <c r="E883" s="456" t="s">
        <v>285</v>
      </c>
      <c r="F883" s="457">
        <f>LOOKUP(C883,'Basic Rate'!$B$8:$B$328,'Basic Rate'!$F$8:$F$328)</f>
        <v>131</v>
      </c>
      <c r="G883" s="457">
        <f>TRUNC(D883*F883,2)</f>
        <v>32.75</v>
      </c>
      <c r="H883" s="457"/>
    </row>
    <row r="884" spans="1:8">
      <c r="B884" s="855" t="s">
        <v>62</v>
      </c>
      <c r="C884" s="855"/>
      <c r="D884" s="856" t="s">
        <v>61</v>
      </c>
      <c r="E884" s="856"/>
      <c r="F884" s="856"/>
      <c r="G884" s="457">
        <f>SUM(G880:G883)</f>
        <v>17677.75</v>
      </c>
      <c r="H884" s="457"/>
    </row>
    <row r="885" spans="1:8" ht="15" customHeight="1">
      <c r="B885" s="855"/>
      <c r="C885" s="855"/>
      <c r="D885" s="857" t="s">
        <v>573</v>
      </c>
      <c r="E885" s="857"/>
      <c r="F885" s="857"/>
      <c r="G885" s="457">
        <f>INT(15%*G884*100)/100</f>
        <v>2651.66</v>
      </c>
      <c r="H885" s="457"/>
    </row>
    <row r="886" spans="1:8">
      <c r="B886" s="855"/>
      <c r="C886" s="855"/>
      <c r="D886" s="856" t="s">
        <v>47</v>
      </c>
      <c r="E886" s="856"/>
      <c r="F886" s="856"/>
      <c r="G886" s="457">
        <f>SUM(G884:G885)</f>
        <v>20329.41</v>
      </c>
      <c r="H886" s="457"/>
    </row>
    <row r="887" spans="1:8">
      <c r="B887" s="458"/>
      <c r="C887" s="458"/>
      <c r="F887" s="509"/>
      <c r="G887" s="460"/>
      <c r="H887" s="460"/>
    </row>
    <row r="888" spans="1:8" ht="25.5" customHeight="1">
      <c r="A888" s="445">
        <v>4.2300000000000004</v>
      </c>
      <c r="B888" s="446" t="s">
        <v>331</v>
      </c>
      <c r="C888" s="876" t="s">
        <v>73</v>
      </c>
      <c r="D888" s="877"/>
      <c r="E888" s="877"/>
      <c r="F888" s="447" t="s">
        <v>74</v>
      </c>
      <c r="G888" s="448">
        <f>TRUNC(G894/1000,2)</f>
        <v>136.49</v>
      </c>
      <c r="H888" s="448">
        <f>TRUNC(G896/1000,2)</f>
        <v>156.96</v>
      </c>
    </row>
    <row r="889" spans="1:8">
      <c r="B889" s="450" t="s">
        <v>80</v>
      </c>
      <c r="C889" s="451" t="s">
        <v>81</v>
      </c>
      <c r="D889" s="451" t="s">
        <v>44</v>
      </c>
      <c r="E889" s="451" t="s">
        <v>45</v>
      </c>
      <c r="F889" s="452" t="s">
        <v>58</v>
      </c>
      <c r="G889" s="452" t="s">
        <v>59</v>
      </c>
      <c r="H889" s="452" t="s">
        <v>52</v>
      </c>
    </row>
    <row r="890" spans="1:8">
      <c r="B890" s="864" t="s">
        <v>60</v>
      </c>
      <c r="C890" s="484" t="s">
        <v>69</v>
      </c>
      <c r="D890" s="488">
        <v>12</v>
      </c>
      <c r="E890" s="451" t="s">
        <v>46</v>
      </c>
      <c r="F890" s="457">
        <f>F862</f>
        <v>1200</v>
      </c>
      <c r="G890" s="457">
        <f>TRUNC(D890*F890,2)</f>
        <v>14400</v>
      </c>
      <c r="H890" s="457"/>
    </row>
    <row r="891" spans="1:8">
      <c r="B891" s="865"/>
      <c r="C891" s="484" t="s">
        <v>43</v>
      </c>
      <c r="D891" s="488">
        <v>12</v>
      </c>
      <c r="E891" s="451" t="s">
        <v>46</v>
      </c>
      <c r="F891" s="457">
        <f>F863</f>
        <v>870</v>
      </c>
      <c r="G891" s="457">
        <f>TRUNC(D891*F891,2)</f>
        <v>10440</v>
      </c>
      <c r="H891" s="457"/>
    </row>
    <row r="892" spans="1:8">
      <c r="B892" s="864" t="s">
        <v>63</v>
      </c>
      <c r="C892" s="484" t="s">
        <v>254</v>
      </c>
      <c r="D892" s="488">
        <v>1.05</v>
      </c>
      <c r="E892" s="451" t="s">
        <v>1652</v>
      </c>
      <c r="F892" s="457">
        <f>'Basic Rate'!F201</f>
        <v>105000</v>
      </c>
      <c r="G892" s="457">
        <f>TRUNC(D892*F892,2)</f>
        <v>110250</v>
      </c>
      <c r="H892" s="457"/>
    </row>
    <row r="893" spans="1:8">
      <c r="B893" s="865"/>
      <c r="C893" s="484" t="s">
        <v>155</v>
      </c>
      <c r="D893" s="488">
        <v>10</v>
      </c>
      <c r="E893" s="451" t="s">
        <v>74</v>
      </c>
      <c r="F893" s="457">
        <f>'Basic Rate'!F28</f>
        <v>140</v>
      </c>
      <c r="G893" s="457">
        <f>TRUNC(D893*F893,2)</f>
        <v>1400</v>
      </c>
      <c r="H893" s="457"/>
    </row>
    <row r="894" spans="1:8">
      <c r="B894" s="855" t="s">
        <v>164</v>
      </c>
      <c r="C894" s="855"/>
      <c r="D894" s="856" t="s">
        <v>61</v>
      </c>
      <c r="E894" s="856"/>
      <c r="F894" s="856"/>
      <c r="G894" s="457">
        <f>SUM(G890:G893)</f>
        <v>136490</v>
      </c>
      <c r="H894" s="457"/>
    </row>
    <row r="895" spans="1:8">
      <c r="B895" s="855"/>
      <c r="C895" s="855"/>
      <c r="D895" s="857" t="s">
        <v>573</v>
      </c>
      <c r="E895" s="857"/>
      <c r="F895" s="857"/>
      <c r="G895" s="457">
        <f>INT(15%*G894*100)/100</f>
        <v>20473.5</v>
      </c>
      <c r="H895" s="457"/>
    </row>
    <row r="896" spans="1:8">
      <c r="B896" s="855"/>
      <c r="C896" s="855"/>
      <c r="D896" s="856" t="s">
        <v>47</v>
      </c>
      <c r="E896" s="856"/>
      <c r="F896" s="856"/>
      <c r="G896" s="457">
        <f>SUM(G894:G895)</f>
        <v>156963.5</v>
      </c>
      <c r="H896" s="457"/>
    </row>
    <row r="897" spans="1:8" ht="12.75" customHeight="1">
      <c r="A897" s="916" t="s">
        <v>431</v>
      </c>
      <c r="B897" s="916"/>
      <c r="C897" s="916"/>
      <c r="D897" s="916"/>
      <c r="E897" s="916"/>
      <c r="F897" s="916"/>
      <c r="G897" s="916"/>
      <c r="H897" s="916"/>
    </row>
    <row r="898" spans="1:8" ht="12.75" customHeight="1">
      <c r="A898" s="444"/>
      <c r="B898" s="444"/>
      <c r="C898" s="444"/>
      <c r="D898" s="444"/>
      <c r="E898" s="444"/>
      <c r="F898" s="539"/>
      <c r="G898" s="539"/>
      <c r="H898" s="539"/>
    </row>
    <row r="899" spans="1:8" ht="25.5" customHeight="1">
      <c r="A899" s="445">
        <v>5.01</v>
      </c>
      <c r="B899" s="446" t="s">
        <v>332</v>
      </c>
      <c r="C899" s="876" t="s">
        <v>333</v>
      </c>
      <c r="D899" s="877"/>
      <c r="E899" s="877"/>
      <c r="F899" s="447" t="s">
        <v>50</v>
      </c>
      <c r="G899" s="448">
        <f>INT(G905/10*100)/100</f>
        <v>1688.07</v>
      </c>
      <c r="H899" s="448">
        <f>INT(G907/10*100)/100</f>
        <v>1941.28</v>
      </c>
    </row>
    <row r="900" spans="1:8">
      <c r="B900" s="450" t="s">
        <v>80</v>
      </c>
      <c r="C900" s="451" t="s">
        <v>81</v>
      </c>
      <c r="D900" s="451" t="s">
        <v>44</v>
      </c>
      <c r="E900" s="451" t="s">
        <v>45</v>
      </c>
      <c r="F900" s="452" t="s">
        <v>58</v>
      </c>
      <c r="G900" s="452" t="s">
        <v>59</v>
      </c>
      <c r="H900" s="452" t="s">
        <v>52</v>
      </c>
    </row>
    <row r="901" spans="1:8">
      <c r="B901" s="864" t="s">
        <v>60</v>
      </c>
      <c r="C901" s="454" t="s">
        <v>69</v>
      </c>
      <c r="D901" s="488">
        <v>3.7480000000000002</v>
      </c>
      <c r="E901" s="451" t="s">
        <v>46</v>
      </c>
      <c r="F901" s="457">
        <f>F890</f>
        <v>1200</v>
      </c>
      <c r="G901" s="457">
        <f>TRUNC(D901*F901,2)</f>
        <v>4497.6000000000004</v>
      </c>
      <c r="H901" s="974"/>
    </row>
    <row r="902" spans="1:8">
      <c r="B902" s="865"/>
      <c r="C902" s="484" t="s">
        <v>43</v>
      </c>
      <c r="D902" s="488">
        <v>5.6219999999999999</v>
      </c>
      <c r="E902" s="451" t="s">
        <v>46</v>
      </c>
      <c r="F902" s="457">
        <f>F891</f>
        <v>870</v>
      </c>
      <c r="G902" s="457">
        <f>TRUNC(D902*F902,2)</f>
        <v>4891.1400000000003</v>
      </c>
      <c r="H902" s="974"/>
    </row>
    <row r="903" spans="1:8" ht="12.75" customHeight="1">
      <c r="B903" s="864" t="s">
        <v>63</v>
      </c>
      <c r="C903" s="484" t="s">
        <v>1473</v>
      </c>
      <c r="D903" s="488">
        <v>7.0000000000000007E-2</v>
      </c>
      <c r="E903" s="456" t="s">
        <v>68</v>
      </c>
      <c r="F903" s="457">
        <f>'Basic Rate'!F223</f>
        <v>102100.32</v>
      </c>
      <c r="G903" s="457">
        <f>TRUNC(D903*F903,2)</f>
        <v>7147.02</v>
      </c>
      <c r="H903" s="974"/>
    </row>
    <row r="904" spans="1:8">
      <c r="B904" s="865"/>
      <c r="C904" s="484" t="s">
        <v>151</v>
      </c>
      <c r="D904" s="488">
        <v>2.5</v>
      </c>
      <c r="E904" s="451" t="s">
        <v>74</v>
      </c>
      <c r="F904" s="457">
        <f>'Basic Rate'!F109</f>
        <v>138</v>
      </c>
      <c r="G904" s="457">
        <f>TRUNC(D904*F904,2)</f>
        <v>345</v>
      </c>
      <c r="H904" s="974"/>
    </row>
    <row r="905" spans="1:8">
      <c r="B905" s="879" t="s">
        <v>125</v>
      </c>
      <c r="C905" s="880"/>
      <c r="D905" s="858" t="s">
        <v>61</v>
      </c>
      <c r="E905" s="859"/>
      <c r="F905" s="860"/>
      <c r="G905" s="457">
        <f>SUM(G901:G904)</f>
        <v>16880.760000000002</v>
      </c>
      <c r="H905" s="457"/>
    </row>
    <row r="906" spans="1:8">
      <c r="B906" s="881"/>
      <c r="C906" s="882"/>
      <c r="D906" s="861" t="s">
        <v>573</v>
      </c>
      <c r="E906" s="862"/>
      <c r="F906" s="863"/>
      <c r="G906" s="457">
        <f>INT(15%*G905*100)/100</f>
        <v>2532.11</v>
      </c>
      <c r="H906" s="457"/>
    </row>
    <row r="907" spans="1:8">
      <c r="B907" s="881"/>
      <c r="C907" s="882"/>
      <c r="D907" s="929" t="s">
        <v>47</v>
      </c>
      <c r="E907" s="930"/>
      <c r="F907" s="931"/>
      <c r="G907" s="540">
        <f>SUM(G905:G906)</f>
        <v>19412.870000000003</v>
      </c>
      <c r="H907" s="475"/>
    </row>
    <row r="908" spans="1:8">
      <c r="B908" s="494"/>
      <c r="C908" s="494"/>
      <c r="D908" s="476"/>
      <c r="E908" s="476"/>
      <c r="F908" s="476"/>
      <c r="G908" s="541"/>
      <c r="H908" s="477"/>
    </row>
    <row r="909" spans="1:8">
      <c r="B909" s="463"/>
      <c r="C909" s="463"/>
      <c r="D909" s="464"/>
      <c r="E909" s="464"/>
      <c r="F909" s="464"/>
      <c r="G909" s="542"/>
      <c r="H909" s="466"/>
    </row>
    <row r="910" spans="1:8" s="158" customFormat="1" ht="25.5" customHeight="1">
      <c r="A910" s="543">
        <v>5.0199999999999996</v>
      </c>
      <c r="B910" s="544" t="s">
        <v>335</v>
      </c>
      <c r="C910" s="939" t="s">
        <v>334</v>
      </c>
      <c r="D910" s="940"/>
      <c r="E910" s="940"/>
      <c r="F910" s="545" t="s">
        <v>50</v>
      </c>
      <c r="G910" s="546">
        <f>INT(G918/10*100)/100</f>
        <v>843.93</v>
      </c>
      <c r="H910" s="546">
        <f>INT(G920/10*100)/100</f>
        <v>970.52</v>
      </c>
    </row>
    <row r="911" spans="1:8" s="158" customFormat="1">
      <c r="B911" s="547" t="s">
        <v>80</v>
      </c>
      <c r="C911" s="240" t="s">
        <v>81</v>
      </c>
      <c r="D911" s="240" t="s">
        <v>44</v>
      </c>
      <c r="E911" s="240" t="s">
        <v>45</v>
      </c>
      <c r="F911" s="548" t="s">
        <v>58</v>
      </c>
      <c r="G911" s="548" t="s">
        <v>59</v>
      </c>
      <c r="H911" s="548" t="s">
        <v>52</v>
      </c>
    </row>
    <row r="912" spans="1:8" s="158" customFormat="1">
      <c r="B912" s="932" t="s">
        <v>60</v>
      </c>
      <c r="C912" s="549" t="s">
        <v>69</v>
      </c>
      <c r="D912" s="550">
        <v>1.5740000000000001</v>
      </c>
      <c r="E912" s="240" t="s">
        <v>46</v>
      </c>
      <c r="F912" s="551">
        <f>F901</f>
        <v>1200</v>
      </c>
      <c r="G912" s="551">
        <f t="shared" ref="G912:G917" si="66">TRUNC(D912*F912,2)</f>
        <v>1888.8</v>
      </c>
      <c r="H912" s="975"/>
    </row>
    <row r="913" spans="1:8" s="158" customFormat="1">
      <c r="B913" s="933"/>
      <c r="C913" s="552" t="s">
        <v>43</v>
      </c>
      <c r="D913" s="550">
        <v>2.3610000000000002</v>
      </c>
      <c r="E913" s="240" t="s">
        <v>46</v>
      </c>
      <c r="F913" s="551">
        <f>F902</f>
        <v>870</v>
      </c>
      <c r="G913" s="551">
        <f t="shared" si="66"/>
        <v>2054.0700000000002</v>
      </c>
      <c r="H913" s="975"/>
    </row>
    <row r="914" spans="1:8" s="553" customFormat="1" ht="12" customHeight="1">
      <c r="B914" s="932" t="s">
        <v>63</v>
      </c>
      <c r="C914" s="554" t="s">
        <v>28</v>
      </c>
      <c r="D914" s="555">
        <v>0.69299999999999995</v>
      </c>
      <c r="E914" s="556" t="s">
        <v>50</v>
      </c>
      <c r="F914" s="557">
        <f>'Basic Rate'!F152</f>
        <v>1396</v>
      </c>
      <c r="G914" s="557">
        <f t="shared" si="66"/>
        <v>967.42</v>
      </c>
      <c r="H914" s="975"/>
    </row>
    <row r="915" spans="1:8" s="158" customFormat="1">
      <c r="B915" s="959"/>
      <c r="C915" s="552" t="s">
        <v>1474</v>
      </c>
      <c r="D915" s="550">
        <v>1.9E-2</v>
      </c>
      <c r="E915" s="241" t="s">
        <v>68</v>
      </c>
      <c r="F915" s="551">
        <f>F903</f>
        <v>102100.32</v>
      </c>
      <c r="G915" s="551">
        <f t="shared" si="66"/>
        <v>1939.9</v>
      </c>
      <c r="H915" s="975"/>
    </row>
    <row r="916" spans="1:8" s="158" customFormat="1">
      <c r="B916" s="959"/>
      <c r="C916" s="552" t="s">
        <v>200</v>
      </c>
      <c r="D916" s="550">
        <v>0.54</v>
      </c>
      <c r="E916" s="241" t="s">
        <v>46</v>
      </c>
      <c r="F916" s="551">
        <f>'Basic Rate'!F124</f>
        <v>2304</v>
      </c>
      <c r="G916" s="551">
        <f t="shared" si="66"/>
        <v>1244.1600000000001</v>
      </c>
      <c r="H916" s="975"/>
    </row>
    <row r="917" spans="1:8" s="158" customFormat="1">
      <c r="B917" s="933"/>
      <c r="C917" s="552" t="s">
        <v>151</v>
      </c>
      <c r="D917" s="550">
        <v>2.5</v>
      </c>
      <c r="E917" s="240" t="s">
        <v>74</v>
      </c>
      <c r="F917" s="551">
        <f>'Basic Rate'!F109</f>
        <v>138</v>
      </c>
      <c r="G917" s="551">
        <f t="shared" si="66"/>
        <v>345</v>
      </c>
      <c r="H917" s="975"/>
    </row>
    <row r="918" spans="1:8" s="158" customFormat="1">
      <c r="B918" s="961" t="s">
        <v>125</v>
      </c>
      <c r="C918" s="962"/>
      <c r="D918" s="936" t="s">
        <v>61</v>
      </c>
      <c r="E918" s="937"/>
      <c r="F918" s="938"/>
      <c r="G918" s="551">
        <f>SUM(G912:G917)</f>
        <v>8439.35</v>
      </c>
      <c r="H918" s="551"/>
    </row>
    <row r="919" spans="1:8" s="158" customFormat="1">
      <c r="B919" s="963"/>
      <c r="C919" s="964"/>
      <c r="D919" s="969" t="s">
        <v>573</v>
      </c>
      <c r="E919" s="970"/>
      <c r="F919" s="971"/>
      <c r="G919" s="551">
        <f>INT(15%*G918*100)/100</f>
        <v>1265.9000000000001</v>
      </c>
      <c r="H919" s="551"/>
    </row>
    <row r="920" spans="1:8" s="158" customFormat="1">
      <c r="B920" s="965"/>
      <c r="C920" s="966"/>
      <c r="D920" s="936" t="s">
        <v>47</v>
      </c>
      <c r="E920" s="937"/>
      <c r="F920" s="938"/>
      <c r="G920" s="558">
        <f>SUM(G918:G919)</f>
        <v>9705.25</v>
      </c>
      <c r="H920" s="551"/>
    </row>
    <row r="921" spans="1:8">
      <c r="B921" s="458"/>
      <c r="C921" s="458"/>
      <c r="F921" s="459"/>
      <c r="G921" s="559"/>
      <c r="H921" s="460"/>
    </row>
    <row r="922" spans="1:8" ht="38.25" customHeight="1">
      <c r="A922" s="445">
        <v>5.03</v>
      </c>
      <c r="B922" s="446" t="s">
        <v>336</v>
      </c>
      <c r="C922" s="876" t="s">
        <v>1054</v>
      </c>
      <c r="D922" s="877"/>
      <c r="E922" s="877"/>
      <c r="F922" s="447" t="s">
        <v>50</v>
      </c>
      <c r="G922" s="448">
        <f>INT(G928/10*100)/100</f>
        <v>1751.2</v>
      </c>
      <c r="H922" s="448">
        <f>INT(G930/10*100)/100</f>
        <v>2013.88</v>
      </c>
    </row>
    <row r="923" spans="1:8">
      <c r="B923" s="450" t="s">
        <v>80</v>
      </c>
      <c r="C923" s="451" t="s">
        <v>81</v>
      </c>
      <c r="D923" s="560" t="s">
        <v>44</v>
      </c>
      <c r="E923" s="560" t="s">
        <v>45</v>
      </c>
      <c r="F923" s="561" t="s">
        <v>76</v>
      </c>
      <c r="G923" s="561" t="s">
        <v>59</v>
      </c>
      <c r="H923" s="561" t="s">
        <v>52</v>
      </c>
    </row>
    <row r="924" spans="1:8">
      <c r="B924" s="869" t="s">
        <v>77</v>
      </c>
      <c r="C924" s="562" t="s">
        <v>69</v>
      </c>
      <c r="D924" s="563">
        <v>4</v>
      </c>
      <c r="E924" s="451" t="s">
        <v>46</v>
      </c>
      <c r="F924" s="457">
        <f>F912</f>
        <v>1200</v>
      </c>
      <c r="G924" s="457">
        <f>TRUNC(D924*F924,2)</f>
        <v>4800</v>
      </c>
      <c r="H924" s="564"/>
    </row>
    <row r="925" spans="1:8" ht="12.75" customHeight="1">
      <c r="B925" s="870"/>
      <c r="C925" s="565" t="s">
        <v>43</v>
      </c>
      <c r="D925" s="563">
        <v>6</v>
      </c>
      <c r="E925" s="451" t="s">
        <v>46</v>
      </c>
      <c r="F925" s="457">
        <f>F913</f>
        <v>870</v>
      </c>
      <c r="G925" s="457">
        <f>TRUNC(D925*F925,2)</f>
        <v>5220</v>
      </c>
      <c r="H925" s="564"/>
    </row>
    <row r="926" spans="1:8">
      <c r="B926" s="864" t="s">
        <v>63</v>
      </c>
      <c r="C926" s="484" t="s">
        <v>1473</v>
      </c>
      <c r="D926" s="563">
        <v>7.0000000000000007E-2</v>
      </c>
      <c r="E926" s="456" t="s">
        <v>68</v>
      </c>
      <c r="F926" s="457">
        <f>F915</f>
        <v>102100.32</v>
      </c>
      <c r="G926" s="457">
        <f>TRUNC(D926*F926,2)</f>
        <v>7147.02</v>
      </c>
      <c r="H926" s="564"/>
    </row>
    <row r="927" spans="1:8">
      <c r="B927" s="865"/>
      <c r="C927" s="565" t="s">
        <v>151</v>
      </c>
      <c r="D927" s="563">
        <v>2.5</v>
      </c>
      <c r="E927" s="451" t="s">
        <v>74</v>
      </c>
      <c r="F927" s="457">
        <f>F917</f>
        <v>138</v>
      </c>
      <c r="G927" s="457">
        <f>TRUNC(D927*F927,2)</f>
        <v>345</v>
      </c>
      <c r="H927" s="564"/>
    </row>
    <row r="928" spans="1:8">
      <c r="B928" s="879" t="s">
        <v>125</v>
      </c>
      <c r="C928" s="880"/>
      <c r="D928" s="858" t="s">
        <v>78</v>
      </c>
      <c r="E928" s="859"/>
      <c r="F928" s="860"/>
      <c r="G928" s="457">
        <f>SUM(G924:G927)</f>
        <v>17512.02</v>
      </c>
      <c r="H928" s="457"/>
    </row>
    <row r="929" spans="1:8">
      <c r="B929" s="881"/>
      <c r="C929" s="882"/>
      <c r="D929" s="861" t="s">
        <v>79</v>
      </c>
      <c r="E929" s="862"/>
      <c r="F929" s="863"/>
      <c r="G929" s="457">
        <f>INT(15%*G928*100)/100</f>
        <v>2626.8</v>
      </c>
      <c r="H929" s="457"/>
    </row>
    <row r="930" spans="1:8">
      <c r="B930" s="883"/>
      <c r="C930" s="884"/>
      <c r="D930" s="858" t="s">
        <v>47</v>
      </c>
      <c r="E930" s="859"/>
      <c r="F930" s="860"/>
      <c r="G930" s="457">
        <f>SUM(G928:G929)</f>
        <v>20138.82</v>
      </c>
      <c r="H930" s="457"/>
    </row>
    <row r="931" spans="1:8">
      <c r="C931" s="444"/>
      <c r="D931" s="486"/>
      <c r="E931" s="486"/>
      <c r="G931" s="487"/>
      <c r="H931" s="487"/>
    </row>
    <row r="932" spans="1:8" ht="38.25" customHeight="1">
      <c r="A932" s="445">
        <v>5.04</v>
      </c>
      <c r="B932" s="446" t="s">
        <v>337</v>
      </c>
      <c r="C932" s="876" t="s">
        <v>1055</v>
      </c>
      <c r="D932" s="877"/>
      <c r="E932" s="877"/>
      <c r="F932" s="447" t="s">
        <v>50</v>
      </c>
      <c r="G932" s="448">
        <f>INT(G938/10*100)/100</f>
        <v>1417.6</v>
      </c>
      <c r="H932" s="448">
        <f>INT(G940/10*100)/100</f>
        <v>1630.24</v>
      </c>
    </row>
    <row r="933" spans="1:8">
      <c r="B933" s="450" t="s">
        <v>80</v>
      </c>
      <c r="C933" s="451" t="s">
        <v>81</v>
      </c>
      <c r="D933" s="560" t="s">
        <v>44</v>
      </c>
      <c r="E933" s="560" t="s">
        <v>45</v>
      </c>
      <c r="F933" s="561" t="s">
        <v>76</v>
      </c>
      <c r="G933" s="561" t="s">
        <v>59</v>
      </c>
      <c r="H933" s="561" t="s">
        <v>52</v>
      </c>
    </row>
    <row r="934" spans="1:8">
      <c r="B934" s="869" t="s">
        <v>77</v>
      </c>
      <c r="C934" s="562" t="s">
        <v>69</v>
      </c>
      <c r="D934" s="566">
        <v>2.67</v>
      </c>
      <c r="E934" s="451" t="s">
        <v>46</v>
      </c>
      <c r="F934" s="457">
        <f>F924</f>
        <v>1200</v>
      </c>
      <c r="G934" s="457">
        <f>TRUNC(D934*F934,2)</f>
        <v>3204</v>
      </c>
      <c r="H934" s="564"/>
    </row>
    <row r="935" spans="1:8" ht="12.75" customHeight="1">
      <c r="B935" s="870"/>
      <c r="C935" s="565" t="s">
        <v>43</v>
      </c>
      <c r="D935" s="566">
        <v>4</v>
      </c>
      <c r="E935" s="451" t="s">
        <v>46</v>
      </c>
      <c r="F935" s="457">
        <f>F925</f>
        <v>870</v>
      </c>
      <c r="G935" s="457">
        <f>TRUNC(D935*F935,2)</f>
        <v>3480</v>
      </c>
      <c r="H935" s="564"/>
    </row>
    <row r="936" spans="1:8">
      <c r="B936" s="864" t="s">
        <v>63</v>
      </c>
      <c r="C936" s="484" t="s">
        <v>1473</v>
      </c>
      <c r="D936" s="566">
        <v>7.0000000000000007E-2</v>
      </c>
      <c r="E936" s="456" t="s">
        <v>68</v>
      </c>
      <c r="F936" s="457">
        <f>F926</f>
        <v>102100.32</v>
      </c>
      <c r="G936" s="457">
        <f>TRUNC(D936*F936,2)</f>
        <v>7147.02</v>
      </c>
      <c r="H936" s="564"/>
    </row>
    <row r="937" spans="1:8">
      <c r="B937" s="865"/>
      <c r="C937" s="565" t="s">
        <v>151</v>
      </c>
      <c r="D937" s="566">
        <v>2.5</v>
      </c>
      <c r="E937" s="451" t="s">
        <v>74</v>
      </c>
      <c r="F937" s="457">
        <f>F927</f>
        <v>138</v>
      </c>
      <c r="G937" s="457">
        <f>TRUNC(D937*F937,2)</f>
        <v>345</v>
      </c>
      <c r="H937" s="564"/>
    </row>
    <row r="938" spans="1:8">
      <c r="B938" s="879" t="s">
        <v>125</v>
      </c>
      <c r="C938" s="880"/>
      <c r="D938" s="858" t="s">
        <v>78</v>
      </c>
      <c r="E938" s="859"/>
      <c r="F938" s="860"/>
      <c r="G938" s="457">
        <f>SUM(G934:G937)</f>
        <v>14176.02</v>
      </c>
      <c r="H938" s="457"/>
    </row>
    <row r="939" spans="1:8">
      <c r="B939" s="881"/>
      <c r="C939" s="882"/>
      <c r="D939" s="861" t="s">
        <v>79</v>
      </c>
      <c r="E939" s="862"/>
      <c r="F939" s="863"/>
      <c r="G939" s="457">
        <f>INT(15%*G938*100)/100</f>
        <v>2126.4</v>
      </c>
      <c r="H939" s="457"/>
    </row>
    <row r="940" spans="1:8">
      <c r="B940" s="883"/>
      <c r="C940" s="884"/>
      <c r="D940" s="858" t="s">
        <v>47</v>
      </c>
      <c r="E940" s="859"/>
      <c r="F940" s="860"/>
      <c r="G940" s="457">
        <f>SUM(G938:G939)</f>
        <v>16302.42</v>
      </c>
      <c r="H940" s="457"/>
    </row>
    <row r="941" spans="1:8">
      <c r="B941" s="494"/>
      <c r="C941" s="494"/>
      <c r="D941" s="476"/>
      <c r="E941" s="476"/>
      <c r="F941" s="476"/>
      <c r="G941" s="477"/>
      <c r="H941" s="477"/>
    </row>
    <row r="942" spans="1:8" s="158" customFormat="1" ht="25.5" customHeight="1">
      <c r="A942" s="543">
        <v>5.05</v>
      </c>
      <c r="B942" s="567" t="s">
        <v>338</v>
      </c>
      <c r="C942" s="967" t="s">
        <v>1056</v>
      </c>
      <c r="D942" s="968"/>
      <c r="E942" s="968"/>
      <c r="F942" s="568" t="s">
        <v>50</v>
      </c>
      <c r="G942" s="569">
        <f>INT(G950/10*100)/100</f>
        <v>1433.8</v>
      </c>
      <c r="H942" s="569">
        <f>INT(G952/10*100)/100</f>
        <v>1648.87</v>
      </c>
    </row>
    <row r="943" spans="1:8" s="158" customFormat="1">
      <c r="B943" s="547" t="s">
        <v>80</v>
      </c>
      <c r="C943" s="240" t="s">
        <v>81</v>
      </c>
      <c r="D943" s="240" t="s">
        <v>44</v>
      </c>
      <c r="E943" s="240" t="s">
        <v>45</v>
      </c>
      <c r="F943" s="548" t="s">
        <v>58</v>
      </c>
      <c r="G943" s="548" t="s">
        <v>59</v>
      </c>
      <c r="H943" s="548" t="s">
        <v>52</v>
      </c>
    </row>
    <row r="944" spans="1:8" s="158" customFormat="1">
      <c r="B944" s="932" t="s">
        <v>60</v>
      </c>
      <c r="C944" s="549" t="s">
        <v>69</v>
      </c>
      <c r="D944" s="550">
        <v>2.67</v>
      </c>
      <c r="E944" s="240" t="s">
        <v>46</v>
      </c>
      <c r="F944" s="551">
        <f>F934</f>
        <v>1200</v>
      </c>
      <c r="G944" s="551">
        <f t="shared" ref="G944:G949" si="67">TRUNC(D944*F944,2)</f>
        <v>3204</v>
      </c>
      <c r="H944" s="570"/>
    </row>
    <row r="945" spans="1:8" s="158" customFormat="1">
      <c r="B945" s="933"/>
      <c r="C945" s="552" t="s">
        <v>43</v>
      </c>
      <c r="D945" s="550">
        <v>4</v>
      </c>
      <c r="E945" s="240" t="s">
        <v>46</v>
      </c>
      <c r="F945" s="551">
        <f>F935</f>
        <v>870</v>
      </c>
      <c r="G945" s="551">
        <f t="shared" si="67"/>
        <v>3480</v>
      </c>
      <c r="H945" s="571"/>
    </row>
    <row r="946" spans="1:8" s="158" customFormat="1" ht="12.75" customHeight="1">
      <c r="B946" s="932" t="s">
        <v>63</v>
      </c>
      <c r="C946" s="552" t="s">
        <v>28</v>
      </c>
      <c r="D946" s="550">
        <v>1.65</v>
      </c>
      <c r="E946" s="241" t="s">
        <v>50</v>
      </c>
      <c r="F946" s="551">
        <f>'Basic Rate'!F152</f>
        <v>1396</v>
      </c>
      <c r="G946" s="551">
        <f t="shared" si="67"/>
        <v>2303.4</v>
      </c>
      <c r="H946" s="571"/>
    </row>
    <row r="947" spans="1:8" s="158" customFormat="1" ht="12.75" customHeight="1">
      <c r="B947" s="959"/>
      <c r="C947" s="552" t="s">
        <v>1474</v>
      </c>
      <c r="D947" s="550">
        <v>0.04</v>
      </c>
      <c r="E947" s="241" t="s">
        <v>68</v>
      </c>
      <c r="F947" s="551">
        <f>F936</f>
        <v>102100.32</v>
      </c>
      <c r="G947" s="551">
        <f t="shared" si="67"/>
        <v>4084.01</v>
      </c>
      <c r="H947" s="572"/>
    </row>
    <row r="948" spans="1:8" s="158" customFormat="1" ht="12.75" customHeight="1">
      <c r="B948" s="959"/>
      <c r="C948" s="552" t="s">
        <v>200</v>
      </c>
      <c r="D948" s="550">
        <f>0.4</f>
        <v>0.4</v>
      </c>
      <c r="E948" s="241" t="s">
        <v>46</v>
      </c>
      <c r="F948" s="551">
        <f>F916</f>
        <v>2304</v>
      </c>
      <c r="G948" s="551">
        <f t="shared" si="67"/>
        <v>921.6</v>
      </c>
      <c r="H948" s="573"/>
    </row>
    <row r="949" spans="1:8" s="158" customFormat="1">
      <c r="B949" s="933"/>
      <c r="C949" s="552" t="s">
        <v>151</v>
      </c>
      <c r="D949" s="550">
        <v>2.5</v>
      </c>
      <c r="E949" s="240" t="s">
        <v>74</v>
      </c>
      <c r="F949" s="551">
        <f>F937</f>
        <v>138</v>
      </c>
      <c r="G949" s="551">
        <f t="shared" si="67"/>
        <v>345</v>
      </c>
      <c r="H949" s="574"/>
    </row>
    <row r="950" spans="1:8" s="158" customFormat="1">
      <c r="B950" s="961" t="s">
        <v>125</v>
      </c>
      <c r="C950" s="962"/>
      <c r="D950" s="936" t="s">
        <v>61</v>
      </c>
      <c r="E950" s="937"/>
      <c r="F950" s="938"/>
      <c r="G950" s="551">
        <f>SUM(G944:G949)</f>
        <v>14338.01</v>
      </c>
      <c r="H950" s="551"/>
    </row>
    <row r="951" spans="1:8" s="158" customFormat="1">
      <c r="B951" s="963"/>
      <c r="C951" s="964"/>
      <c r="D951" s="969" t="s">
        <v>573</v>
      </c>
      <c r="E951" s="970"/>
      <c r="F951" s="971"/>
      <c r="G951" s="551">
        <f>INT(15%*G950*100)/100</f>
        <v>2150.6999999999998</v>
      </c>
      <c r="H951" s="551"/>
    </row>
    <row r="952" spans="1:8" s="158" customFormat="1">
      <c r="B952" s="965"/>
      <c r="C952" s="966"/>
      <c r="D952" s="936" t="s">
        <v>47</v>
      </c>
      <c r="E952" s="937"/>
      <c r="F952" s="938"/>
      <c r="G952" s="558">
        <f>SUM(G950:G951)</f>
        <v>16488.71</v>
      </c>
      <c r="H952" s="551"/>
    </row>
    <row r="953" spans="1:8">
      <c r="B953" s="494"/>
      <c r="C953" s="494"/>
      <c r="D953" s="476"/>
      <c r="E953" s="476"/>
      <c r="F953" s="476"/>
      <c r="G953" s="476"/>
      <c r="H953" s="477"/>
    </row>
    <row r="954" spans="1:8" ht="30.75" customHeight="1">
      <c r="A954" s="445">
        <v>5.0599999999999996</v>
      </c>
      <c r="B954" s="446" t="s">
        <v>339</v>
      </c>
      <c r="C954" s="888" t="s">
        <v>240</v>
      </c>
      <c r="D954" s="889"/>
      <c r="E954" s="890"/>
      <c r="F954" s="447" t="s">
        <v>50</v>
      </c>
      <c r="G954" s="448">
        <f>INT(G962/100*100)/100</f>
        <v>1033.07</v>
      </c>
      <c r="H954" s="448">
        <f>INT(G964/100*100)/100</f>
        <v>1188.04</v>
      </c>
    </row>
    <row r="955" spans="1:8">
      <c r="B955" s="450" t="s">
        <v>80</v>
      </c>
      <c r="C955" s="451" t="s">
        <v>81</v>
      </c>
      <c r="D955" s="560" t="s">
        <v>44</v>
      </c>
      <c r="E955" s="560" t="s">
        <v>45</v>
      </c>
      <c r="F955" s="561" t="s">
        <v>76</v>
      </c>
      <c r="G955" s="561" t="s">
        <v>59</v>
      </c>
      <c r="H955" s="561" t="s">
        <v>52</v>
      </c>
    </row>
    <row r="956" spans="1:8">
      <c r="B956" s="869" t="s">
        <v>77</v>
      </c>
      <c r="C956" s="562" t="s">
        <v>69</v>
      </c>
      <c r="D956" s="563">
        <v>17.2</v>
      </c>
      <c r="E956" s="451" t="s">
        <v>46</v>
      </c>
      <c r="F956" s="457">
        <f>F944</f>
        <v>1200</v>
      </c>
      <c r="G956" s="457">
        <f t="shared" ref="G956:G961" si="68">TRUNC(D956*F956,2)</f>
        <v>20640</v>
      </c>
      <c r="H956" s="564"/>
    </row>
    <row r="957" spans="1:8" ht="12.75" customHeight="1">
      <c r="B957" s="870"/>
      <c r="C957" s="565" t="s">
        <v>43</v>
      </c>
      <c r="D957" s="563">
        <v>25.7</v>
      </c>
      <c r="E957" s="451" t="s">
        <v>46</v>
      </c>
      <c r="F957" s="457">
        <f>F945</f>
        <v>870</v>
      </c>
      <c r="G957" s="457">
        <f t="shared" si="68"/>
        <v>22359</v>
      </c>
      <c r="H957" s="564"/>
    </row>
    <row r="958" spans="1:8">
      <c r="B958" s="864" t="s">
        <v>63</v>
      </c>
      <c r="C958" s="484" t="s">
        <v>28</v>
      </c>
      <c r="D958" s="488">
        <v>16.5</v>
      </c>
      <c r="E958" s="456" t="s">
        <v>50</v>
      </c>
      <c r="F958" s="457">
        <f>'Basic Rate'!F152</f>
        <v>1396</v>
      </c>
      <c r="G958" s="457">
        <f t="shared" si="68"/>
        <v>23034</v>
      </c>
      <c r="H958" s="564"/>
    </row>
    <row r="959" spans="1:8">
      <c r="B959" s="868"/>
      <c r="C959" s="484" t="s">
        <v>242</v>
      </c>
      <c r="D959" s="488">
        <v>0.23200000000000001</v>
      </c>
      <c r="E959" s="456" t="s">
        <v>68</v>
      </c>
      <c r="F959" s="457">
        <f>F947</f>
        <v>102100.32</v>
      </c>
      <c r="G959" s="457">
        <f t="shared" si="68"/>
        <v>23687.27</v>
      </c>
      <c r="H959" s="564"/>
    </row>
    <row r="960" spans="1:8">
      <c r="B960" s="868"/>
      <c r="C960" s="484" t="s">
        <v>200</v>
      </c>
      <c r="D960" s="488">
        <v>4.4000000000000004</v>
      </c>
      <c r="E960" s="456" t="s">
        <v>46</v>
      </c>
      <c r="F960" s="457">
        <f>F948</f>
        <v>2304</v>
      </c>
      <c r="G960" s="457">
        <f t="shared" si="68"/>
        <v>10137.6</v>
      </c>
      <c r="H960" s="516"/>
    </row>
    <row r="961" spans="1:8">
      <c r="B961" s="865"/>
      <c r="C961" s="484" t="s">
        <v>151</v>
      </c>
      <c r="D961" s="488">
        <v>25</v>
      </c>
      <c r="E961" s="451" t="s">
        <v>74</v>
      </c>
      <c r="F961" s="457">
        <f>F949</f>
        <v>138</v>
      </c>
      <c r="G961" s="457">
        <f t="shared" si="68"/>
        <v>3450</v>
      </c>
      <c r="H961" s="564"/>
    </row>
    <row r="962" spans="1:8">
      <c r="B962" s="879" t="s">
        <v>241</v>
      </c>
      <c r="C962" s="880"/>
      <c r="D962" s="858" t="s">
        <v>78</v>
      </c>
      <c r="E962" s="859"/>
      <c r="F962" s="860"/>
      <c r="G962" s="457">
        <f>SUM(G956:G961)</f>
        <v>103307.87000000001</v>
      </c>
      <c r="H962" s="457"/>
    </row>
    <row r="963" spans="1:8">
      <c r="B963" s="881"/>
      <c r="C963" s="882"/>
      <c r="D963" s="861" t="s">
        <v>79</v>
      </c>
      <c r="E963" s="862"/>
      <c r="F963" s="863"/>
      <c r="G963" s="457">
        <f>INT(15%*G962*100)/100</f>
        <v>15496.18</v>
      </c>
      <c r="H963" s="457"/>
    </row>
    <row r="964" spans="1:8">
      <c r="B964" s="883"/>
      <c r="C964" s="884"/>
      <c r="D964" s="858" t="s">
        <v>47</v>
      </c>
      <c r="E964" s="859"/>
      <c r="F964" s="860"/>
      <c r="G964" s="457">
        <f>SUM(G962:G963)</f>
        <v>118804.05000000002</v>
      </c>
      <c r="H964" s="457"/>
    </row>
    <row r="965" spans="1:8">
      <c r="B965" s="494"/>
      <c r="C965" s="494"/>
      <c r="D965" s="476"/>
      <c r="E965" s="476"/>
      <c r="F965" s="575"/>
      <c r="G965" s="477"/>
      <c r="H965" s="477"/>
    </row>
    <row r="966" spans="1:8" s="576" customFormat="1" ht="12.6">
      <c r="A966" s="923" t="s">
        <v>1475</v>
      </c>
      <c r="B966" s="924"/>
      <c r="C966" s="924"/>
      <c r="D966" s="924"/>
      <c r="E966" s="924"/>
      <c r="F966" s="924"/>
      <c r="G966" s="924"/>
      <c r="H966" s="924"/>
    </row>
    <row r="967" spans="1:8" s="576" customFormat="1">
      <c r="B967" s="577" t="s">
        <v>340</v>
      </c>
      <c r="C967" s="578"/>
      <c r="D967" s="579"/>
      <c r="F967" s="580"/>
      <c r="G967" s="580"/>
      <c r="H967" s="580"/>
    </row>
    <row r="968" spans="1:8" s="576" customFormat="1" ht="12.6">
      <c r="A968" s="924" t="s">
        <v>231</v>
      </c>
      <c r="B968" s="924"/>
      <c r="C968" s="924"/>
      <c r="D968" s="924"/>
      <c r="E968" s="924"/>
      <c r="F968" s="924"/>
      <c r="G968" s="924"/>
      <c r="H968" s="924"/>
    </row>
    <row r="969" spans="1:8" s="576" customFormat="1" ht="12.6">
      <c r="B969" s="581" t="s">
        <v>232</v>
      </c>
      <c r="C969" s="578"/>
      <c r="D969" s="579"/>
      <c r="F969" s="580"/>
      <c r="G969" s="580"/>
      <c r="H969" s="580"/>
    </row>
    <row r="970" spans="1:8" s="576" customFormat="1" ht="12.6">
      <c r="A970" s="924" t="s">
        <v>233</v>
      </c>
      <c r="B970" s="924"/>
      <c r="C970" s="924"/>
      <c r="D970" s="924"/>
      <c r="E970" s="924"/>
      <c r="F970" s="924"/>
      <c r="G970" s="924"/>
      <c r="H970" s="924"/>
    </row>
    <row r="971" spans="1:8" s="576" customFormat="1">
      <c r="B971" s="577" t="s">
        <v>234</v>
      </c>
      <c r="C971" s="578"/>
      <c r="D971" s="579"/>
      <c r="F971" s="580"/>
      <c r="G971" s="580"/>
      <c r="H971" s="580"/>
    </row>
    <row r="972" spans="1:8" s="576" customFormat="1" ht="12.6">
      <c r="A972" s="923" t="s">
        <v>1475</v>
      </c>
      <c r="B972" s="924"/>
      <c r="C972" s="924"/>
      <c r="D972" s="924"/>
      <c r="E972" s="924"/>
      <c r="F972" s="924"/>
      <c r="G972" s="924"/>
      <c r="H972" s="924"/>
    </row>
    <row r="973" spans="1:8" s="576" customFormat="1">
      <c r="B973" s="577" t="s">
        <v>235</v>
      </c>
      <c r="C973" s="578"/>
      <c r="D973" s="579"/>
      <c r="F973" s="580"/>
      <c r="G973" s="580"/>
      <c r="H973" s="580"/>
    </row>
    <row r="974" spans="1:8" s="576" customFormat="1" ht="12.6">
      <c r="A974" s="924" t="s">
        <v>231</v>
      </c>
      <c r="B974" s="924"/>
      <c r="C974" s="924"/>
      <c r="D974" s="924"/>
      <c r="E974" s="924"/>
      <c r="F974" s="924"/>
      <c r="G974" s="924"/>
      <c r="H974" s="924"/>
    </row>
    <row r="975" spans="1:8" s="576" customFormat="1">
      <c r="B975" s="577" t="s">
        <v>236</v>
      </c>
      <c r="C975" s="578"/>
      <c r="D975" s="579"/>
      <c r="F975" s="580"/>
      <c r="G975" s="580"/>
      <c r="H975" s="580"/>
    </row>
    <row r="976" spans="1:8" s="576" customFormat="1" ht="12.6">
      <c r="A976" s="924" t="s">
        <v>237</v>
      </c>
      <c r="B976" s="924"/>
      <c r="C976" s="924"/>
      <c r="D976" s="924"/>
      <c r="E976" s="924"/>
      <c r="F976" s="924"/>
      <c r="G976" s="924"/>
      <c r="H976" s="924"/>
    </row>
    <row r="977" spans="1:8" s="576" customFormat="1">
      <c r="B977" s="577" t="s">
        <v>238</v>
      </c>
      <c r="C977" s="578"/>
      <c r="D977" s="579"/>
      <c r="F977" s="580"/>
      <c r="G977" s="580"/>
      <c r="H977" s="580"/>
    </row>
    <row r="978" spans="1:8" s="576" customFormat="1" ht="12.6">
      <c r="A978" s="924" t="s">
        <v>342</v>
      </c>
      <c r="B978" s="924"/>
      <c r="C978" s="924"/>
      <c r="D978" s="924"/>
      <c r="E978" s="924"/>
      <c r="F978" s="924"/>
      <c r="G978" s="924"/>
      <c r="H978" s="924"/>
    </row>
    <row r="979" spans="1:8" s="576" customFormat="1">
      <c r="B979" s="577" t="s">
        <v>343</v>
      </c>
      <c r="C979" s="579"/>
      <c r="D979" s="579"/>
      <c r="F979" s="580"/>
      <c r="G979" s="580"/>
      <c r="H979" s="580"/>
    </row>
    <row r="980" spans="1:8" s="576" customFormat="1" ht="12.6">
      <c r="A980" s="924" t="s">
        <v>342</v>
      </c>
      <c r="B980" s="924"/>
      <c r="C980" s="924"/>
      <c r="D980" s="924"/>
      <c r="E980" s="924"/>
      <c r="F980" s="924"/>
      <c r="G980" s="924"/>
      <c r="H980" s="924"/>
    </row>
    <row r="981" spans="1:8" s="576" customFormat="1">
      <c r="B981" s="577" t="s">
        <v>341</v>
      </c>
      <c r="C981" s="578"/>
      <c r="D981" s="579"/>
      <c r="F981" s="580"/>
      <c r="G981" s="580"/>
      <c r="H981" s="580"/>
    </row>
    <row r="982" spans="1:8">
      <c r="B982" s="459"/>
      <c r="C982" s="582"/>
      <c r="E982" s="443"/>
    </row>
    <row r="983" spans="1:8" ht="30.75" customHeight="1">
      <c r="A983" s="445" t="s">
        <v>757</v>
      </c>
      <c r="B983" s="446" t="s">
        <v>339</v>
      </c>
      <c r="C983" s="876" t="s">
        <v>623</v>
      </c>
      <c r="D983" s="877"/>
      <c r="E983" s="877"/>
      <c r="F983" s="447" t="s">
        <v>50</v>
      </c>
      <c r="G983" s="448">
        <f>INT(G991/100*100)/100</f>
        <v>948.14</v>
      </c>
      <c r="H983" s="448">
        <f>INT(G993/100*100)/100</f>
        <v>1090.3599999999999</v>
      </c>
    </row>
    <row r="984" spans="1:8">
      <c r="B984" s="450" t="s">
        <v>80</v>
      </c>
      <c r="C984" s="451" t="s">
        <v>81</v>
      </c>
      <c r="D984" s="560" t="s">
        <v>44</v>
      </c>
      <c r="E984" s="560" t="s">
        <v>45</v>
      </c>
      <c r="F984" s="561" t="s">
        <v>76</v>
      </c>
      <c r="G984" s="561" t="s">
        <v>59</v>
      </c>
      <c r="H984" s="561" t="s">
        <v>52</v>
      </c>
    </row>
    <row r="985" spans="1:8">
      <c r="B985" s="869" t="s">
        <v>77</v>
      </c>
      <c r="C985" s="562" t="s">
        <v>69</v>
      </c>
      <c r="D985" s="563">
        <f>D956</f>
        <v>17.2</v>
      </c>
      <c r="E985" s="451" t="s">
        <v>46</v>
      </c>
      <c r="F985" s="457">
        <f>F956</f>
        <v>1200</v>
      </c>
      <c r="G985" s="457">
        <f t="shared" ref="G985:G990" si="69">TRUNC(D985*F985,2)</f>
        <v>20640</v>
      </c>
      <c r="H985" s="564"/>
    </row>
    <row r="986" spans="1:8" ht="12.75" customHeight="1">
      <c r="B986" s="870"/>
      <c r="C986" s="565" t="s">
        <v>43</v>
      </c>
      <c r="D986" s="563">
        <f>D957</f>
        <v>25.7</v>
      </c>
      <c r="E986" s="451" t="s">
        <v>46</v>
      </c>
      <c r="F986" s="457">
        <f>F957</f>
        <v>870</v>
      </c>
      <c r="G986" s="457">
        <f t="shared" si="69"/>
        <v>22359</v>
      </c>
      <c r="H986" s="564"/>
    </row>
    <row r="987" spans="1:8">
      <c r="B987" s="864" t="s">
        <v>63</v>
      </c>
      <c r="C987" s="484" t="s">
        <v>28</v>
      </c>
      <c r="D987" s="488">
        <v>16.5</v>
      </c>
      <c r="E987" s="456" t="s">
        <v>50</v>
      </c>
      <c r="F987" s="457">
        <f>'Basic Rate'!F152</f>
        <v>1396</v>
      </c>
      <c r="G987" s="457">
        <f t="shared" si="69"/>
        <v>23034</v>
      </c>
      <c r="H987" s="564"/>
    </row>
    <row r="988" spans="1:8">
      <c r="B988" s="868"/>
      <c r="C988" s="484" t="s">
        <v>242</v>
      </c>
      <c r="D988" s="488">
        <v>0.23200000000000001</v>
      </c>
      <c r="E988" s="456" t="s">
        <v>68</v>
      </c>
      <c r="F988" s="457">
        <f>F959</f>
        <v>102100.32</v>
      </c>
      <c r="G988" s="457">
        <f t="shared" si="69"/>
        <v>23687.27</v>
      </c>
      <c r="H988" s="564"/>
    </row>
    <row r="989" spans="1:8">
      <c r="B989" s="868"/>
      <c r="C989" s="484" t="s">
        <v>249</v>
      </c>
      <c r="D989" s="488">
        <v>6.25</v>
      </c>
      <c r="E989" s="456" t="s">
        <v>46</v>
      </c>
      <c r="F989" s="457">
        <f>'Basic Rate'!F24</f>
        <v>263</v>
      </c>
      <c r="G989" s="457">
        <f t="shared" si="69"/>
        <v>1643.75</v>
      </c>
      <c r="H989" s="451"/>
    </row>
    <row r="990" spans="1:8">
      <c r="B990" s="865"/>
      <c r="C990" s="484" t="s">
        <v>151</v>
      </c>
      <c r="D990" s="488">
        <v>25</v>
      </c>
      <c r="E990" s="451" t="s">
        <v>74</v>
      </c>
      <c r="F990" s="457">
        <f>F961</f>
        <v>138</v>
      </c>
      <c r="G990" s="457">
        <f t="shared" si="69"/>
        <v>3450</v>
      </c>
      <c r="H990" s="564"/>
    </row>
    <row r="991" spans="1:8">
      <c r="B991" s="879" t="s">
        <v>241</v>
      </c>
      <c r="C991" s="880"/>
      <c r="D991" s="858" t="s">
        <v>78</v>
      </c>
      <c r="E991" s="859"/>
      <c r="F991" s="860"/>
      <c r="G991" s="457">
        <f>SUM(G985:G990)</f>
        <v>94814.02</v>
      </c>
      <c r="H991" s="457"/>
    </row>
    <row r="992" spans="1:8">
      <c r="B992" s="881"/>
      <c r="C992" s="882"/>
      <c r="D992" s="861" t="s">
        <v>79</v>
      </c>
      <c r="E992" s="862"/>
      <c r="F992" s="863"/>
      <c r="G992" s="457">
        <f>INT(15%*G991*100)/100</f>
        <v>14222.1</v>
      </c>
      <c r="H992" s="457"/>
    </row>
    <row r="993" spans="1:8">
      <c r="B993" s="883"/>
      <c r="C993" s="884"/>
      <c r="D993" s="858" t="s">
        <v>47</v>
      </c>
      <c r="E993" s="859"/>
      <c r="F993" s="860"/>
      <c r="G993" s="457">
        <f>SUM(G991:G992)</f>
        <v>109036.12000000001</v>
      </c>
      <c r="H993" s="457"/>
    </row>
    <row r="994" spans="1:8">
      <c r="B994" s="494"/>
      <c r="C994" s="494"/>
      <c r="D994" s="476"/>
      <c r="E994" s="476"/>
      <c r="F994" s="575"/>
      <c r="G994" s="477"/>
      <c r="H994" s="477"/>
    </row>
    <row r="995" spans="1:8">
      <c r="A995" s="923" t="s">
        <v>1475</v>
      </c>
      <c r="B995" s="923"/>
      <c r="C995" s="923"/>
      <c r="D995" s="923"/>
      <c r="E995" s="923"/>
      <c r="F995" s="923"/>
      <c r="G995" s="923"/>
      <c r="H995" s="923"/>
    </row>
    <row r="996" spans="1:8">
      <c r="B996" s="577" t="s">
        <v>340</v>
      </c>
      <c r="C996" s="582"/>
      <c r="E996" s="443"/>
    </row>
    <row r="997" spans="1:8">
      <c r="A997" s="923" t="s">
        <v>231</v>
      </c>
      <c r="B997" s="923"/>
      <c r="C997" s="923"/>
      <c r="D997" s="923"/>
      <c r="E997" s="923"/>
      <c r="F997" s="923"/>
      <c r="G997" s="923"/>
      <c r="H997" s="923"/>
    </row>
    <row r="998" spans="1:8">
      <c r="B998" s="577" t="s">
        <v>232</v>
      </c>
      <c r="C998" s="582"/>
      <c r="E998" s="443"/>
    </row>
    <row r="999" spans="1:8">
      <c r="A999" s="923" t="s">
        <v>624</v>
      </c>
      <c r="B999" s="923"/>
      <c r="C999" s="923"/>
      <c r="D999" s="923"/>
      <c r="E999" s="923"/>
      <c r="F999" s="923"/>
      <c r="G999" s="923"/>
      <c r="H999" s="923"/>
    </row>
    <row r="1000" spans="1:8">
      <c r="B1000" s="443" t="s">
        <v>625</v>
      </c>
      <c r="C1000" s="582"/>
      <c r="E1000" s="443"/>
    </row>
    <row r="1001" spans="1:8" ht="27.6">
      <c r="A1001" s="507">
        <v>5.07</v>
      </c>
      <c r="B1001" s="446" t="s">
        <v>346</v>
      </c>
      <c r="C1001" s="888" t="s">
        <v>29</v>
      </c>
      <c r="D1001" s="889"/>
      <c r="E1001" s="890"/>
      <c r="F1001" s="447" t="s">
        <v>50</v>
      </c>
      <c r="G1001" s="448">
        <f>TRUNC(G1007/100,2)</f>
        <v>371.45</v>
      </c>
      <c r="H1001" s="448">
        <f>TRUNC(G1009/100,2)</f>
        <v>427.17</v>
      </c>
    </row>
    <row r="1002" spans="1:8">
      <c r="B1002" s="450" t="s">
        <v>80</v>
      </c>
      <c r="C1002" s="451" t="s">
        <v>81</v>
      </c>
      <c r="D1002" s="560" t="s">
        <v>44</v>
      </c>
      <c r="E1002" s="560" t="s">
        <v>45</v>
      </c>
      <c r="F1002" s="561" t="s">
        <v>76</v>
      </c>
      <c r="G1002" s="561" t="s">
        <v>59</v>
      </c>
      <c r="H1002" s="561" t="s">
        <v>52</v>
      </c>
    </row>
    <row r="1003" spans="1:8">
      <c r="B1003" s="869" t="s">
        <v>77</v>
      </c>
      <c r="C1003" s="562" t="s">
        <v>69</v>
      </c>
      <c r="D1003" s="563">
        <v>0.25</v>
      </c>
      <c r="E1003" s="451" t="s">
        <v>46</v>
      </c>
      <c r="F1003" s="457">
        <f>F985</f>
        <v>1200</v>
      </c>
      <c r="G1003" s="457">
        <f>TRUNC(D1003*F1003,2)</f>
        <v>300</v>
      </c>
      <c r="H1003" s="564"/>
    </row>
    <row r="1004" spans="1:8" ht="12.75" customHeight="1">
      <c r="B1004" s="870"/>
      <c r="C1004" s="565" t="s">
        <v>43</v>
      </c>
      <c r="D1004" s="563">
        <v>0.25</v>
      </c>
      <c r="E1004" s="451" t="s">
        <v>46</v>
      </c>
      <c r="F1004" s="457">
        <f>F986</f>
        <v>870</v>
      </c>
      <c r="G1004" s="457">
        <f>TRUNC(D1004*F1004,2)</f>
        <v>217.5</v>
      </c>
      <c r="H1004" s="564"/>
    </row>
    <row r="1005" spans="1:8">
      <c r="B1005" s="868" t="s">
        <v>63</v>
      </c>
      <c r="C1005" s="484" t="s">
        <v>242</v>
      </c>
      <c r="D1005" s="563">
        <v>0.105</v>
      </c>
      <c r="E1005" s="456" t="s">
        <v>68</v>
      </c>
      <c r="F1005" s="457">
        <f>F988</f>
        <v>102100.32</v>
      </c>
      <c r="G1005" s="457">
        <f>TRUNC(D1005*F1005,2)</f>
        <v>10720.53</v>
      </c>
      <c r="H1005" s="564"/>
    </row>
    <row r="1006" spans="1:8">
      <c r="B1006" s="868"/>
      <c r="C1006" s="484" t="s">
        <v>242</v>
      </c>
      <c r="D1006" s="583">
        <v>0.25374999999999998</v>
      </c>
      <c r="E1006" s="456" t="s">
        <v>68</v>
      </c>
      <c r="F1006" s="457">
        <f>F1005</f>
        <v>102100.32</v>
      </c>
      <c r="G1006" s="457">
        <f>TRUNC(D1006*F1006,2)</f>
        <v>25907.95</v>
      </c>
      <c r="H1006" s="564"/>
    </row>
    <row r="1007" spans="1:8">
      <c r="B1007" s="879" t="s">
        <v>241</v>
      </c>
      <c r="C1007" s="880"/>
      <c r="D1007" s="858" t="s">
        <v>78</v>
      </c>
      <c r="E1007" s="859"/>
      <c r="F1007" s="860"/>
      <c r="G1007" s="457">
        <f>SUM(G1003:G1006)</f>
        <v>37145.980000000003</v>
      </c>
      <c r="H1007" s="457"/>
    </row>
    <row r="1008" spans="1:8">
      <c r="B1008" s="881"/>
      <c r="C1008" s="882"/>
      <c r="D1008" s="861" t="s">
        <v>79</v>
      </c>
      <c r="E1008" s="862"/>
      <c r="F1008" s="863"/>
      <c r="G1008" s="457">
        <f>INT(15%*G1007*100)/100</f>
        <v>5571.89</v>
      </c>
      <c r="H1008" s="457"/>
    </row>
    <row r="1009" spans="1:8">
      <c r="B1009" s="883"/>
      <c r="C1009" s="884"/>
      <c r="D1009" s="858" t="s">
        <v>47</v>
      </c>
      <c r="E1009" s="859"/>
      <c r="F1009" s="860"/>
      <c r="G1009" s="457">
        <f>SUM(G1007:G1008)</f>
        <v>42717.87</v>
      </c>
      <c r="H1009" s="457"/>
    </row>
    <row r="1010" spans="1:8">
      <c r="B1010" s="463"/>
      <c r="C1010" s="463"/>
      <c r="D1010" s="464"/>
      <c r="E1010" s="464"/>
      <c r="F1010" s="467"/>
      <c r="G1010" s="466"/>
      <c r="H1010" s="466"/>
    </row>
    <row r="1011" spans="1:8" ht="27.6">
      <c r="A1011" s="445">
        <v>5.08</v>
      </c>
      <c r="B1011" s="446" t="s">
        <v>345</v>
      </c>
      <c r="C1011" s="888" t="s">
        <v>30</v>
      </c>
      <c r="D1011" s="889"/>
      <c r="E1011" s="890"/>
      <c r="F1011" s="447" t="s">
        <v>50</v>
      </c>
      <c r="G1011" s="448">
        <f>TRUNC(G1017/100,2)</f>
        <v>380.98</v>
      </c>
      <c r="H1011" s="448">
        <f>TRUNC(G1019/100,2)</f>
        <v>438.13</v>
      </c>
    </row>
    <row r="1012" spans="1:8">
      <c r="B1012" s="450" t="s">
        <v>80</v>
      </c>
      <c r="C1012" s="451" t="s">
        <v>81</v>
      </c>
      <c r="D1012" s="560" t="s">
        <v>44</v>
      </c>
      <c r="E1012" s="560" t="s">
        <v>45</v>
      </c>
      <c r="F1012" s="561" t="s">
        <v>76</v>
      </c>
      <c r="G1012" s="561" t="s">
        <v>59</v>
      </c>
      <c r="H1012" s="561" t="s">
        <v>52</v>
      </c>
    </row>
    <row r="1013" spans="1:8">
      <c r="B1013" s="869" t="s">
        <v>77</v>
      </c>
      <c r="C1013" s="562" t="s">
        <v>69</v>
      </c>
      <c r="D1013" s="563">
        <v>0.5</v>
      </c>
      <c r="E1013" s="451" t="s">
        <v>46</v>
      </c>
      <c r="F1013" s="457">
        <f>F1003</f>
        <v>1200</v>
      </c>
      <c r="G1013" s="457">
        <f>TRUNC(D1013*F1013,2)</f>
        <v>600</v>
      </c>
      <c r="H1013" s="564"/>
    </row>
    <row r="1014" spans="1:8" ht="12.75" customHeight="1">
      <c r="B1014" s="870"/>
      <c r="C1014" s="565" t="s">
        <v>43</v>
      </c>
      <c r="D1014" s="563">
        <v>1</v>
      </c>
      <c r="E1014" s="451" t="s">
        <v>46</v>
      </c>
      <c r="F1014" s="457">
        <f>F1004</f>
        <v>870</v>
      </c>
      <c r="G1014" s="457">
        <f>TRUNC(D1014*F1014,2)</f>
        <v>870</v>
      </c>
      <c r="H1014" s="564"/>
    </row>
    <row r="1015" spans="1:8">
      <c r="B1015" s="868" t="s">
        <v>63</v>
      </c>
      <c r="C1015" s="484" t="s">
        <v>242</v>
      </c>
      <c r="D1015" s="563">
        <v>0.105</v>
      </c>
      <c r="E1015" s="456" t="s">
        <v>68</v>
      </c>
      <c r="F1015" s="457">
        <f>F1005</f>
        <v>102100.32</v>
      </c>
      <c r="G1015" s="457">
        <f>TRUNC(D1015*F1015,2)</f>
        <v>10720.53</v>
      </c>
      <c r="H1015" s="564" t="s">
        <v>243</v>
      </c>
    </row>
    <row r="1016" spans="1:8">
      <c r="B1016" s="868"/>
      <c r="C1016" s="484" t="s">
        <v>242</v>
      </c>
      <c r="D1016" s="583">
        <v>0.25374999999999998</v>
      </c>
      <c r="E1016" s="456" t="s">
        <v>68</v>
      </c>
      <c r="F1016" s="457">
        <f>F1006</f>
        <v>102100.32</v>
      </c>
      <c r="G1016" s="457">
        <f>TRUNC(D1016*F1016,2)</f>
        <v>25907.95</v>
      </c>
      <c r="H1016" s="564"/>
    </row>
    <row r="1017" spans="1:8">
      <c r="B1017" s="879" t="s">
        <v>241</v>
      </c>
      <c r="C1017" s="880"/>
      <c r="D1017" s="858" t="s">
        <v>78</v>
      </c>
      <c r="E1017" s="859"/>
      <c r="F1017" s="860"/>
      <c r="G1017" s="457">
        <f>SUM(G1013:G1016)</f>
        <v>38098.480000000003</v>
      </c>
      <c r="H1017" s="457"/>
    </row>
    <row r="1018" spans="1:8">
      <c r="B1018" s="881"/>
      <c r="C1018" s="882"/>
      <c r="D1018" s="861" t="s">
        <v>79</v>
      </c>
      <c r="E1018" s="862"/>
      <c r="F1018" s="863"/>
      <c r="G1018" s="457">
        <f>INT(15%*G1017*100)/100</f>
        <v>5714.77</v>
      </c>
      <c r="H1018" s="457"/>
    </row>
    <row r="1019" spans="1:8">
      <c r="B1019" s="883"/>
      <c r="C1019" s="884"/>
      <c r="D1019" s="858" t="s">
        <v>47</v>
      </c>
      <c r="E1019" s="859"/>
      <c r="F1019" s="860"/>
      <c r="G1019" s="457">
        <f>SUM(G1017:G1018)</f>
        <v>43813.25</v>
      </c>
      <c r="H1019" s="457"/>
    </row>
    <row r="1020" spans="1:8">
      <c r="B1020" s="458"/>
      <c r="C1020" s="458"/>
      <c r="F1020" s="509"/>
      <c r="G1020" s="460"/>
      <c r="H1020" s="460"/>
    </row>
    <row r="1021" spans="1:8" ht="27.6">
      <c r="A1021" s="445">
        <v>5.09</v>
      </c>
      <c r="B1021" s="446" t="s">
        <v>344</v>
      </c>
      <c r="C1021" s="888" t="s">
        <v>31</v>
      </c>
      <c r="D1021" s="889"/>
      <c r="E1021" s="890"/>
      <c r="F1021" s="447" t="s">
        <v>50</v>
      </c>
      <c r="G1021" s="448">
        <f>TRUNC(G1027/100,2)</f>
        <v>393.5</v>
      </c>
      <c r="H1021" s="448">
        <f>TRUNC(G1029/100,2)</f>
        <v>452.53</v>
      </c>
    </row>
    <row r="1022" spans="1:8">
      <c r="B1022" s="450" t="s">
        <v>80</v>
      </c>
      <c r="C1022" s="451" t="s">
        <v>81</v>
      </c>
      <c r="D1022" s="560" t="s">
        <v>44</v>
      </c>
      <c r="E1022" s="560" t="s">
        <v>45</v>
      </c>
      <c r="F1022" s="561" t="s">
        <v>76</v>
      </c>
      <c r="G1022" s="561" t="s">
        <v>59</v>
      </c>
      <c r="H1022" s="561" t="s">
        <v>52</v>
      </c>
    </row>
    <row r="1023" spans="1:8">
      <c r="B1023" s="869" t="s">
        <v>77</v>
      </c>
      <c r="C1023" s="562" t="s">
        <v>69</v>
      </c>
      <c r="D1023" s="563">
        <v>1</v>
      </c>
      <c r="E1023" s="451" t="s">
        <v>46</v>
      </c>
      <c r="F1023" s="457">
        <f>F1013</f>
        <v>1200</v>
      </c>
      <c r="G1023" s="457">
        <f>TRUNC(D1023*F1023,2)</f>
        <v>1200</v>
      </c>
      <c r="H1023" s="564"/>
    </row>
    <row r="1024" spans="1:8" ht="12.75" customHeight="1">
      <c r="B1024" s="870"/>
      <c r="C1024" s="565" t="s">
        <v>43</v>
      </c>
      <c r="D1024" s="563">
        <v>1.75</v>
      </c>
      <c r="E1024" s="451" t="s">
        <v>46</v>
      </c>
      <c r="F1024" s="457">
        <f>F1014</f>
        <v>870</v>
      </c>
      <c r="G1024" s="457">
        <f>TRUNC(D1024*F1024,2)</f>
        <v>1522.5</v>
      </c>
      <c r="H1024" s="564"/>
    </row>
    <row r="1025" spans="1:8">
      <c r="B1025" s="868" t="s">
        <v>63</v>
      </c>
      <c r="C1025" s="484" t="s">
        <v>242</v>
      </c>
      <c r="D1025" s="563">
        <v>0.105</v>
      </c>
      <c r="E1025" s="456" t="s">
        <v>68</v>
      </c>
      <c r="F1025" s="457">
        <f>F1015</f>
        <v>102100.32</v>
      </c>
      <c r="G1025" s="457">
        <f>TRUNC(D1025*F1025,2)</f>
        <v>10720.53</v>
      </c>
      <c r="H1025" s="564" t="s">
        <v>243</v>
      </c>
    </row>
    <row r="1026" spans="1:8">
      <c r="B1026" s="868"/>
      <c r="C1026" s="484" t="s">
        <v>242</v>
      </c>
      <c r="D1026" s="583">
        <v>0.25374999999999998</v>
      </c>
      <c r="E1026" s="456" t="s">
        <v>68</v>
      </c>
      <c r="F1026" s="457">
        <f>F1016</f>
        <v>102100.32</v>
      </c>
      <c r="G1026" s="457">
        <f>TRUNC(D1026*F1026,2)</f>
        <v>25907.95</v>
      </c>
      <c r="H1026" s="564"/>
    </row>
    <row r="1027" spans="1:8">
      <c r="B1027" s="879" t="s">
        <v>241</v>
      </c>
      <c r="C1027" s="880"/>
      <c r="D1027" s="858" t="s">
        <v>78</v>
      </c>
      <c r="E1027" s="859"/>
      <c r="F1027" s="860"/>
      <c r="G1027" s="457">
        <f>SUM(G1023:G1026)</f>
        <v>39350.980000000003</v>
      </c>
      <c r="H1027" s="457"/>
    </row>
    <row r="1028" spans="1:8">
      <c r="B1028" s="881"/>
      <c r="C1028" s="882"/>
      <c r="D1028" s="861" t="s">
        <v>79</v>
      </c>
      <c r="E1028" s="862"/>
      <c r="F1028" s="863"/>
      <c r="G1028" s="457">
        <f>INT(15%*G1027*100)/100</f>
        <v>5902.64</v>
      </c>
      <c r="H1028" s="457"/>
    </row>
    <row r="1029" spans="1:8">
      <c r="A1029" s="499"/>
      <c r="B1029" s="883"/>
      <c r="C1029" s="884"/>
      <c r="D1029" s="858" t="s">
        <v>47</v>
      </c>
      <c r="E1029" s="859"/>
      <c r="F1029" s="860"/>
      <c r="G1029" s="457">
        <f>SUM(G1027:G1028)</f>
        <v>45253.62</v>
      </c>
      <c r="H1029" s="457"/>
    </row>
    <row r="1030" spans="1:8" ht="12" customHeight="1">
      <c r="B1030" s="459"/>
      <c r="C1030" s="582"/>
      <c r="E1030" s="443"/>
    </row>
    <row r="1031" spans="1:8" s="576" customFormat="1" ht="12.6">
      <c r="A1031" s="576" t="s">
        <v>239</v>
      </c>
      <c r="B1031" s="579"/>
      <c r="C1031" s="578"/>
      <c r="D1031" s="579"/>
      <c r="F1031" s="580"/>
      <c r="G1031" s="580"/>
      <c r="H1031" s="580"/>
    </row>
    <row r="1032" spans="1:8" ht="14.25" customHeight="1">
      <c r="A1032" s="916" t="s">
        <v>433</v>
      </c>
      <c r="B1032" s="916"/>
      <c r="C1032" s="916"/>
      <c r="D1032" s="916"/>
      <c r="E1032" s="916"/>
      <c r="F1032" s="916"/>
      <c r="G1032" s="916"/>
      <c r="H1032" s="916"/>
    </row>
    <row r="1033" spans="1:8" ht="14.25" customHeight="1">
      <c r="A1033" s="444"/>
      <c r="B1033" s="444"/>
      <c r="C1033" s="444"/>
      <c r="D1033" s="444"/>
      <c r="E1033" s="444"/>
      <c r="F1033" s="444"/>
      <c r="G1033" s="444"/>
      <c r="H1033" s="444"/>
    </row>
    <row r="1034" spans="1:8" ht="27.75" customHeight="1">
      <c r="A1034" s="445">
        <v>6.01</v>
      </c>
      <c r="B1034" s="446" t="s">
        <v>347</v>
      </c>
      <c r="C1034" s="888" t="s">
        <v>1476</v>
      </c>
      <c r="D1034" s="889"/>
      <c r="E1034" s="890"/>
      <c r="F1034" s="447" t="s">
        <v>50</v>
      </c>
      <c r="G1034" s="448">
        <f>TRUNC(G1042/10,2)</f>
        <v>1235.3399999999999</v>
      </c>
      <c r="H1034" s="448">
        <f>TRUNC(G1044/10,2)</f>
        <v>1420.64</v>
      </c>
    </row>
    <row r="1035" spans="1:8" ht="12.75" customHeight="1">
      <c r="B1035" s="450" t="s">
        <v>80</v>
      </c>
      <c r="C1035" s="451" t="s">
        <v>81</v>
      </c>
      <c r="D1035" s="451" t="s">
        <v>44</v>
      </c>
      <c r="E1035" s="451" t="s">
        <v>45</v>
      </c>
      <c r="F1035" s="452" t="s">
        <v>58</v>
      </c>
      <c r="G1035" s="452" t="s">
        <v>59</v>
      </c>
      <c r="H1035" s="452" t="s">
        <v>52</v>
      </c>
    </row>
    <row r="1036" spans="1:8" ht="12.75" customHeight="1">
      <c r="B1036" s="887" t="s">
        <v>60</v>
      </c>
      <c r="C1036" s="484" t="s">
        <v>69</v>
      </c>
      <c r="D1036" s="488">
        <v>1.1000000000000001</v>
      </c>
      <c r="E1036" s="451" t="s">
        <v>46</v>
      </c>
      <c r="F1036" s="457">
        <f>F1023</f>
        <v>1200</v>
      </c>
      <c r="G1036" s="457">
        <f t="shared" ref="G1036:G1041" si="70">TRUNC(D1036*F1036,2)</f>
        <v>1320</v>
      </c>
      <c r="H1036" s="457"/>
    </row>
    <row r="1037" spans="1:8" ht="12.75" customHeight="1">
      <c r="B1037" s="887"/>
      <c r="C1037" s="484" t="s">
        <v>43</v>
      </c>
      <c r="D1037" s="488">
        <v>1.25</v>
      </c>
      <c r="E1037" s="451" t="s">
        <v>46</v>
      </c>
      <c r="F1037" s="457">
        <f>F1024</f>
        <v>870</v>
      </c>
      <c r="G1037" s="457">
        <f t="shared" si="70"/>
        <v>1087.5</v>
      </c>
      <c r="H1037" s="457"/>
    </row>
    <row r="1038" spans="1:8">
      <c r="B1038" s="887" t="s">
        <v>63</v>
      </c>
      <c r="C1038" s="484" t="s">
        <v>1477</v>
      </c>
      <c r="D1038" s="488">
        <v>12</v>
      </c>
      <c r="E1038" s="451" t="s">
        <v>50</v>
      </c>
      <c r="F1038" s="457">
        <f>'Basic Rate'!D43</f>
        <v>754.99462943071967</v>
      </c>
      <c r="G1038" s="457">
        <f t="shared" si="70"/>
        <v>9059.93</v>
      </c>
      <c r="H1038" s="457"/>
    </row>
    <row r="1039" spans="1:8" ht="12.75" customHeight="1">
      <c r="B1039" s="887"/>
      <c r="C1039" s="484" t="s">
        <v>82</v>
      </c>
      <c r="D1039" s="488">
        <v>30</v>
      </c>
      <c r="E1039" s="451" t="s">
        <v>46</v>
      </c>
      <c r="F1039" s="457">
        <f>'Basic Rate'!F143</f>
        <v>13.9</v>
      </c>
      <c r="G1039" s="457">
        <f t="shared" si="70"/>
        <v>417</v>
      </c>
      <c r="H1039" s="457"/>
    </row>
    <row r="1040" spans="1:8" ht="12.75" customHeight="1">
      <c r="B1040" s="887"/>
      <c r="C1040" s="484" t="s">
        <v>83</v>
      </c>
      <c r="D1040" s="488">
        <v>25</v>
      </c>
      <c r="E1040" s="451" t="s">
        <v>46</v>
      </c>
      <c r="F1040" s="457">
        <f>'Basic Rate'!F107</f>
        <v>17.375</v>
      </c>
      <c r="G1040" s="457">
        <f t="shared" si="70"/>
        <v>434.37</v>
      </c>
      <c r="H1040" s="457"/>
    </row>
    <row r="1041" spans="1:8" ht="12.75" customHeight="1">
      <c r="B1041" s="887"/>
      <c r="C1041" s="484" t="s">
        <v>728</v>
      </c>
      <c r="D1041" s="488">
        <v>55</v>
      </c>
      <c r="E1041" s="456" t="s">
        <v>46</v>
      </c>
      <c r="F1041" s="457">
        <f>'Basic Rate'!F31</f>
        <v>0.63</v>
      </c>
      <c r="G1041" s="457">
        <f t="shared" si="70"/>
        <v>34.65</v>
      </c>
      <c r="H1041" s="457"/>
    </row>
    <row r="1042" spans="1:8" ht="12.75" customHeight="1">
      <c r="B1042" s="855" t="s">
        <v>125</v>
      </c>
      <c r="C1042" s="855"/>
      <c r="D1042" s="856" t="s">
        <v>61</v>
      </c>
      <c r="E1042" s="856"/>
      <c r="F1042" s="856"/>
      <c r="G1042" s="457">
        <f>SUM(G1036:G1041)</f>
        <v>12353.45</v>
      </c>
      <c r="H1042" s="457"/>
    </row>
    <row r="1043" spans="1:8" ht="12.75" customHeight="1">
      <c r="B1043" s="855"/>
      <c r="C1043" s="855"/>
      <c r="D1043" s="857" t="s">
        <v>573</v>
      </c>
      <c r="E1043" s="857"/>
      <c r="F1043" s="857"/>
      <c r="G1043" s="457">
        <f>15%*G1042</f>
        <v>1853.0174999999999</v>
      </c>
      <c r="H1043" s="457"/>
    </row>
    <row r="1044" spans="1:8" ht="12.75" customHeight="1">
      <c r="B1044" s="855"/>
      <c r="C1044" s="855"/>
      <c r="D1044" s="856" t="s">
        <v>47</v>
      </c>
      <c r="E1044" s="856"/>
      <c r="F1044" s="856"/>
      <c r="G1044" s="457">
        <f>SUM(G1042:G1043)</f>
        <v>14206.467500000001</v>
      </c>
      <c r="H1044" s="457"/>
    </row>
    <row r="1045" spans="1:8" ht="12.75" customHeight="1">
      <c r="C1045" s="444"/>
      <c r="F1045" s="462"/>
      <c r="G1045" s="460"/>
      <c r="H1045" s="460"/>
    </row>
    <row r="1046" spans="1:8" ht="12.75" customHeight="1">
      <c r="C1046" s="444"/>
      <c r="F1046" s="462"/>
      <c r="G1046" s="460"/>
      <c r="H1046" s="460"/>
    </row>
    <row r="1047" spans="1:8" ht="26.25" customHeight="1">
      <c r="A1047" s="445">
        <v>6.02</v>
      </c>
      <c r="B1047" s="446" t="s">
        <v>347</v>
      </c>
      <c r="C1047" s="876" t="s">
        <v>1478</v>
      </c>
      <c r="D1047" s="877"/>
      <c r="E1047" s="877"/>
      <c r="F1047" s="447" t="s">
        <v>50</v>
      </c>
      <c r="G1047" s="448">
        <f>TRUNC(G1055/10,2)</f>
        <v>1168.7</v>
      </c>
      <c r="H1047" s="448">
        <f>TRUNC(G1057/10,2)</f>
        <v>1344.01</v>
      </c>
    </row>
    <row r="1048" spans="1:8" ht="12.75" customHeight="1">
      <c r="B1048" s="450" t="s">
        <v>80</v>
      </c>
      <c r="C1048" s="451" t="s">
        <v>81</v>
      </c>
      <c r="D1048" s="451" t="s">
        <v>44</v>
      </c>
      <c r="E1048" s="451" t="s">
        <v>45</v>
      </c>
      <c r="F1048" s="452" t="s">
        <v>58</v>
      </c>
      <c r="G1048" s="452" t="s">
        <v>59</v>
      </c>
      <c r="H1048" s="452" t="s">
        <v>52</v>
      </c>
    </row>
    <row r="1049" spans="1:8" ht="12.75" customHeight="1">
      <c r="B1049" s="864" t="s">
        <v>60</v>
      </c>
      <c r="C1049" s="484" t="s">
        <v>69</v>
      </c>
      <c r="D1049" s="488">
        <v>1.1000000000000001</v>
      </c>
      <c r="E1049" s="451" t="s">
        <v>46</v>
      </c>
      <c r="F1049" s="457">
        <f>F1036</f>
        <v>1200</v>
      </c>
      <c r="G1049" s="457">
        <f t="shared" ref="G1049:G1054" si="71">TRUNC(D1049*F1049,2)</f>
        <v>1320</v>
      </c>
      <c r="H1049" s="457"/>
    </row>
    <row r="1050" spans="1:8" ht="12.75" customHeight="1">
      <c r="B1050" s="865"/>
      <c r="C1050" s="484" t="s">
        <v>43</v>
      </c>
      <c r="D1050" s="488">
        <v>1.25</v>
      </c>
      <c r="E1050" s="451" t="s">
        <v>46</v>
      </c>
      <c r="F1050" s="457">
        <f>F1037</f>
        <v>870</v>
      </c>
      <c r="G1050" s="457">
        <f t="shared" si="71"/>
        <v>1087.5</v>
      </c>
      <c r="H1050" s="457"/>
    </row>
    <row r="1051" spans="1:8" ht="12.75" customHeight="1">
      <c r="B1051" s="864" t="s">
        <v>63</v>
      </c>
      <c r="C1051" s="484" t="s">
        <v>1479</v>
      </c>
      <c r="D1051" s="488">
        <v>12</v>
      </c>
      <c r="E1051" s="451" t="s">
        <v>50</v>
      </c>
      <c r="F1051" s="457">
        <f>'Basic Rate'!D51</f>
        <v>699.46294307196558</v>
      </c>
      <c r="G1051" s="457">
        <f t="shared" si="71"/>
        <v>8393.5499999999993</v>
      </c>
      <c r="H1051" s="457"/>
    </row>
    <row r="1052" spans="1:8" ht="12.75" customHeight="1">
      <c r="B1052" s="868"/>
      <c r="C1052" s="484" t="s">
        <v>82</v>
      </c>
      <c r="D1052" s="488">
        <v>30</v>
      </c>
      <c r="E1052" s="451" t="s">
        <v>46</v>
      </c>
      <c r="F1052" s="457">
        <f>F1039</f>
        <v>13.9</v>
      </c>
      <c r="G1052" s="457">
        <f t="shared" si="71"/>
        <v>417</v>
      </c>
      <c r="H1052" s="457"/>
    </row>
    <row r="1053" spans="1:8" ht="12.75" customHeight="1">
      <c r="B1053" s="868"/>
      <c r="C1053" s="484" t="s">
        <v>83</v>
      </c>
      <c r="D1053" s="488">
        <v>25</v>
      </c>
      <c r="E1053" s="451" t="s">
        <v>68</v>
      </c>
      <c r="F1053" s="457">
        <f>F1040</f>
        <v>17.375</v>
      </c>
      <c r="G1053" s="457">
        <f t="shared" si="71"/>
        <v>434.37</v>
      </c>
      <c r="H1053" s="457"/>
    </row>
    <row r="1054" spans="1:8" ht="12.75" customHeight="1">
      <c r="B1054" s="865"/>
      <c r="C1054" s="484" t="s">
        <v>728</v>
      </c>
      <c r="D1054" s="488">
        <v>55</v>
      </c>
      <c r="E1054" s="456" t="s">
        <v>46</v>
      </c>
      <c r="F1054" s="457">
        <f>F1041</f>
        <v>0.63</v>
      </c>
      <c r="G1054" s="457">
        <f t="shared" si="71"/>
        <v>34.65</v>
      </c>
      <c r="H1054" s="457"/>
    </row>
    <row r="1055" spans="1:8" ht="12.75" customHeight="1">
      <c r="B1055" s="855" t="s">
        <v>125</v>
      </c>
      <c r="C1055" s="855"/>
      <c r="D1055" s="856" t="s">
        <v>61</v>
      </c>
      <c r="E1055" s="856"/>
      <c r="F1055" s="856"/>
      <c r="G1055" s="457">
        <f>SUM(G1049:G1054)</f>
        <v>11687.07</v>
      </c>
      <c r="H1055" s="457"/>
    </row>
    <row r="1056" spans="1:8" ht="12.75" customHeight="1">
      <c r="B1056" s="855"/>
      <c r="C1056" s="855"/>
      <c r="D1056" s="857" t="s">
        <v>573</v>
      </c>
      <c r="E1056" s="857"/>
      <c r="F1056" s="857"/>
      <c r="G1056" s="457">
        <f>15%*G1055</f>
        <v>1753.0604999999998</v>
      </c>
      <c r="H1056" s="457"/>
    </row>
    <row r="1057" spans="1:8" ht="12.75" customHeight="1">
      <c r="B1057" s="855"/>
      <c r="C1057" s="855"/>
      <c r="D1057" s="856" t="s">
        <v>47</v>
      </c>
      <c r="E1057" s="856"/>
      <c r="F1057" s="856"/>
      <c r="G1057" s="457">
        <f>SUM(G1055:G1056)</f>
        <v>13440.130499999999</v>
      </c>
      <c r="H1057" s="457"/>
    </row>
    <row r="1058" spans="1:8" ht="12.75" customHeight="1">
      <c r="B1058" s="494"/>
      <c r="C1058" s="494"/>
      <c r="D1058" s="476"/>
      <c r="E1058" s="476"/>
      <c r="F1058" s="584"/>
      <c r="G1058" s="477"/>
      <c r="H1058" s="477"/>
    </row>
    <row r="1059" spans="1:8" ht="12.75" customHeight="1">
      <c r="B1059" s="463"/>
      <c r="C1059" s="463"/>
      <c r="D1059" s="464"/>
      <c r="E1059" s="464"/>
      <c r="F1059" s="500"/>
      <c r="G1059" s="466"/>
      <c r="H1059" s="466"/>
    </row>
    <row r="1060" spans="1:8" ht="23.25" customHeight="1">
      <c r="A1060" s="445">
        <v>6.03</v>
      </c>
      <c r="B1060" s="446" t="s">
        <v>347</v>
      </c>
      <c r="C1060" s="876" t="s">
        <v>1480</v>
      </c>
      <c r="D1060" s="877"/>
      <c r="E1060" s="877"/>
      <c r="F1060" s="447" t="s">
        <v>50</v>
      </c>
      <c r="G1060" s="448">
        <f>TRUNC(G1068/10,2)</f>
        <v>1015.71</v>
      </c>
      <c r="H1060" s="448">
        <f>TRUNC(G1070/10,2)</f>
        <v>1168.06</v>
      </c>
    </row>
    <row r="1061" spans="1:8" ht="12.75" customHeight="1">
      <c r="B1061" s="450" t="s">
        <v>80</v>
      </c>
      <c r="C1061" s="451" t="s">
        <v>81</v>
      </c>
      <c r="D1061" s="451" t="s">
        <v>44</v>
      </c>
      <c r="E1061" s="451" t="s">
        <v>45</v>
      </c>
      <c r="F1061" s="452" t="s">
        <v>58</v>
      </c>
      <c r="G1061" s="452" t="s">
        <v>59</v>
      </c>
      <c r="H1061" s="452" t="s">
        <v>52</v>
      </c>
    </row>
    <row r="1062" spans="1:8" ht="12.75" customHeight="1">
      <c r="B1062" s="887" t="s">
        <v>60</v>
      </c>
      <c r="C1062" s="484" t="s">
        <v>69</v>
      </c>
      <c r="D1062" s="488">
        <v>1.1000000000000001</v>
      </c>
      <c r="E1062" s="451" t="s">
        <v>46</v>
      </c>
      <c r="F1062" s="457">
        <f>F1049</f>
        <v>1200</v>
      </c>
      <c r="G1062" s="457">
        <f t="shared" ref="G1062:G1067" si="72">TRUNC(D1062*F1062,2)</f>
        <v>1320</v>
      </c>
      <c r="H1062" s="457"/>
    </row>
    <row r="1063" spans="1:8" ht="12.75" customHeight="1">
      <c r="B1063" s="887"/>
      <c r="C1063" s="484" t="s">
        <v>43</v>
      </c>
      <c r="D1063" s="488">
        <v>1.25</v>
      </c>
      <c r="E1063" s="451" t="s">
        <v>46</v>
      </c>
      <c r="F1063" s="457">
        <f>F1050</f>
        <v>870</v>
      </c>
      <c r="G1063" s="457">
        <f t="shared" si="72"/>
        <v>1087.5</v>
      </c>
      <c r="H1063" s="457"/>
    </row>
    <row r="1064" spans="1:8" ht="12.75" customHeight="1">
      <c r="B1064" s="887" t="s">
        <v>63</v>
      </c>
      <c r="C1064" s="585" t="s">
        <v>1481</v>
      </c>
      <c r="D1064" s="488">
        <v>12</v>
      </c>
      <c r="E1064" s="451" t="s">
        <v>50</v>
      </c>
      <c r="F1064" s="457">
        <f>'Basic Rate'!D52</f>
        <v>571.96562835660575</v>
      </c>
      <c r="G1064" s="457">
        <f t="shared" si="72"/>
        <v>6863.58</v>
      </c>
      <c r="H1064" s="457"/>
    </row>
    <row r="1065" spans="1:8" ht="12.75" customHeight="1">
      <c r="B1065" s="887"/>
      <c r="C1065" s="484" t="s">
        <v>82</v>
      </c>
      <c r="D1065" s="488">
        <v>30</v>
      </c>
      <c r="E1065" s="451" t="s">
        <v>46</v>
      </c>
      <c r="F1065" s="457">
        <f>F1052</f>
        <v>13.9</v>
      </c>
      <c r="G1065" s="457">
        <f t="shared" si="72"/>
        <v>417</v>
      </c>
      <c r="H1065" s="457"/>
    </row>
    <row r="1066" spans="1:8" ht="12.75" customHeight="1">
      <c r="B1066" s="887"/>
      <c r="C1066" s="484" t="s">
        <v>83</v>
      </c>
      <c r="D1066" s="488">
        <v>25</v>
      </c>
      <c r="E1066" s="451" t="s">
        <v>46</v>
      </c>
      <c r="F1066" s="457">
        <f>F1053</f>
        <v>17.375</v>
      </c>
      <c r="G1066" s="457">
        <f t="shared" si="72"/>
        <v>434.37</v>
      </c>
      <c r="H1066" s="457"/>
    </row>
    <row r="1067" spans="1:8" ht="12.75" customHeight="1">
      <c r="B1067" s="887"/>
      <c r="C1067" s="484" t="s">
        <v>728</v>
      </c>
      <c r="D1067" s="488">
        <v>55</v>
      </c>
      <c r="E1067" s="456" t="s">
        <v>46</v>
      </c>
      <c r="F1067" s="457">
        <f>F1054</f>
        <v>0.63</v>
      </c>
      <c r="G1067" s="457">
        <f t="shared" si="72"/>
        <v>34.65</v>
      </c>
      <c r="H1067" s="457"/>
    </row>
    <row r="1068" spans="1:8" ht="12.75" customHeight="1">
      <c r="B1068" s="855" t="s">
        <v>125</v>
      </c>
      <c r="C1068" s="855"/>
      <c r="D1068" s="856" t="s">
        <v>61</v>
      </c>
      <c r="E1068" s="856"/>
      <c r="F1068" s="856"/>
      <c r="G1068" s="457">
        <f>SUM(G1062:G1067)</f>
        <v>10157.1</v>
      </c>
      <c r="H1068" s="457"/>
    </row>
    <row r="1069" spans="1:8" ht="12.75" customHeight="1">
      <c r="B1069" s="855"/>
      <c r="C1069" s="855"/>
      <c r="D1069" s="857" t="s">
        <v>573</v>
      </c>
      <c r="E1069" s="857"/>
      <c r="F1069" s="857"/>
      <c r="G1069" s="457">
        <f>15%*G1068</f>
        <v>1523.5650000000001</v>
      </c>
      <c r="H1069" s="457"/>
    </row>
    <row r="1070" spans="1:8" ht="12.75" customHeight="1">
      <c r="B1070" s="855"/>
      <c r="C1070" s="855"/>
      <c r="D1070" s="856" t="s">
        <v>47</v>
      </c>
      <c r="E1070" s="856"/>
      <c r="F1070" s="856"/>
      <c r="G1070" s="457">
        <f>SUM(G1068:G1069)</f>
        <v>11680.665000000001</v>
      </c>
      <c r="H1070" s="457"/>
    </row>
    <row r="1071" spans="1:8" ht="12.75" customHeight="1">
      <c r="B1071" s="494"/>
      <c r="C1071" s="494"/>
      <c r="D1071" s="476"/>
      <c r="E1071" s="476"/>
      <c r="F1071" s="584"/>
      <c r="G1071" s="477"/>
      <c r="H1071" s="477"/>
    </row>
    <row r="1072" spans="1:8" ht="12.75" customHeight="1">
      <c r="B1072" s="463"/>
      <c r="C1072" s="463"/>
      <c r="D1072" s="464"/>
      <c r="E1072" s="464"/>
      <c r="F1072" s="500"/>
      <c r="G1072" s="466"/>
      <c r="H1072" s="466"/>
    </row>
    <row r="1073" spans="1:8" s="495" customFormat="1" ht="24" customHeight="1">
      <c r="A1073" s="445">
        <v>6.04</v>
      </c>
      <c r="B1073" s="446" t="s">
        <v>348</v>
      </c>
      <c r="C1073" s="888" t="s">
        <v>1482</v>
      </c>
      <c r="D1073" s="889"/>
      <c r="E1073" s="890"/>
      <c r="F1073" s="447" t="s">
        <v>50</v>
      </c>
      <c r="G1073" s="448">
        <f>TRUNC(G1081/10,2)</f>
        <v>1059.79</v>
      </c>
      <c r="H1073" s="448">
        <f>TRUNC(G1083/10,2)</f>
        <v>1218.76</v>
      </c>
    </row>
    <row r="1074" spans="1:8" ht="12.75" customHeight="1">
      <c r="B1074" s="450" t="s">
        <v>80</v>
      </c>
      <c r="C1074" s="451" t="s">
        <v>81</v>
      </c>
      <c r="D1074" s="451" t="s">
        <v>44</v>
      </c>
      <c r="E1074" s="451" t="s">
        <v>45</v>
      </c>
      <c r="F1074" s="452" t="s">
        <v>58</v>
      </c>
      <c r="G1074" s="452" t="s">
        <v>59</v>
      </c>
      <c r="H1074" s="452" t="s">
        <v>52</v>
      </c>
    </row>
    <row r="1075" spans="1:8" ht="12.75" customHeight="1">
      <c r="B1075" s="887" t="s">
        <v>60</v>
      </c>
      <c r="C1075" s="484" t="s">
        <v>69</v>
      </c>
      <c r="D1075" s="488">
        <v>1.1000000000000001</v>
      </c>
      <c r="E1075" s="451" t="s">
        <v>46</v>
      </c>
      <c r="F1075" s="457">
        <f>F1049</f>
        <v>1200</v>
      </c>
      <c r="G1075" s="457">
        <f t="shared" ref="G1075:G1080" si="73">TRUNC(D1075*F1075,2)</f>
        <v>1320</v>
      </c>
      <c r="H1075" s="457"/>
    </row>
    <row r="1076" spans="1:8" ht="12.75" customHeight="1">
      <c r="B1076" s="887"/>
      <c r="C1076" s="484" t="s">
        <v>43</v>
      </c>
      <c r="D1076" s="488">
        <v>1.25</v>
      </c>
      <c r="E1076" s="451" t="s">
        <v>46</v>
      </c>
      <c r="F1076" s="457">
        <f>F1050</f>
        <v>870</v>
      </c>
      <c r="G1076" s="457">
        <f t="shared" si="73"/>
        <v>1087.5</v>
      </c>
      <c r="H1076" s="457"/>
    </row>
    <row r="1077" spans="1:8" ht="27" customHeight="1">
      <c r="B1077" s="887" t="s">
        <v>63</v>
      </c>
      <c r="C1077" s="586" t="str">
        <f>'Basic Rate'!B47</f>
        <v>CGI sheet 26 (M) 0.37 mm thick Color</v>
      </c>
      <c r="D1077" s="515">
        <v>12</v>
      </c>
      <c r="E1077" s="450" t="s">
        <v>50</v>
      </c>
      <c r="F1077" s="516">
        <f>'Basic Rate'!D47</f>
        <v>608.70032223415683</v>
      </c>
      <c r="G1077" s="516">
        <f t="shared" si="73"/>
        <v>7304.4</v>
      </c>
      <c r="H1077" s="516"/>
    </row>
    <row r="1078" spans="1:8" ht="12.75" customHeight="1">
      <c r="B1078" s="887"/>
      <c r="C1078" s="484" t="s">
        <v>82</v>
      </c>
      <c r="D1078" s="488">
        <v>30</v>
      </c>
      <c r="E1078" s="451" t="s">
        <v>46</v>
      </c>
      <c r="F1078" s="457">
        <f>F1052</f>
        <v>13.9</v>
      </c>
      <c r="G1078" s="457">
        <f t="shared" si="73"/>
        <v>417</v>
      </c>
      <c r="H1078" s="457"/>
    </row>
    <row r="1079" spans="1:8" ht="12.75" customHeight="1">
      <c r="B1079" s="887"/>
      <c r="C1079" s="484" t="s">
        <v>83</v>
      </c>
      <c r="D1079" s="488">
        <v>25</v>
      </c>
      <c r="E1079" s="451" t="s">
        <v>46</v>
      </c>
      <c r="F1079" s="457">
        <f>F1053</f>
        <v>17.375</v>
      </c>
      <c r="G1079" s="457">
        <f t="shared" si="73"/>
        <v>434.37</v>
      </c>
      <c r="H1079" s="457"/>
    </row>
    <row r="1080" spans="1:8" ht="12.75" customHeight="1">
      <c r="B1080" s="887"/>
      <c r="C1080" s="484" t="s">
        <v>728</v>
      </c>
      <c r="D1080" s="488">
        <v>55</v>
      </c>
      <c r="E1080" s="456" t="s">
        <v>46</v>
      </c>
      <c r="F1080" s="457">
        <f>F1054</f>
        <v>0.63</v>
      </c>
      <c r="G1080" s="457">
        <f t="shared" si="73"/>
        <v>34.65</v>
      </c>
      <c r="H1080" s="457"/>
    </row>
    <row r="1081" spans="1:8" ht="12.75" customHeight="1">
      <c r="B1081" s="855" t="s">
        <v>125</v>
      </c>
      <c r="C1081" s="855"/>
      <c r="D1081" s="856" t="s">
        <v>61</v>
      </c>
      <c r="E1081" s="856"/>
      <c r="F1081" s="856"/>
      <c r="G1081" s="457">
        <f>SUM(G1075:G1080)</f>
        <v>10597.92</v>
      </c>
      <c r="H1081" s="457"/>
    </row>
    <row r="1082" spans="1:8" ht="12.75" customHeight="1">
      <c r="B1082" s="855"/>
      <c r="C1082" s="855"/>
      <c r="D1082" s="857" t="s">
        <v>573</v>
      </c>
      <c r="E1082" s="857"/>
      <c r="F1082" s="857"/>
      <c r="G1082" s="457">
        <f>INT(G1081*15%*100)/100</f>
        <v>1589.68</v>
      </c>
      <c r="H1082" s="457"/>
    </row>
    <row r="1083" spans="1:8" ht="12.75" customHeight="1">
      <c r="B1083" s="855"/>
      <c r="C1083" s="855"/>
      <c r="D1083" s="856" t="s">
        <v>47</v>
      </c>
      <c r="E1083" s="856"/>
      <c r="F1083" s="856"/>
      <c r="G1083" s="457">
        <f>SUM(G1081:G1082)</f>
        <v>12187.6</v>
      </c>
      <c r="H1083" s="457"/>
    </row>
    <row r="1084" spans="1:8" ht="12.75" customHeight="1">
      <c r="C1084" s="444"/>
      <c r="F1084" s="462"/>
      <c r="G1084" s="460"/>
      <c r="H1084" s="460"/>
    </row>
    <row r="1085" spans="1:8" ht="26.25" customHeight="1">
      <c r="A1085" s="445">
        <v>6.05</v>
      </c>
      <c r="B1085" s="446" t="s">
        <v>348</v>
      </c>
      <c r="C1085" s="888" t="s">
        <v>1482</v>
      </c>
      <c r="D1085" s="889"/>
      <c r="E1085" s="890"/>
      <c r="F1085" s="447" t="s">
        <v>50</v>
      </c>
      <c r="G1085" s="448">
        <f>TRUNC(G1093/10,2)</f>
        <v>1059.79</v>
      </c>
      <c r="H1085" s="448">
        <f>TRUNC(G1095/10,2)</f>
        <v>1218.76</v>
      </c>
    </row>
    <row r="1086" spans="1:8" ht="12.75" customHeight="1">
      <c r="B1086" s="450" t="s">
        <v>80</v>
      </c>
      <c r="C1086" s="451" t="s">
        <v>81</v>
      </c>
      <c r="D1086" s="451" t="s">
        <v>44</v>
      </c>
      <c r="E1086" s="451" t="s">
        <v>45</v>
      </c>
      <c r="F1086" s="452" t="s">
        <v>58</v>
      </c>
      <c r="G1086" s="452" t="s">
        <v>59</v>
      </c>
      <c r="H1086" s="452" t="s">
        <v>52</v>
      </c>
    </row>
    <row r="1087" spans="1:8" ht="12.75" customHeight="1">
      <c r="B1087" s="887" t="s">
        <v>60</v>
      </c>
      <c r="C1087" s="484" t="s">
        <v>69</v>
      </c>
      <c r="D1087" s="488">
        <v>1.1000000000000001</v>
      </c>
      <c r="E1087" s="451" t="s">
        <v>46</v>
      </c>
      <c r="F1087" s="457">
        <f t="shared" ref="F1087:F1092" si="74">F1075</f>
        <v>1200</v>
      </c>
      <c r="G1087" s="457">
        <f t="shared" ref="G1087:G1092" si="75">TRUNC(D1087*F1087,2)</f>
        <v>1320</v>
      </c>
      <c r="H1087" s="457"/>
    </row>
    <row r="1088" spans="1:8" ht="12.75" customHeight="1">
      <c r="B1088" s="856"/>
      <c r="C1088" s="484" t="s">
        <v>43</v>
      </c>
      <c r="D1088" s="488">
        <v>1.25</v>
      </c>
      <c r="E1088" s="451" t="s">
        <v>46</v>
      </c>
      <c r="F1088" s="457">
        <f t="shared" si="74"/>
        <v>870</v>
      </c>
      <c r="G1088" s="457">
        <f t="shared" si="75"/>
        <v>1087.5</v>
      </c>
      <c r="H1088" s="457"/>
    </row>
    <row r="1089" spans="1:8" ht="12.75" customHeight="1">
      <c r="B1089" s="887" t="s">
        <v>63</v>
      </c>
      <c r="C1089" s="484" t="s">
        <v>1483</v>
      </c>
      <c r="D1089" s="488">
        <v>12</v>
      </c>
      <c r="E1089" s="451" t="s">
        <v>50</v>
      </c>
      <c r="F1089" s="457">
        <f t="shared" si="74"/>
        <v>608.70032223415683</v>
      </c>
      <c r="G1089" s="457">
        <f t="shared" si="75"/>
        <v>7304.4</v>
      </c>
      <c r="H1089" s="457"/>
    </row>
    <row r="1090" spans="1:8" ht="12.75" customHeight="1">
      <c r="B1090" s="856"/>
      <c r="C1090" s="484" t="s">
        <v>82</v>
      </c>
      <c r="D1090" s="488">
        <v>30</v>
      </c>
      <c r="E1090" s="451" t="s">
        <v>46</v>
      </c>
      <c r="F1090" s="457">
        <f t="shared" si="74"/>
        <v>13.9</v>
      </c>
      <c r="G1090" s="457">
        <f t="shared" si="75"/>
        <v>417</v>
      </c>
      <c r="H1090" s="457"/>
    </row>
    <row r="1091" spans="1:8" ht="12.75" customHeight="1">
      <c r="B1091" s="856"/>
      <c r="C1091" s="484" t="s">
        <v>83</v>
      </c>
      <c r="D1091" s="488">
        <v>25</v>
      </c>
      <c r="E1091" s="451" t="s">
        <v>46</v>
      </c>
      <c r="F1091" s="457">
        <f t="shared" si="74"/>
        <v>17.375</v>
      </c>
      <c r="G1091" s="457">
        <f t="shared" si="75"/>
        <v>434.37</v>
      </c>
      <c r="H1091" s="457"/>
    </row>
    <row r="1092" spans="1:8" ht="12.75" customHeight="1">
      <c r="B1092" s="856"/>
      <c r="C1092" s="484" t="s">
        <v>728</v>
      </c>
      <c r="D1092" s="488">
        <v>55</v>
      </c>
      <c r="E1092" s="456" t="s">
        <v>46</v>
      </c>
      <c r="F1092" s="457">
        <f t="shared" si="74"/>
        <v>0.63</v>
      </c>
      <c r="G1092" s="457">
        <f t="shared" si="75"/>
        <v>34.65</v>
      </c>
      <c r="H1092" s="457"/>
    </row>
    <row r="1093" spans="1:8" ht="12.75" customHeight="1">
      <c r="B1093" s="855" t="s">
        <v>125</v>
      </c>
      <c r="C1093" s="960"/>
      <c r="D1093" s="856" t="s">
        <v>61</v>
      </c>
      <c r="E1093" s="960"/>
      <c r="F1093" s="960"/>
      <c r="G1093" s="457">
        <f>SUM(G1087:G1092)</f>
        <v>10597.92</v>
      </c>
      <c r="H1093" s="457"/>
    </row>
    <row r="1094" spans="1:8" ht="12.75" customHeight="1">
      <c r="B1094" s="960"/>
      <c r="C1094" s="960"/>
      <c r="D1094" s="857" t="s">
        <v>573</v>
      </c>
      <c r="E1094" s="960"/>
      <c r="F1094" s="960"/>
      <c r="G1094" s="457">
        <f>15%*G1093</f>
        <v>1589.6879999999999</v>
      </c>
      <c r="H1094" s="457"/>
    </row>
    <row r="1095" spans="1:8" ht="12.75" customHeight="1">
      <c r="B1095" s="960"/>
      <c r="C1095" s="960"/>
      <c r="D1095" s="856" t="s">
        <v>47</v>
      </c>
      <c r="E1095" s="960"/>
      <c r="F1095" s="960"/>
      <c r="G1095" s="457">
        <f>SUM(G1093:G1094)</f>
        <v>12187.608</v>
      </c>
      <c r="H1095" s="457"/>
    </row>
    <row r="1096" spans="1:8" ht="12.75" customHeight="1">
      <c r="B1096" s="587"/>
      <c r="C1096" s="476"/>
      <c r="D1096" s="476"/>
      <c r="E1096" s="476"/>
      <c r="F1096" s="584"/>
      <c r="G1096" s="477"/>
      <c r="H1096" s="477"/>
    </row>
    <row r="1097" spans="1:8" ht="25.5" customHeight="1">
      <c r="A1097" s="445">
        <v>6.08</v>
      </c>
      <c r="B1097" s="446" t="s">
        <v>349</v>
      </c>
      <c r="C1097" s="888" t="s">
        <v>1484</v>
      </c>
      <c r="D1097" s="889"/>
      <c r="E1097" s="890"/>
      <c r="F1097" s="447" t="s">
        <v>113</v>
      </c>
      <c r="G1097" s="448">
        <f>TRUNC(G1103/10,2)</f>
        <v>743.39</v>
      </c>
      <c r="H1097" s="448">
        <f>TRUNC(G1105/10,2)</f>
        <v>854.9</v>
      </c>
    </row>
    <row r="1098" spans="1:8">
      <c r="B1098" s="450" t="s">
        <v>80</v>
      </c>
      <c r="C1098" s="451" t="s">
        <v>81</v>
      </c>
      <c r="D1098" s="451" t="s">
        <v>44</v>
      </c>
      <c r="E1098" s="451" t="s">
        <v>45</v>
      </c>
      <c r="F1098" s="452" t="s">
        <v>58</v>
      </c>
      <c r="G1098" s="452" t="s">
        <v>59</v>
      </c>
      <c r="H1098" s="452" t="s">
        <v>52</v>
      </c>
    </row>
    <row r="1099" spans="1:8">
      <c r="B1099" s="864" t="s">
        <v>60</v>
      </c>
      <c r="C1099" s="484" t="s">
        <v>69</v>
      </c>
      <c r="D1099" s="488">
        <v>2</v>
      </c>
      <c r="E1099" s="451" t="s">
        <v>46</v>
      </c>
      <c r="F1099" s="457">
        <f>F1087</f>
        <v>1200</v>
      </c>
      <c r="G1099" s="457">
        <f>TRUNC(D1099*F1099,2)</f>
        <v>2400</v>
      </c>
      <c r="H1099" s="457"/>
    </row>
    <row r="1100" spans="1:8">
      <c r="B1100" s="865"/>
      <c r="C1100" s="484" t="s">
        <v>43</v>
      </c>
      <c r="D1100" s="488">
        <v>3</v>
      </c>
      <c r="E1100" s="451" t="s">
        <v>46</v>
      </c>
      <c r="F1100" s="457">
        <f>F1088</f>
        <v>870</v>
      </c>
      <c r="G1100" s="457">
        <f>TRUNC(D1100*F1100,2)</f>
        <v>2610</v>
      </c>
      <c r="H1100" s="457"/>
    </row>
    <row r="1101" spans="1:8">
      <c r="B1101" s="864" t="s">
        <v>63</v>
      </c>
      <c r="C1101" s="484" t="s">
        <v>597</v>
      </c>
      <c r="D1101" s="488">
        <v>12</v>
      </c>
      <c r="E1101" s="451" t="s">
        <v>84</v>
      </c>
      <c r="F1101" s="457">
        <f>'Basic Rate'!F40</f>
        <v>197.83259259259259</v>
      </c>
      <c r="G1101" s="457">
        <f>TRUNC(D1101*F1101,2)</f>
        <v>2373.9899999999998</v>
      </c>
      <c r="H1101" s="457"/>
    </row>
    <row r="1102" spans="1:8">
      <c r="B1102" s="865"/>
      <c r="C1102" s="484" t="s">
        <v>85</v>
      </c>
      <c r="D1102" s="588" t="s">
        <v>86</v>
      </c>
      <c r="E1102" s="456"/>
      <c r="F1102" s="452"/>
      <c r="G1102" s="457">
        <v>50</v>
      </c>
      <c r="H1102" s="457"/>
    </row>
    <row r="1103" spans="1:8">
      <c r="B1103" s="855" t="s">
        <v>158</v>
      </c>
      <c r="C1103" s="855"/>
      <c r="D1103" s="856" t="s">
        <v>61</v>
      </c>
      <c r="E1103" s="856"/>
      <c r="F1103" s="856"/>
      <c r="G1103" s="457">
        <f>SUM(G1099:G1102)</f>
        <v>7433.99</v>
      </c>
      <c r="H1103" s="457"/>
    </row>
    <row r="1104" spans="1:8">
      <c r="B1104" s="855"/>
      <c r="C1104" s="855"/>
      <c r="D1104" s="857" t="s">
        <v>573</v>
      </c>
      <c r="E1104" s="857"/>
      <c r="F1104" s="857"/>
      <c r="G1104" s="457">
        <f>INT(G1103*15%*100)/100</f>
        <v>1115.0899999999999</v>
      </c>
      <c r="H1104" s="457"/>
    </row>
    <row r="1105" spans="1:8">
      <c r="B1105" s="855"/>
      <c r="C1105" s="855"/>
      <c r="D1105" s="856" t="s">
        <v>47</v>
      </c>
      <c r="E1105" s="856"/>
      <c r="F1105" s="856"/>
      <c r="G1105" s="457">
        <f>SUM(G1103:G1104)</f>
        <v>8549.08</v>
      </c>
      <c r="H1105" s="457"/>
    </row>
    <row r="1106" spans="1:8">
      <c r="C1106" s="444"/>
      <c r="F1106" s="462"/>
      <c r="G1106" s="460"/>
      <c r="H1106" s="460"/>
    </row>
    <row r="1107" spans="1:8" ht="20.25" customHeight="1">
      <c r="A1107" s="445">
        <v>6.09</v>
      </c>
      <c r="B1107" s="446" t="s">
        <v>350</v>
      </c>
      <c r="C1107" s="876" t="s">
        <v>932</v>
      </c>
      <c r="D1107" s="877"/>
      <c r="E1107" s="877"/>
      <c r="F1107" s="447" t="s">
        <v>113</v>
      </c>
      <c r="G1107" s="448">
        <f>TRUNC(G1113/10,2)</f>
        <v>722.91</v>
      </c>
      <c r="H1107" s="448">
        <f>TRUNC(G1115/10,2)</f>
        <v>831.35</v>
      </c>
    </row>
    <row r="1108" spans="1:8">
      <c r="B1108" s="450" t="s">
        <v>80</v>
      </c>
      <c r="C1108" s="451" t="s">
        <v>81</v>
      </c>
      <c r="D1108" s="451" t="s">
        <v>44</v>
      </c>
      <c r="E1108" s="451" t="s">
        <v>45</v>
      </c>
      <c r="F1108" s="452" t="s">
        <v>58</v>
      </c>
      <c r="G1108" s="452" t="s">
        <v>59</v>
      </c>
      <c r="H1108" s="452" t="s">
        <v>52</v>
      </c>
    </row>
    <row r="1109" spans="1:8">
      <c r="B1109" s="864" t="s">
        <v>60</v>
      </c>
      <c r="C1109" s="484" t="s">
        <v>69</v>
      </c>
      <c r="D1109" s="488">
        <v>2</v>
      </c>
      <c r="E1109" s="451" t="s">
        <v>46</v>
      </c>
      <c r="F1109" s="457">
        <f>F1099</f>
        <v>1200</v>
      </c>
      <c r="G1109" s="457">
        <f>TRUNC(D1109*F1109,2)</f>
        <v>2400</v>
      </c>
      <c r="H1109" s="457"/>
    </row>
    <row r="1110" spans="1:8">
      <c r="B1110" s="865"/>
      <c r="C1110" s="484" t="s">
        <v>43</v>
      </c>
      <c r="D1110" s="488">
        <v>3</v>
      </c>
      <c r="E1110" s="451" t="s">
        <v>46</v>
      </c>
      <c r="F1110" s="457">
        <f>F1100</f>
        <v>870</v>
      </c>
      <c r="G1110" s="457">
        <f>TRUNC(D1110*F1110,2)</f>
        <v>2610</v>
      </c>
      <c r="H1110" s="457"/>
    </row>
    <row r="1111" spans="1:8">
      <c r="B1111" s="864" t="s">
        <v>63</v>
      </c>
      <c r="C1111" s="484" t="s">
        <v>598</v>
      </c>
      <c r="D1111" s="488">
        <v>12</v>
      </c>
      <c r="E1111" s="451" t="s">
        <v>84</v>
      </c>
      <c r="F1111" s="457">
        <f>'Basic Rate'!F41</f>
        <v>180.76444444444445</v>
      </c>
      <c r="G1111" s="457">
        <f>TRUNC(D1111*F1111,2)</f>
        <v>2169.17</v>
      </c>
      <c r="H1111" s="457"/>
    </row>
    <row r="1112" spans="1:8">
      <c r="B1112" s="865"/>
      <c r="C1112" s="484" t="s">
        <v>85</v>
      </c>
      <c r="D1112" s="456" t="s">
        <v>86</v>
      </c>
      <c r="E1112" s="456"/>
      <c r="F1112" s="457"/>
      <c r="G1112" s="457">
        <v>50</v>
      </c>
      <c r="H1112" s="457"/>
    </row>
    <row r="1113" spans="1:8">
      <c r="B1113" s="855" t="s">
        <v>158</v>
      </c>
      <c r="C1113" s="855"/>
      <c r="D1113" s="856" t="s">
        <v>61</v>
      </c>
      <c r="E1113" s="856"/>
      <c r="F1113" s="856"/>
      <c r="G1113" s="457">
        <f>SUM(G1109:G1112)</f>
        <v>7229.17</v>
      </c>
      <c r="H1113" s="457"/>
    </row>
    <row r="1114" spans="1:8">
      <c r="B1114" s="855"/>
      <c r="C1114" s="855"/>
      <c r="D1114" s="857" t="s">
        <v>573</v>
      </c>
      <c r="E1114" s="857"/>
      <c r="F1114" s="857"/>
      <c r="G1114" s="457">
        <f>15%*G1113</f>
        <v>1084.3754999999999</v>
      </c>
      <c r="H1114" s="457"/>
    </row>
    <row r="1115" spans="1:8">
      <c r="B1115" s="855"/>
      <c r="C1115" s="855"/>
      <c r="D1115" s="856" t="s">
        <v>47</v>
      </c>
      <c r="E1115" s="856"/>
      <c r="F1115" s="856"/>
      <c r="G1115" s="457">
        <f>SUM(G1113:G1114)</f>
        <v>8313.5455000000002</v>
      </c>
      <c r="H1115" s="457"/>
    </row>
    <row r="1116" spans="1:8">
      <c r="C1116" s="444"/>
      <c r="F1116" s="462"/>
      <c r="G1116" s="460"/>
      <c r="H1116" s="460"/>
    </row>
    <row r="1117" spans="1:8">
      <c r="C1117" s="444"/>
      <c r="F1117" s="462"/>
      <c r="G1117" s="460"/>
      <c r="H1117" s="460"/>
    </row>
    <row r="1118" spans="1:8" ht="25.5" customHeight="1">
      <c r="A1118" s="445">
        <v>6.11</v>
      </c>
      <c r="B1118" s="446" t="s">
        <v>351</v>
      </c>
      <c r="C1118" s="888" t="s">
        <v>1485</v>
      </c>
      <c r="D1118" s="889"/>
      <c r="E1118" s="890"/>
      <c r="F1118" s="447" t="s">
        <v>50</v>
      </c>
      <c r="G1118" s="448">
        <f>TRUNC(G1126/10,2)</f>
        <v>1170.44</v>
      </c>
      <c r="H1118" s="448">
        <f>TRUNC(G1128/10,2)</f>
        <v>1346.01</v>
      </c>
    </row>
    <row r="1119" spans="1:8">
      <c r="B1119" s="450" t="s">
        <v>80</v>
      </c>
      <c r="C1119" s="451" t="s">
        <v>81</v>
      </c>
      <c r="D1119" s="451" t="s">
        <v>44</v>
      </c>
      <c r="E1119" s="451" t="s">
        <v>45</v>
      </c>
      <c r="F1119" s="452" t="s">
        <v>58</v>
      </c>
      <c r="G1119" s="452" t="s">
        <v>59</v>
      </c>
      <c r="H1119" s="452" t="s">
        <v>52</v>
      </c>
    </row>
    <row r="1120" spans="1:8">
      <c r="B1120" s="887" t="s">
        <v>60</v>
      </c>
      <c r="C1120" s="484" t="s">
        <v>69</v>
      </c>
      <c r="D1120" s="488">
        <v>1.1000000000000001</v>
      </c>
      <c r="E1120" s="451" t="s">
        <v>46</v>
      </c>
      <c r="F1120" s="457">
        <f>F1049</f>
        <v>1200</v>
      </c>
      <c r="G1120" s="457">
        <f t="shared" ref="G1120:G1125" si="76">TRUNC(D1120*F1120,2)</f>
        <v>1320</v>
      </c>
      <c r="H1120" s="457"/>
    </row>
    <row r="1121" spans="1:8" ht="12.75" customHeight="1">
      <c r="B1121" s="887"/>
      <c r="C1121" s="484" t="s">
        <v>43</v>
      </c>
      <c r="D1121" s="488">
        <v>1.25</v>
      </c>
      <c r="E1121" s="451" t="s">
        <v>46</v>
      </c>
      <c r="F1121" s="457">
        <f>F1050</f>
        <v>870</v>
      </c>
      <c r="G1121" s="457">
        <f t="shared" si="76"/>
        <v>1087.5</v>
      </c>
      <c r="H1121" s="457"/>
    </row>
    <row r="1122" spans="1:8" ht="12.75" customHeight="1">
      <c r="B1122" s="864" t="s">
        <v>63</v>
      </c>
      <c r="C1122" s="484" t="s">
        <v>1486</v>
      </c>
      <c r="D1122" s="488">
        <v>12</v>
      </c>
      <c r="E1122" s="451" t="s">
        <v>50</v>
      </c>
      <c r="F1122" s="457">
        <f>'Basic Rate'!D51</f>
        <v>699.46294307196558</v>
      </c>
      <c r="G1122" s="457">
        <f t="shared" si="76"/>
        <v>8393.5499999999993</v>
      </c>
      <c r="H1122" s="457"/>
    </row>
    <row r="1123" spans="1:8" ht="12.75" customHeight="1">
      <c r="B1123" s="868"/>
      <c r="C1123" s="484" t="s">
        <v>83</v>
      </c>
      <c r="D1123" s="488">
        <v>30</v>
      </c>
      <c r="E1123" s="451" t="s">
        <v>46</v>
      </c>
      <c r="F1123" s="457">
        <f>F1053</f>
        <v>17.375</v>
      </c>
      <c r="G1123" s="551">
        <f>TRUNC(D1123*F1123,2)</f>
        <v>521.25</v>
      </c>
      <c r="H1123" s="457"/>
    </row>
    <row r="1124" spans="1:8" ht="12.75" customHeight="1">
      <c r="B1124" s="868"/>
      <c r="C1124" s="484" t="s">
        <v>352</v>
      </c>
      <c r="D1124" s="488">
        <v>25</v>
      </c>
      <c r="E1124" s="451" t="s">
        <v>46</v>
      </c>
      <c r="F1124" s="457">
        <f>F1052</f>
        <v>13.9</v>
      </c>
      <c r="G1124" s="551">
        <f t="shared" si="76"/>
        <v>347.5</v>
      </c>
      <c r="H1124" s="457"/>
    </row>
    <row r="1125" spans="1:8">
      <c r="B1125" s="865"/>
      <c r="C1125" s="484" t="s">
        <v>728</v>
      </c>
      <c r="D1125" s="488">
        <v>55</v>
      </c>
      <c r="E1125" s="451" t="s">
        <v>46</v>
      </c>
      <c r="F1125" s="457">
        <f>F1054</f>
        <v>0.63</v>
      </c>
      <c r="G1125" s="457">
        <f t="shared" si="76"/>
        <v>34.65</v>
      </c>
      <c r="H1125" s="457"/>
    </row>
    <row r="1126" spans="1:8">
      <c r="B1126" s="855" t="s">
        <v>158</v>
      </c>
      <c r="C1126" s="855"/>
      <c r="D1126" s="856" t="s">
        <v>61</v>
      </c>
      <c r="E1126" s="856"/>
      <c r="F1126" s="856"/>
      <c r="G1126" s="457">
        <f>SUM(G1120:G1125)</f>
        <v>11704.449999999999</v>
      </c>
      <c r="H1126" s="457"/>
    </row>
    <row r="1127" spans="1:8">
      <c r="B1127" s="855"/>
      <c r="C1127" s="855"/>
      <c r="D1127" s="857" t="s">
        <v>573</v>
      </c>
      <c r="E1127" s="857"/>
      <c r="F1127" s="857"/>
      <c r="G1127" s="457">
        <f>15%*G1126</f>
        <v>1755.6674999999998</v>
      </c>
      <c r="H1127" s="457"/>
    </row>
    <row r="1128" spans="1:8">
      <c r="B1128" s="855"/>
      <c r="C1128" s="855"/>
      <c r="D1128" s="856" t="s">
        <v>47</v>
      </c>
      <c r="E1128" s="856"/>
      <c r="F1128" s="856"/>
      <c r="G1128" s="457">
        <f>SUM(G1126:G1127)</f>
        <v>13460.117499999998</v>
      </c>
      <c r="H1128" s="457"/>
    </row>
    <row r="1129" spans="1:8">
      <c r="B1129" s="458"/>
      <c r="C1129" s="458"/>
      <c r="F1129" s="459"/>
      <c r="G1129" s="460"/>
      <c r="H1129" s="460"/>
    </row>
    <row r="1130" spans="1:8">
      <c r="C1130" s="444"/>
      <c r="F1130" s="462"/>
      <c r="G1130" s="460"/>
      <c r="H1130" s="460"/>
    </row>
    <row r="1131" spans="1:8" ht="25.5" customHeight="1">
      <c r="A1131" s="445">
        <v>6.12</v>
      </c>
      <c r="B1131" s="446" t="s">
        <v>351</v>
      </c>
      <c r="C1131" s="888" t="s">
        <v>1487</v>
      </c>
      <c r="D1131" s="889"/>
      <c r="E1131" s="890"/>
      <c r="F1131" s="447" t="s">
        <v>50</v>
      </c>
      <c r="G1131" s="448">
        <f>TRUNC(G1139/10,2)</f>
        <v>1017.44</v>
      </c>
      <c r="H1131" s="448">
        <f>TRUNC(G1141/10,2)</f>
        <v>1170.06</v>
      </c>
    </row>
    <row r="1132" spans="1:8">
      <c r="B1132" s="450" t="s">
        <v>80</v>
      </c>
      <c r="C1132" s="451" t="s">
        <v>81</v>
      </c>
      <c r="D1132" s="451" t="s">
        <v>44</v>
      </c>
      <c r="E1132" s="451" t="s">
        <v>45</v>
      </c>
      <c r="F1132" s="452" t="s">
        <v>58</v>
      </c>
      <c r="G1132" s="452" t="s">
        <v>59</v>
      </c>
      <c r="H1132" s="452" t="s">
        <v>52</v>
      </c>
    </row>
    <row r="1133" spans="1:8">
      <c r="B1133" s="887" t="s">
        <v>60</v>
      </c>
      <c r="C1133" s="484" t="s">
        <v>69</v>
      </c>
      <c r="D1133" s="488">
        <v>1.1000000000000001</v>
      </c>
      <c r="E1133" s="451" t="s">
        <v>46</v>
      </c>
      <c r="F1133" s="457">
        <f>F1109</f>
        <v>1200</v>
      </c>
      <c r="G1133" s="457">
        <f t="shared" ref="G1133:G1138" si="77">TRUNC(D1133*F1133,2)</f>
        <v>1320</v>
      </c>
      <c r="H1133" s="457"/>
    </row>
    <row r="1134" spans="1:8" ht="12.75" customHeight="1">
      <c r="B1134" s="887"/>
      <c r="C1134" s="484" t="s">
        <v>43</v>
      </c>
      <c r="D1134" s="488">
        <v>1.25</v>
      </c>
      <c r="E1134" s="451" t="s">
        <v>46</v>
      </c>
      <c r="F1134" s="457">
        <f>F1110</f>
        <v>870</v>
      </c>
      <c r="G1134" s="457">
        <f t="shared" si="77"/>
        <v>1087.5</v>
      </c>
      <c r="H1134" s="457"/>
    </row>
    <row r="1135" spans="1:8" ht="12.75" customHeight="1">
      <c r="B1135" s="864" t="s">
        <v>63</v>
      </c>
      <c r="C1135" s="585" t="s">
        <v>1488</v>
      </c>
      <c r="D1135" s="488">
        <v>12</v>
      </c>
      <c r="E1135" s="451" t="s">
        <v>50</v>
      </c>
      <c r="F1135" s="457">
        <f>'Basic Rate'!D52</f>
        <v>571.96562835660575</v>
      </c>
      <c r="G1135" s="457">
        <f t="shared" si="77"/>
        <v>6863.58</v>
      </c>
      <c r="H1135" s="457"/>
    </row>
    <row r="1136" spans="1:8" ht="12.75" customHeight="1">
      <c r="B1136" s="868"/>
      <c r="C1136" s="484" t="s">
        <v>83</v>
      </c>
      <c r="D1136" s="488">
        <v>30</v>
      </c>
      <c r="E1136" s="451" t="s">
        <v>46</v>
      </c>
      <c r="F1136" s="457">
        <f>'Basic Rate'!F107</f>
        <v>17.375</v>
      </c>
      <c r="G1136" s="457">
        <f t="shared" si="77"/>
        <v>521.25</v>
      </c>
      <c r="H1136" s="457"/>
    </row>
    <row r="1137" spans="1:8" ht="12.75" customHeight="1">
      <c r="B1137" s="868"/>
      <c r="C1137" s="484" t="s">
        <v>352</v>
      </c>
      <c r="D1137" s="488">
        <v>25</v>
      </c>
      <c r="E1137" s="451" t="s">
        <v>46</v>
      </c>
      <c r="F1137" s="457">
        <f>'Basic Rate'!$F$143</f>
        <v>13.9</v>
      </c>
      <c r="G1137" s="457">
        <f t="shared" si="77"/>
        <v>347.5</v>
      </c>
      <c r="H1137" s="457"/>
    </row>
    <row r="1138" spans="1:8">
      <c r="B1138" s="865"/>
      <c r="C1138" s="484" t="s">
        <v>728</v>
      </c>
      <c r="D1138" s="488">
        <v>55</v>
      </c>
      <c r="E1138" s="451" t="s">
        <v>46</v>
      </c>
      <c r="F1138" s="457">
        <f>'Basic Rate'!F31</f>
        <v>0.63</v>
      </c>
      <c r="G1138" s="457">
        <f t="shared" si="77"/>
        <v>34.65</v>
      </c>
      <c r="H1138" s="457"/>
    </row>
    <row r="1139" spans="1:8">
      <c r="B1139" s="855" t="s">
        <v>158</v>
      </c>
      <c r="C1139" s="855"/>
      <c r="D1139" s="856" t="s">
        <v>61</v>
      </c>
      <c r="E1139" s="856"/>
      <c r="F1139" s="856"/>
      <c r="G1139" s="457">
        <f>SUM(G1133:G1138)</f>
        <v>10174.48</v>
      </c>
      <c r="H1139" s="457"/>
    </row>
    <row r="1140" spans="1:8">
      <c r="B1140" s="855"/>
      <c r="C1140" s="855"/>
      <c r="D1140" s="857" t="s">
        <v>573</v>
      </c>
      <c r="E1140" s="857"/>
      <c r="F1140" s="857"/>
      <c r="G1140" s="457">
        <f>15%*G1139</f>
        <v>1526.1719999999998</v>
      </c>
      <c r="H1140" s="457"/>
    </row>
    <row r="1141" spans="1:8">
      <c r="B1141" s="855"/>
      <c r="C1141" s="855"/>
      <c r="D1141" s="856" t="s">
        <v>47</v>
      </c>
      <c r="E1141" s="856"/>
      <c r="F1141" s="856"/>
      <c r="G1141" s="457">
        <f>SUM(G1139:G1140)</f>
        <v>11700.652</v>
      </c>
      <c r="H1141" s="457"/>
    </row>
    <row r="1142" spans="1:8">
      <c r="B1142" s="458"/>
      <c r="C1142" s="458"/>
      <c r="F1142" s="459"/>
      <c r="G1142" s="460"/>
      <c r="H1142" s="460"/>
    </row>
    <row r="1143" spans="1:8">
      <c r="B1143" s="458"/>
      <c r="C1143" s="458"/>
      <c r="F1143" s="459"/>
      <c r="G1143" s="460"/>
      <c r="H1143" s="460"/>
    </row>
    <row r="1144" spans="1:8" ht="25.5" customHeight="1">
      <c r="A1144" s="507">
        <v>6.13</v>
      </c>
      <c r="B1144" s="446" t="s">
        <v>353</v>
      </c>
      <c r="C1144" s="888" t="s">
        <v>1489</v>
      </c>
      <c r="D1144" s="889"/>
      <c r="E1144" s="890"/>
      <c r="F1144" s="447" t="s">
        <v>50</v>
      </c>
      <c r="G1144" s="448">
        <f>TRUNC(G1152/10,2)</f>
        <v>0</v>
      </c>
      <c r="H1144" s="448">
        <f>TRUNC(G1154/10,2)</f>
        <v>0</v>
      </c>
    </row>
    <row r="1145" spans="1:8">
      <c r="B1145" s="450" t="s">
        <v>80</v>
      </c>
      <c r="C1145" s="451" t="s">
        <v>81</v>
      </c>
      <c r="D1145" s="451" t="s">
        <v>44</v>
      </c>
      <c r="E1145" s="451" t="s">
        <v>45</v>
      </c>
      <c r="F1145" s="452" t="s">
        <v>58</v>
      </c>
      <c r="G1145" s="452" t="s">
        <v>59</v>
      </c>
      <c r="H1145" s="452" t="s">
        <v>52</v>
      </c>
    </row>
    <row r="1146" spans="1:8">
      <c r="B1146" s="864" t="s">
        <v>60</v>
      </c>
      <c r="C1146" s="484" t="s">
        <v>69</v>
      </c>
      <c r="D1146" s="488">
        <v>1.1000000000000001</v>
      </c>
      <c r="E1146" s="451" t="s">
        <v>46</v>
      </c>
      <c r="F1146" s="457">
        <f>F1109</f>
        <v>1200</v>
      </c>
      <c r="G1146" s="457">
        <f t="shared" ref="G1146:G1151" si="78">TRUNC(D1146*F1146,2)</f>
        <v>1320</v>
      </c>
      <c r="H1146" s="457"/>
    </row>
    <row r="1147" spans="1:8">
      <c r="B1147" s="865"/>
      <c r="C1147" s="484" t="s">
        <v>43</v>
      </c>
      <c r="D1147" s="488">
        <v>1.25</v>
      </c>
      <c r="E1147" s="451" t="s">
        <v>46</v>
      </c>
      <c r="F1147" s="457">
        <f>F1110</f>
        <v>870</v>
      </c>
      <c r="G1147" s="457">
        <f t="shared" si="78"/>
        <v>1087.5</v>
      </c>
      <c r="H1147" s="457"/>
    </row>
    <row r="1148" spans="1:8" ht="26.4">
      <c r="B1148" s="864" t="s">
        <v>63</v>
      </c>
      <c r="C1148" s="585" t="s">
        <v>1490</v>
      </c>
      <c r="D1148" s="488">
        <v>12</v>
      </c>
      <c r="E1148" s="451" t="s">
        <v>50</v>
      </c>
      <c r="F1148" s="589">
        <f>'Basic Rate'!D42</f>
        <v>754.99462943071967</v>
      </c>
      <c r="G1148" s="457">
        <f t="shared" si="78"/>
        <v>9059.93</v>
      </c>
      <c r="H1148" s="457"/>
    </row>
    <row r="1149" spans="1:8" ht="12.75" customHeight="1">
      <c r="B1149" s="868"/>
      <c r="C1149" s="484" t="s">
        <v>83</v>
      </c>
      <c r="D1149" s="488">
        <v>30</v>
      </c>
      <c r="E1149" s="451" t="s">
        <v>46</v>
      </c>
      <c r="F1149" s="457">
        <f>F1053</f>
        <v>17.375</v>
      </c>
      <c r="G1149" s="457">
        <f t="shared" si="78"/>
        <v>521.25</v>
      </c>
      <c r="H1149" s="457"/>
    </row>
    <row r="1150" spans="1:8" ht="12.75" customHeight="1">
      <c r="B1150" s="868"/>
      <c r="C1150" s="484" t="s">
        <v>352</v>
      </c>
      <c r="D1150" s="488">
        <v>25</v>
      </c>
      <c r="E1150" s="451" t="s">
        <v>46</v>
      </c>
      <c r="F1150" s="457">
        <f>F1052</f>
        <v>13.9</v>
      </c>
      <c r="G1150" s="457">
        <f t="shared" si="78"/>
        <v>347.5</v>
      </c>
      <c r="H1150" s="457"/>
    </row>
    <row r="1151" spans="1:8" ht="12.75" customHeight="1">
      <c r="B1151" s="865"/>
      <c r="C1151" s="484" t="s">
        <v>728</v>
      </c>
      <c r="D1151" s="488">
        <v>55</v>
      </c>
      <c r="E1151" s="451" t="s">
        <v>46</v>
      </c>
      <c r="F1151" s="457">
        <f>F1092</f>
        <v>0.63</v>
      </c>
      <c r="G1151" s="457">
        <f t="shared" si="78"/>
        <v>34.65</v>
      </c>
      <c r="H1151" s="457"/>
    </row>
    <row r="1152" spans="1:8">
      <c r="B1152" s="879" t="s">
        <v>158</v>
      </c>
      <c r="C1152" s="880"/>
      <c r="D1152" s="858" t="s">
        <v>61</v>
      </c>
      <c r="E1152" s="859"/>
      <c r="F1152" s="860"/>
      <c r="G1152" s="589"/>
      <c r="H1152" s="457"/>
    </row>
    <row r="1153" spans="1:8">
      <c r="B1153" s="881"/>
      <c r="C1153" s="882"/>
      <c r="D1153" s="861" t="s">
        <v>573</v>
      </c>
      <c r="E1153" s="862"/>
      <c r="F1153" s="863"/>
      <c r="G1153" s="457">
        <f>15%*G1152</f>
        <v>0</v>
      </c>
      <c r="H1153" s="457"/>
    </row>
    <row r="1154" spans="1:8">
      <c r="B1154" s="883"/>
      <c r="C1154" s="884"/>
      <c r="D1154" s="858" t="s">
        <v>47</v>
      </c>
      <c r="E1154" s="859"/>
      <c r="F1154" s="860"/>
      <c r="G1154" s="457">
        <f>SUM(G1152:G1153)</f>
        <v>0</v>
      </c>
      <c r="H1154" s="457"/>
    </row>
    <row r="1155" spans="1:8">
      <c r="C1155" s="444"/>
      <c r="F1155" s="462"/>
      <c r="G1155" s="460"/>
      <c r="H1155" s="460"/>
    </row>
    <row r="1156" spans="1:8">
      <c r="C1156" s="444"/>
      <c r="F1156" s="462"/>
      <c r="G1156" s="460"/>
      <c r="H1156" s="460"/>
    </row>
    <row r="1157" spans="1:8" ht="25.5" customHeight="1">
      <c r="A1157" s="445">
        <v>6.14</v>
      </c>
      <c r="B1157" s="446" t="s">
        <v>353</v>
      </c>
      <c r="C1157" s="888" t="s">
        <v>1491</v>
      </c>
      <c r="D1157" s="889"/>
      <c r="E1157" s="890"/>
      <c r="F1157" s="447" t="s">
        <v>113</v>
      </c>
      <c r="G1157" s="448">
        <f>TRUNC(G1165/10,2)</f>
        <v>0</v>
      </c>
      <c r="H1157" s="448">
        <f>TRUNC(G1167/10,2)</f>
        <v>0</v>
      </c>
    </row>
    <row r="1158" spans="1:8">
      <c r="B1158" s="450" t="s">
        <v>80</v>
      </c>
      <c r="C1158" s="451" t="s">
        <v>81</v>
      </c>
      <c r="D1158" s="451" t="s">
        <v>44</v>
      </c>
      <c r="E1158" s="451" t="s">
        <v>45</v>
      </c>
      <c r="F1158" s="452" t="s">
        <v>58</v>
      </c>
      <c r="G1158" s="452" t="s">
        <v>59</v>
      </c>
      <c r="H1158" s="452" t="s">
        <v>52</v>
      </c>
    </row>
    <row r="1159" spans="1:8">
      <c r="B1159" s="864" t="s">
        <v>60</v>
      </c>
      <c r="C1159" s="484" t="s">
        <v>69</v>
      </c>
      <c r="D1159" s="488">
        <v>1.1000000000000001</v>
      </c>
      <c r="E1159" s="451" t="s">
        <v>46</v>
      </c>
      <c r="F1159" s="457">
        <f>LOOKUP(C1159,'Basic Rate'!$B$8:$B$328,'Basic Rate'!$F$8:$F$328)</f>
        <v>1200</v>
      </c>
      <c r="G1159" s="457">
        <f t="shared" ref="G1159:G1164" si="79">TRUNC(D1159*F1159,2)</f>
        <v>1320</v>
      </c>
      <c r="H1159" s="457"/>
    </row>
    <row r="1160" spans="1:8" ht="12.75" customHeight="1">
      <c r="B1160" s="865"/>
      <c r="C1160" s="484" t="s">
        <v>43</v>
      </c>
      <c r="D1160" s="488">
        <v>1.25</v>
      </c>
      <c r="E1160" s="451" t="s">
        <v>46</v>
      </c>
      <c r="F1160" s="457">
        <f>LOOKUP(C1160,'Basic Rate'!$B$8:$B$328,'Basic Rate'!$F$8:$F$328)</f>
        <v>870</v>
      </c>
      <c r="G1160" s="457">
        <f t="shared" si="79"/>
        <v>1087.5</v>
      </c>
      <c r="H1160" s="457"/>
    </row>
    <row r="1161" spans="1:8" ht="12.75" customHeight="1">
      <c r="B1161" s="864" t="s">
        <v>63</v>
      </c>
      <c r="C1161" s="484" t="s">
        <v>1492</v>
      </c>
      <c r="D1161" s="488">
        <v>12</v>
      </c>
      <c r="E1161" s="451" t="s">
        <v>50</v>
      </c>
      <c r="F1161" s="457">
        <f>'Basic Rate'!D43</f>
        <v>754.99462943071967</v>
      </c>
      <c r="G1161" s="457">
        <f t="shared" si="79"/>
        <v>9059.93</v>
      </c>
      <c r="H1161" s="457"/>
    </row>
    <row r="1162" spans="1:8" ht="12.75" customHeight="1">
      <c r="B1162" s="868"/>
      <c r="C1162" s="484" t="s">
        <v>83</v>
      </c>
      <c r="D1162" s="488">
        <v>30</v>
      </c>
      <c r="E1162" s="451" t="s">
        <v>46</v>
      </c>
      <c r="F1162" s="457">
        <f>'Basic Rate'!D107</f>
        <v>17.375</v>
      </c>
      <c r="G1162" s="457">
        <f t="shared" si="79"/>
        <v>521.25</v>
      </c>
      <c r="H1162" s="457"/>
    </row>
    <row r="1163" spans="1:8" ht="12.75" customHeight="1">
      <c r="B1163" s="868"/>
      <c r="C1163" s="484" t="s">
        <v>352</v>
      </c>
      <c r="D1163" s="488">
        <v>25</v>
      </c>
      <c r="E1163" s="451" t="s">
        <v>46</v>
      </c>
      <c r="F1163" s="457">
        <f>'Basic Rate'!$F$143</f>
        <v>13.9</v>
      </c>
      <c r="G1163" s="457">
        <f t="shared" si="79"/>
        <v>347.5</v>
      </c>
      <c r="H1163" s="457"/>
    </row>
    <row r="1164" spans="1:8">
      <c r="B1164" s="865"/>
      <c r="C1164" s="484" t="s">
        <v>728</v>
      </c>
      <c r="D1164" s="488">
        <v>55</v>
      </c>
      <c r="E1164" s="451" t="s">
        <v>46</v>
      </c>
      <c r="F1164" s="457">
        <f>LOOKUP(C1164,'Basic Rate'!$B$8:$B$328,'Basic Rate'!$F$8:$F$328)</f>
        <v>0.63</v>
      </c>
      <c r="G1164" s="457">
        <f t="shared" si="79"/>
        <v>34.65</v>
      </c>
      <c r="H1164" s="457"/>
    </row>
    <row r="1165" spans="1:8">
      <c r="B1165" s="879" t="s">
        <v>158</v>
      </c>
      <c r="C1165" s="880"/>
      <c r="D1165" s="858" t="s">
        <v>61</v>
      </c>
      <c r="E1165" s="859"/>
      <c r="F1165" s="860"/>
      <c r="G1165" s="457"/>
      <c r="H1165" s="457"/>
    </row>
    <row r="1166" spans="1:8">
      <c r="B1166" s="881"/>
      <c r="C1166" s="882"/>
      <c r="D1166" s="861" t="s">
        <v>573</v>
      </c>
      <c r="E1166" s="862"/>
      <c r="F1166" s="863"/>
      <c r="G1166" s="457">
        <f>15%*G1165</f>
        <v>0</v>
      </c>
      <c r="H1166" s="457"/>
    </row>
    <row r="1167" spans="1:8">
      <c r="B1167" s="883"/>
      <c r="C1167" s="884"/>
      <c r="D1167" s="858" t="s">
        <v>47</v>
      </c>
      <c r="E1167" s="859"/>
      <c r="F1167" s="860"/>
      <c r="G1167" s="457">
        <f>SUM(G1165:G1166)</f>
        <v>0</v>
      </c>
      <c r="H1167" s="457"/>
    </row>
    <row r="1168" spans="1:8">
      <c r="B1168" s="458"/>
      <c r="C1168" s="458"/>
      <c r="F1168" s="459"/>
      <c r="G1168" s="460"/>
      <c r="H1168" s="460"/>
    </row>
    <row r="1169" spans="1:8">
      <c r="B1169" s="458"/>
      <c r="C1169" s="458"/>
      <c r="F1169" s="459"/>
      <c r="G1169" s="460"/>
      <c r="H1169" s="460"/>
    </row>
    <row r="1170" spans="1:8" ht="36.75" customHeight="1">
      <c r="A1170" s="445">
        <v>6.16</v>
      </c>
      <c r="B1170" s="446" t="s">
        <v>354</v>
      </c>
      <c r="C1170" s="888" t="s">
        <v>1493</v>
      </c>
      <c r="D1170" s="889"/>
      <c r="E1170" s="890"/>
      <c r="F1170" s="447" t="s">
        <v>113</v>
      </c>
      <c r="G1170" s="448">
        <f>TRUNC(G1178/10,2)</f>
        <v>0</v>
      </c>
      <c r="H1170" s="448">
        <f>TRUNC(G1180/10,2)</f>
        <v>0</v>
      </c>
    </row>
    <row r="1171" spans="1:8">
      <c r="B1171" s="450" t="s">
        <v>80</v>
      </c>
      <c r="C1171" s="451" t="s">
        <v>81</v>
      </c>
      <c r="D1171" s="451" t="s">
        <v>44</v>
      </c>
      <c r="E1171" s="451" t="s">
        <v>45</v>
      </c>
      <c r="F1171" s="452" t="s">
        <v>58</v>
      </c>
      <c r="G1171" s="452" t="s">
        <v>59</v>
      </c>
      <c r="H1171" s="452" t="s">
        <v>52</v>
      </c>
    </row>
    <row r="1172" spans="1:8">
      <c r="B1172" s="887" t="s">
        <v>60</v>
      </c>
      <c r="C1172" s="484" t="s">
        <v>69</v>
      </c>
      <c r="D1172" s="488">
        <v>1.75</v>
      </c>
      <c r="E1172" s="451" t="s">
        <v>46</v>
      </c>
      <c r="F1172" s="457">
        <f>F1133</f>
        <v>1200</v>
      </c>
      <c r="G1172" s="457">
        <f t="shared" ref="G1172:G1177" si="80">TRUNC(D1172*F1172,2)</f>
        <v>2100</v>
      </c>
      <c r="H1172" s="457"/>
    </row>
    <row r="1173" spans="1:8" ht="12.75" customHeight="1">
      <c r="B1173" s="887"/>
      <c r="C1173" s="484" t="s">
        <v>43</v>
      </c>
      <c r="D1173" s="488">
        <v>2</v>
      </c>
      <c r="E1173" s="451" t="s">
        <v>46</v>
      </c>
      <c r="F1173" s="457">
        <f>F1134</f>
        <v>870</v>
      </c>
      <c r="G1173" s="457">
        <f t="shared" si="80"/>
        <v>1740</v>
      </c>
      <c r="H1173" s="457"/>
    </row>
    <row r="1174" spans="1:8" ht="12.75" customHeight="1">
      <c r="B1174" s="864" t="s">
        <v>63</v>
      </c>
      <c r="C1174" s="585" t="s">
        <v>608</v>
      </c>
      <c r="D1174" s="488">
        <v>13.5</v>
      </c>
      <c r="E1174" s="451" t="s">
        <v>355</v>
      </c>
      <c r="F1174" s="589">
        <f>'Basic Rate'!$F$78</f>
        <v>0</v>
      </c>
      <c r="G1174" s="589">
        <f t="shared" si="80"/>
        <v>0</v>
      </c>
      <c r="H1174" s="457"/>
    </row>
    <row r="1175" spans="1:8">
      <c r="B1175" s="868"/>
      <c r="C1175" s="484" t="s">
        <v>356</v>
      </c>
      <c r="D1175" s="488">
        <v>32</v>
      </c>
      <c r="E1175" s="451" t="s">
        <v>46</v>
      </c>
      <c r="F1175" s="457">
        <f>'Basic Rate'!F130</f>
        <v>130</v>
      </c>
      <c r="G1175" s="457">
        <f t="shared" si="80"/>
        <v>4160</v>
      </c>
      <c r="H1175" s="457"/>
    </row>
    <row r="1176" spans="1:8" ht="12.75" customHeight="1">
      <c r="B1176" s="868"/>
      <c r="C1176" s="484" t="s">
        <v>357</v>
      </c>
      <c r="D1176" s="488">
        <v>48</v>
      </c>
      <c r="E1176" s="451" t="s">
        <v>46</v>
      </c>
      <c r="F1176" s="457">
        <f>'Basic Rate'!$F$143</f>
        <v>13.9</v>
      </c>
      <c r="G1176" s="457">
        <f t="shared" si="80"/>
        <v>667.2</v>
      </c>
      <c r="H1176" s="457"/>
    </row>
    <row r="1177" spans="1:8">
      <c r="B1177" s="865"/>
      <c r="C1177" s="484" t="s">
        <v>728</v>
      </c>
      <c r="D1177" s="488">
        <v>48</v>
      </c>
      <c r="E1177" s="451" t="s">
        <v>46</v>
      </c>
      <c r="F1177" s="457">
        <f>F1151</f>
        <v>0.63</v>
      </c>
      <c r="G1177" s="457">
        <f t="shared" si="80"/>
        <v>30.24</v>
      </c>
      <c r="H1177" s="457"/>
    </row>
    <row r="1178" spans="1:8">
      <c r="B1178" s="855" t="s">
        <v>158</v>
      </c>
      <c r="C1178" s="855"/>
      <c r="D1178" s="856" t="s">
        <v>61</v>
      </c>
      <c r="E1178" s="856"/>
      <c r="F1178" s="856"/>
      <c r="G1178" s="589"/>
      <c r="H1178" s="457"/>
    </row>
    <row r="1179" spans="1:8">
      <c r="B1179" s="855"/>
      <c r="C1179" s="855"/>
      <c r="D1179" s="857" t="s">
        <v>573</v>
      </c>
      <c r="E1179" s="857"/>
      <c r="F1179" s="857"/>
      <c r="G1179" s="457">
        <f>15%*G1178</f>
        <v>0</v>
      </c>
      <c r="H1179" s="457"/>
    </row>
    <row r="1180" spans="1:8">
      <c r="B1180" s="855"/>
      <c r="C1180" s="855"/>
      <c r="D1180" s="856" t="s">
        <v>47</v>
      </c>
      <c r="E1180" s="856"/>
      <c r="F1180" s="856"/>
      <c r="G1180" s="457">
        <f>SUM(G1178:G1179)</f>
        <v>0</v>
      </c>
      <c r="H1180" s="457"/>
    </row>
    <row r="1181" spans="1:8">
      <c r="B1181" s="458"/>
      <c r="C1181" s="458"/>
      <c r="F1181" s="459"/>
      <c r="G1181" s="460"/>
      <c r="H1181" s="460"/>
    </row>
    <row r="1182" spans="1:8">
      <c r="B1182" s="458"/>
      <c r="C1182" s="458"/>
      <c r="F1182" s="459"/>
      <c r="G1182" s="460"/>
      <c r="H1182" s="460"/>
    </row>
    <row r="1183" spans="1:8" ht="38.25" customHeight="1">
      <c r="A1183" s="445">
        <v>6.17</v>
      </c>
      <c r="B1183" s="446" t="s">
        <v>354</v>
      </c>
      <c r="C1183" s="888" t="s">
        <v>1494</v>
      </c>
      <c r="D1183" s="889"/>
      <c r="E1183" s="890"/>
      <c r="F1183" s="447" t="s">
        <v>113</v>
      </c>
      <c r="G1183" s="448">
        <f>TRUNC(G1191/10,2)</f>
        <v>0</v>
      </c>
      <c r="H1183" s="448">
        <f>TRUNC(G1193/10,2)</f>
        <v>0</v>
      </c>
    </row>
    <row r="1184" spans="1:8">
      <c r="B1184" s="450" t="s">
        <v>80</v>
      </c>
      <c r="C1184" s="451" t="s">
        <v>81</v>
      </c>
      <c r="D1184" s="451" t="s">
        <v>44</v>
      </c>
      <c r="E1184" s="451" t="s">
        <v>45</v>
      </c>
      <c r="F1184" s="452" t="s">
        <v>58</v>
      </c>
      <c r="G1184" s="452" t="s">
        <v>59</v>
      </c>
      <c r="H1184" s="452" t="s">
        <v>52</v>
      </c>
    </row>
    <row r="1185" spans="1:8">
      <c r="B1185" s="887" t="s">
        <v>60</v>
      </c>
      <c r="C1185" s="484" t="s">
        <v>69</v>
      </c>
      <c r="D1185" s="488">
        <v>1.75</v>
      </c>
      <c r="E1185" s="451" t="s">
        <v>46</v>
      </c>
      <c r="F1185" s="457">
        <f>F1172</f>
        <v>1200</v>
      </c>
      <c r="G1185" s="457">
        <f t="shared" ref="G1185:G1190" si="81">TRUNC(D1185*F1185,2)</f>
        <v>2100</v>
      </c>
      <c r="H1185" s="457"/>
    </row>
    <row r="1186" spans="1:8" ht="12.75" customHeight="1">
      <c r="B1186" s="887"/>
      <c r="C1186" s="484" t="s">
        <v>43</v>
      </c>
      <c r="D1186" s="488">
        <v>2</v>
      </c>
      <c r="E1186" s="451" t="s">
        <v>46</v>
      </c>
      <c r="F1186" s="457">
        <f>F1173</f>
        <v>870</v>
      </c>
      <c r="G1186" s="457">
        <f t="shared" si="81"/>
        <v>1740</v>
      </c>
      <c r="H1186" s="457"/>
    </row>
    <row r="1187" spans="1:8" ht="12.75" customHeight="1">
      <c r="B1187" s="864" t="s">
        <v>63</v>
      </c>
      <c r="C1187" s="585" t="s">
        <v>609</v>
      </c>
      <c r="D1187" s="488">
        <v>13.5</v>
      </c>
      <c r="E1187" s="451" t="s">
        <v>355</v>
      </c>
      <c r="F1187" s="589">
        <f>'Basic Rate'!$F$79</f>
        <v>0</v>
      </c>
      <c r="G1187" s="457">
        <f t="shared" si="81"/>
        <v>0</v>
      </c>
      <c r="H1187" s="457"/>
    </row>
    <row r="1188" spans="1:8">
      <c r="B1188" s="868"/>
      <c r="C1188" s="484" t="s">
        <v>356</v>
      </c>
      <c r="D1188" s="488">
        <v>32</v>
      </c>
      <c r="E1188" s="451" t="s">
        <v>46</v>
      </c>
      <c r="F1188" s="457">
        <f>'Basic Rate'!F130</f>
        <v>130</v>
      </c>
      <c r="G1188" s="457">
        <f t="shared" si="81"/>
        <v>4160</v>
      </c>
      <c r="H1188" s="457"/>
    </row>
    <row r="1189" spans="1:8" ht="12.75" customHeight="1">
      <c r="B1189" s="868"/>
      <c r="C1189" s="484" t="s">
        <v>357</v>
      </c>
      <c r="D1189" s="488">
        <v>48</v>
      </c>
      <c r="E1189" s="451" t="s">
        <v>46</v>
      </c>
      <c r="F1189" s="457">
        <f>'Basic Rate'!$F$143</f>
        <v>13.9</v>
      </c>
      <c r="G1189" s="457">
        <f t="shared" si="81"/>
        <v>667.2</v>
      </c>
      <c r="H1189" s="457"/>
    </row>
    <row r="1190" spans="1:8">
      <c r="B1190" s="865"/>
      <c r="C1190" s="484" t="s">
        <v>728</v>
      </c>
      <c r="D1190" s="488">
        <v>48</v>
      </c>
      <c r="E1190" s="451" t="s">
        <v>46</v>
      </c>
      <c r="F1190" s="457">
        <f>F1177</f>
        <v>0.63</v>
      </c>
      <c r="G1190" s="457">
        <f t="shared" si="81"/>
        <v>30.24</v>
      </c>
      <c r="H1190" s="457"/>
    </row>
    <row r="1191" spans="1:8">
      <c r="B1191" s="855" t="s">
        <v>158</v>
      </c>
      <c r="C1191" s="855"/>
      <c r="D1191" s="856" t="s">
        <v>61</v>
      </c>
      <c r="E1191" s="856"/>
      <c r="F1191" s="856"/>
      <c r="G1191" s="589"/>
      <c r="H1191" s="457"/>
    </row>
    <row r="1192" spans="1:8">
      <c r="B1192" s="855"/>
      <c r="C1192" s="855"/>
      <c r="D1192" s="857" t="s">
        <v>573</v>
      </c>
      <c r="E1192" s="857"/>
      <c r="F1192" s="857"/>
      <c r="G1192" s="457">
        <f>15%*G1191</f>
        <v>0</v>
      </c>
      <c r="H1192" s="457"/>
    </row>
    <row r="1193" spans="1:8">
      <c r="B1193" s="855"/>
      <c r="C1193" s="855"/>
      <c r="D1193" s="856" t="s">
        <v>47</v>
      </c>
      <c r="E1193" s="856"/>
      <c r="F1193" s="856"/>
      <c r="G1193" s="457">
        <f>SUM(G1191:G1192)</f>
        <v>0</v>
      </c>
      <c r="H1193" s="457"/>
    </row>
    <row r="1194" spans="1:8">
      <c r="B1194" s="458"/>
      <c r="C1194" s="458"/>
      <c r="F1194" s="459"/>
      <c r="G1194" s="460"/>
      <c r="H1194" s="460"/>
    </row>
    <row r="1195" spans="1:8">
      <c r="C1195" s="444"/>
      <c r="F1195" s="462"/>
      <c r="G1195" s="460"/>
      <c r="H1195" s="460"/>
    </row>
    <row r="1196" spans="1:8" ht="13.8">
      <c r="A1196" s="507">
        <v>6.18</v>
      </c>
      <c r="B1196" s="446" t="s">
        <v>358</v>
      </c>
      <c r="C1196" s="876" t="s">
        <v>6</v>
      </c>
      <c r="D1196" s="877"/>
      <c r="E1196" s="877"/>
      <c r="F1196" s="447" t="s">
        <v>113</v>
      </c>
      <c r="G1196" s="448">
        <f>TRUNC(G1201/10,2)</f>
        <v>220.58</v>
      </c>
      <c r="H1196" s="448">
        <f>TRUNC(G1203/10,2)</f>
        <v>253.67</v>
      </c>
    </row>
    <row r="1197" spans="1:8">
      <c r="B1197" s="450" t="s">
        <v>80</v>
      </c>
      <c r="C1197" s="451" t="s">
        <v>81</v>
      </c>
      <c r="D1197" s="451" t="s">
        <v>44</v>
      </c>
      <c r="E1197" s="451" t="s">
        <v>45</v>
      </c>
      <c r="F1197" s="452" t="s">
        <v>58</v>
      </c>
      <c r="G1197" s="452" t="s">
        <v>59</v>
      </c>
      <c r="H1197" s="452" t="s">
        <v>52</v>
      </c>
    </row>
    <row r="1198" spans="1:8">
      <c r="B1198" s="887" t="s">
        <v>60</v>
      </c>
      <c r="C1198" s="484" t="s">
        <v>69</v>
      </c>
      <c r="D1198" s="488">
        <v>0.5</v>
      </c>
      <c r="E1198" s="451" t="s">
        <v>46</v>
      </c>
      <c r="F1198" s="457">
        <f>F1185</f>
        <v>1200</v>
      </c>
      <c r="G1198" s="457">
        <f>TRUNC(D1198*F1198,2)</f>
        <v>600</v>
      </c>
      <c r="H1198" s="457"/>
    </row>
    <row r="1199" spans="1:8">
      <c r="B1199" s="887"/>
      <c r="C1199" s="484" t="s">
        <v>43</v>
      </c>
      <c r="D1199" s="488">
        <v>1.5</v>
      </c>
      <c r="E1199" s="451" t="s">
        <v>46</v>
      </c>
      <c r="F1199" s="457">
        <f>F1186</f>
        <v>870</v>
      </c>
      <c r="G1199" s="457">
        <f>TRUNC(D1199*F1199,2)</f>
        <v>1305</v>
      </c>
      <c r="H1199" s="457"/>
    </row>
    <row r="1200" spans="1:8">
      <c r="B1200" s="450" t="s">
        <v>63</v>
      </c>
      <c r="C1200" s="484" t="s">
        <v>244</v>
      </c>
      <c r="D1200" s="488">
        <v>125</v>
      </c>
      <c r="E1200" s="451" t="s">
        <v>46</v>
      </c>
      <c r="F1200" s="457">
        <f>'Basic Rate'!$F$57</f>
        <v>2.407</v>
      </c>
      <c r="G1200" s="457">
        <f>TRUNC(D1200*F1200,2)</f>
        <v>300.87</v>
      </c>
      <c r="H1200" s="457"/>
    </row>
    <row r="1201" spans="1:8">
      <c r="B1201" s="855" t="s">
        <v>158</v>
      </c>
      <c r="C1201" s="855"/>
      <c r="D1201" s="856" t="s">
        <v>61</v>
      </c>
      <c r="E1201" s="856"/>
      <c r="F1201" s="856"/>
      <c r="G1201" s="457">
        <f>SUM(G1198:G1200)</f>
        <v>2205.87</v>
      </c>
      <c r="H1201" s="457"/>
    </row>
    <row r="1202" spans="1:8">
      <c r="B1202" s="855"/>
      <c r="C1202" s="855"/>
      <c r="D1202" s="857" t="s">
        <v>573</v>
      </c>
      <c r="E1202" s="857"/>
      <c r="F1202" s="857"/>
      <c r="G1202" s="457">
        <f>15%*G1201</f>
        <v>330.88049999999998</v>
      </c>
      <c r="H1202" s="457"/>
    </row>
    <row r="1203" spans="1:8">
      <c r="B1203" s="855"/>
      <c r="C1203" s="855"/>
      <c r="D1203" s="856" t="s">
        <v>47</v>
      </c>
      <c r="E1203" s="856"/>
      <c r="F1203" s="856"/>
      <c r="G1203" s="457">
        <f>SUM(G1201:G1202)</f>
        <v>2536.7505000000001</v>
      </c>
      <c r="H1203" s="457"/>
    </row>
    <row r="1204" spans="1:8">
      <c r="C1204" s="444"/>
      <c r="F1204" s="462"/>
      <c r="G1204" s="460"/>
      <c r="H1204" s="460"/>
    </row>
    <row r="1205" spans="1:8" ht="13.8">
      <c r="A1205" s="445">
        <v>6.19</v>
      </c>
      <c r="B1205" s="446" t="s">
        <v>359</v>
      </c>
      <c r="C1205" s="876" t="s">
        <v>1495</v>
      </c>
      <c r="D1205" s="877"/>
      <c r="E1205" s="877"/>
      <c r="F1205" s="447" t="s">
        <v>113</v>
      </c>
      <c r="G1205" s="448">
        <f>TRUNC(G1210/10,2)</f>
        <v>142.01</v>
      </c>
      <c r="H1205" s="448">
        <f>TRUNC(G1212/10,2)</f>
        <v>163.31</v>
      </c>
    </row>
    <row r="1206" spans="1:8">
      <c r="B1206" s="450" t="s">
        <v>80</v>
      </c>
      <c r="C1206" s="451" t="s">
        <v>81</v>
      </c>
      <c r="D1206" s="451" t="s">
        <v>44</v>
      </c>
      <c r="E1206" s="451" t="s">
        <v>45</v>
      </c>
      <c r="F1206" s="452" t="s">
        <v>58</v>
      </c>
      <c r="G1206" s="452" t="s">
        <v>59</v>
      </c>
      <c r="H1206" s="452" t="s">
        <v>52</v>
      </c>
    </row>
    <row r="1207" spans="1:8">
      <c r="B1207" s="887" t="s">
        <v>60</v>
      </c>
      <c r="C1207" s="484" t="s">
        <v>69</v>
      </c>
      <c r="D1207" s="488">
        <v>0.5</v>
      </c>
      <c r="E1207" s="451" t="s">
        <v>46</v>
      </c>
      <c r="F1207" s="457">
        <f>F1198</f>
        <v>1200</v>
      </c>
      <c r="G1207" s="457">
        <f>TRUNC(D1207*F1207,2)</f>
        <v>600</v>
      </c>
      <c r="H1207" s="457"/>
    </row>
    <row r="1208" spans="1:8" ht="12.75" customHeight="1">
      <c r="B1208" s="887"/>
      <c r="C1208" s="484" t="s">
        <v>43</v>
      </c>
      <c r="D1208" s="488">
        <v>0.5</v>
      </c>
      <c r="E1208" s="451" t="s">
        <v>46</v>
      </c>
      <c r="F1208" s="457">
        <f>F1199</f>
        <v>870</v>
      </c>
      <c r="G1208" s="457">
        <f>TRUNC(D1208*F1208,2)</f>
        <v>435</v>
      </c>
      <c r="H1208" s="457"/>
    </row>
    <row r="1209" spans="1:8">
      <c r="B1209" s="450" t="s">
        <v>63</v>
      </c>
      <c r="C1209" s="484" t="s">
        <v>245</v>
      </c>
      <c r="D1209" s="488">
        <v>80</v>
      </c>
      <c r="E1209" s="451" t="s">
        <v>46</v>
      </c>
      <c r="F1209" s="457">
        <f>'Basic Rate'!$F$58</f>
        <v>4.8140000000000001</v>
      </c>
      <c r="G1209" s="457">
        <f>TRUNC(D1209*F1209,2)</f>
        <v>385.12</v>
      </c>
      <c r="H1209" s="457"/>
    </row>
    <row r="1210" spans="1:8">
      <c r="B1210" s="855" t="s">
        <v>158</v>
      </c>
      <c r="C1210" s="855"/>
      <c r="D1210" s="856" t="s">
        <v>61</v>
      </c>
      <c r="E1210" s="856"/>
      <c r="F1210" s="856"/>
      <c r="G1210" s="457">
        <f>SUM(G1207:G1209)</f>
        <v>1420.12</v>
      </c>
      <c r="H1210" s="457"/>
    </row>
    <row r="1211" spans="1:8">
      <c r="B1211" s="855"/>
      <c r="C1211" s="855"/>
      <c r="D1211" s="857" t="s">
        <v>573</v>
      </c>
      <c r="E1211" s="857"/>
      <c r="F1211" s="857"/>
      <c r="G1211" s="457">
        <f>15%*G1210</f>
        <v>213.01799999999997</v>
      </c>
      <c r="H1211" s="457"/>
    </row>
    <row r="1212" spans="1:8">
      <c r="B1212" s="855"/>
      <c r="C1212" s="855"/>
      <c r="D1212" s="856" t="s">
        <v>47</v>
      </c>
      <c r="E1212" s="856"/>
      <c r="F1212" s="856"/>
      <c r="G1212" s="457">
        <f>SUM(G1210:G1211)</f>
        <v>1633.1379999999999</v>
      </c>
      <c r="H1212" s="457"/>
    </row>
    <row r="1213" spans="1:8">
      <c r="C1213" s="444"/>
      <c r="F1213" s="462"/>
      <c r="G1213" s="460"/>
      <c r="H1213" s="460"/>
    </row>
    <row r="1214" spans="1:8">
      <c r="C1214" s="444"/>
      <c r="F1214" s="462"/>
      <c r="G1214" s="460"/>
      <c r="H1214" s="460"/>
    </row>
    <row r="1215" spans="1:8" ht="13.8">
      <c r="A1215" s="507">
        <v>6.2</v>
      </c>
      <c r="B1215" s="446" t="s">
        <v>360</v>
      </c>
      <c r="C1215" s="888" t="s">
        <v>7</v>
      </c>
      <c r="D1215" s="889"/>
      <c r="E1215" s="890"/>
      <c r="F1215" s="447" t="s">
        <v>50</v>
      </c>
      <c r="G1215" s="448">
        <f>TRUNC(G1222/10,2)</f>
        <v>1612.15</v>
      </c>
      <c r="H1215" s="448">
        <f>TRUNC(G1224/10,2)</f>
        <v>1853.97</v>
      </c>
    </row>
    <row r="1216" spans="1:8">
      <c r="B1216" s="450" t="s">
        <v>80</v>
      </c>
      <c r="C1216" s="451" t="s">
        <v>81</v>
      </c>
      <c r="D1216" s="451" t="s">
        <v>44</v>
      </c>
      <c r="E1216" s="451" t="s">
        <v>45</v>
      </c>
      <c r="F1216" s="452" t="s">
        <v>58</v>
      </c>
      <c r="G1216" s="452" t="s">
        <v>59</v>
      </c>
      <c r="H1216" s="452" t="s">
        <v>52</v>
      </c>
    </row>
    <row r="1217" spans="1:8">
      <c r="B1217" s="887" t="s">
        <v>60</v>
      </c>
      <c r="C1217" s="484" t="s">
        <v>69</v>
      </c>
      <c r="D1217" s="488">
        <v>1.5</v>
      </c>
      <c r="E1217" s="451" t="s">
        <v>46</v>
      </c>
      <c r="F1217" s="457">
        <f>F1207</f>
        <v>1200</v>
      </c>
      <c r="G1217" s="457">
        <f>TRUNC(D1217*F1217,2)</f>
        <v>1800</v>
      </c>
      <c r="H1217" s="457"/>
    </row>
    <row r="1218" spans="1:8" ht="12.75" customHeight="1">
      <c r="B1218" s="887"/>
      <c r="C1218" s="484" t="s">
        <v>43</v>
      </c>
      <c r="D1218" s="488">
        <v>12</v>
      </c>
      <c r="E1218" s="451" t="s">
        <v>46</v>
      </c>
      <c r="F1218" s="457">
        <f>F1208</f>
        <v>870</v>
      </c>
      <c r="G1218" s="457">
        <f>TRUNC(D1218*F1218,2)</f>
        <v>10440</v>
      </c>
      <c r="H1218" s="457"/>
    </row>
    <row r="1219" spans="1:8" ht="12.75" customHeight="1">
      <c r="B1219" s="887" t="s">
        <v>63</v>
      </c>
      <c r="C1219" s="484" t="s">
        <v>247</v>
      </c>
      <c r="D1219" s="488">
        <v>1.25</v>
      </c>
      <c r="E1219" s="451" t="s">
        <v>68</v>
      </c>
      <c r="F1219" s="457">
        <f>'Basic Rate'!D32</f>
        <v>2500</v>
      </c>
      <c r="G1219" s="457">
        <f>TRUNC(D1219*F1219,2)</f>
        <v>3125</v>
      </c>
      <c r="H1219" s="457"/>
    </row>
    <row r="1220" spans="1:8" ht="12.75" customHeight="1">
      <c r="B1220" s="887"/>
      <c r="C1220" s="484" t="s">
        <v>114</v>
      </c>
      <c r="D1220" s="488">
        <v>1.5</v>
      </c>
      <c r="E1220" s="451" t="s">
        <v>74</v>
      </c>
      <c r="F1220" s="457">
        <f>'Basic Rate'!F221</f>
        <v>35</v>
      </c>
      <c r="G1220" s="457">
        <f>TRUNC(D1220*F1220,2)</f>
        <v>52.5</v>
      </c>
      <c r="H1220" s="457"/>
    </row>
    <row r="1221" spans="1:8" ht="12.75" customHeight="1">
      <c r="B1221" s="887"/>
      <c r="C1221" s="484" t="s">
        <v>194</v>
      </c>
      <c r="D1221" s="488">
        <v>0.4</v>
      </c>
      <c r="E1221" s="451" t="s">
        <v>68</v>
      </c>
      <c r="F1221" s="457">
        <f>'Basic Rate'!F195</f>
        <v>1760</v>
      </c>
      <c r="G1221" s="457">
        <f>TRUNC(D1221*F1221,2)</f>
        <v>704</v>
      </c>
      <c r="H1221" s="457"/>
    </row>
    <row r="1222" spans="1:8">
      <c r="B1222" s="855" t="s">
        <v>246</v>
      </c>
      <c r="C1222" s="855"/>
      <c r="D1222" s="856" t="s">
        <v>61</v>
      </c>
      <c r="E1222" s="856"/>
      <c r="F1222" s="856"/>
      <c r="G1222" s="457">
        <f>SUM(G1217:G1221)</f>
        <v>16121.5</v>
      </c>
      <c r="H1222" s="457"/>
    </row>
    <row r="1223" spans="1:8">
      <c r="B1223" s="855"/>
      <c r="C1223" s="855"/>
      <c r="D1223" s="857" t="s">
        <v>573</v>
      </c>
      <c r="E1223" s="857"/>
      <c r="F1223" s="857"/>
      <c r="G1223" s="457">
        <f>15%*G1222</f>
        <v>2418.2249999999999</v>
      </c>
      <c r="H1223" s="457"/>
    </row>
    <row r="1224" spans="1:8">
      <c r="B1224" s="855"/>
      <c r="C1224" s="855"/>
      <c r="D1224" s="856" t="s">
        <v>47</v>
      </c>
      <c r="E1224" s="856"/>
      <c r="F1224" s="856"/>
      <c r="G1224" s="457">
        <f>SUM(G1222:G1223)</f>
        <v>18539.724999999999</v>
      </c>
      <c r="H1224" s="457"/>
    </row>
    <row r="1225" spans="1:8">
      <c r="B1225" s="458"/>
      <c r="C1225" s="458"/>
      <c r="F1225" s="462"/>
      <c r="G1225" s="460"/>
      <c r="H1225" s="460"/>
    </row>
    <row r="1226" spans="1:8" ht="13.8">
      <c r="A1226" s="507">
        <v>6.21</v>
      </c>
      <c r="B1226" s="446" t="s">
        <v>364</v>
      </c>
      <c r="C1226" s="888" t="s">
        <v>361</v>
      </c>
      <c r="D1226" s="889"/>
      <c r="E1226" s="890"/>
      <c r="F1226" s="447" t="s">
        <v>50</v>
      </c>
      <c r="G1226" s="448">
        <f>TRUNC(G1234/10,2)</f>
        <v>2507.4499999999998</v>
      </c>
      <c r="H1226" s="448">
        <f>TRUNC(G1236/10,2)</f>
        <v>2883.56</v>
      </c>
    </row>
    <row r="1227" spans="1:8">
      <c r="B1227" s="450" t="s">
        <v>80</v>
      </c>
      <c r="C1227" s="451" t="s">
        <v>81</v>
      </c>
      <c r="D1227" s="451" t="s">
        <v>44</v>
      </c>
      <c r="E1227" s="451" t="s">
        <v>45</v>
      </c>
      <c r="F1227" s="452" t="s">
        <v>58</v>
      </c>
      <c r="G1227" s="452" t="s">
        <v>59</v>
      </c>
      <c r="H1227" s="452" t="s">
        <v>52</v>
      </c>
    </row>
    <row r="1228" spans="1:8">
      <c r="B1228" s="887" t="s">
        <v>60</v>
      </c>
      <c r="C1228" s="484" t="s">
        <v>69</v>
      </c>
      <c r="D1228" s="488">
        <v>1.5</v>
      </c>
      <c r="E1228" s="451" t="s">
        <v>46</v>
      </c>
      <c r="F1228" s="457">
        <f>F1217</f>
        <v>1200</v>
      </c>
      <c r="G1228" s="457">
        <f t="shared" ref="G1228:G1233" si="82">TRUNC(D1228*F1228,2)</f>
        <v>1800</v>
      </c>
      <c r="H1228" s="457"/>
    </row>
    <row r="1229" spans="1:8" ht="12.75" customHeight="1">
      <c r="B1229" s="887"/>
      <c r="C1229" s="484" t="s">
        <v>43</v>
      </c>
      <c r="D1229" s="488">
        <v>1.5</v>
      </c>
      <c r="E1229" s="451" t="s">
        <v>46</v>
      </c>
      <c r="F1229" s="457">
        <f>F1218</f>
        <v>870</v>
      </c>
      <c r="G1229" s="457">
        <f t="shared" si="82"/>
        <v>1305</v>
      </c>
      <c r="H1229" s="457"/>
    </row>
    <row r="1230" spans="1:8" ht="12.75" customHeight="1">
      <c r="B1230" s="887" t="s">
        <v>63</v>
      </c>
      <c r="C1230" s="484" t="s">
        <v>248</v>
      </c>
      <c r="D1230" s="488">
        <v>83</v>
      </c>
      <c r="E1230" s="451" t="s">
        <v>362</v>
      </c>
      <c r="F1230" s="457">
        <f>'Basic Rate'!F108</f>
        <v>144</v>
      </c>
      <c r="G1230" s="457">
        <f t="shared" si="82"/>
        <v>11952</v>
      </c>
      <c r="H1230" s="457"/>
    </row>
    <row r="1231" spans="1:8" ht="12.75" customHeight="1">
      <c r="B1231" s="887"/>
      <c r="C1231" s="484" t="s">
        <v>249</v>
      </c>
      <c r="D1231" s="488">
        <v>30</v>
      </c>
      <c r="E1231" s="451" t="s">
        <v>46</v>
      </c>
      <c r="F1231" s="457">
        <f>'Basic Rate'!F24</f>
        <v>263</v>
      </c>
      <c r="G1231" s="457">
        <f t="shared" si="82"/>
        <v>7890</v>
      </c>
      <c r="H1231" s="457"/>
    </row>
    <row r="1232" spans="1:8" ht="12.75" customHeight="1">
      <c r="B1232" s="887"/>
      <c r="C1232" s="484" t="s">
        <v>250</v>
      </c>
      <c r="D1232" s="488">
        <v>3.5</v>
      </c>
      <c r="E1232" s="451" t="s">
        <v>74</v>
      </c>
      <c r="F1232" s="457">
        <f>'Basic Rate'!$F$68</f>
        <v>121</v>
      </c>
      <c r="G1232" s="457">
        <f t="shared" si="82"/>
        <v>423.5</v>
      </c>
      <c r="H1232" s="457"/>
    </row>
    <row r="1233" spans="1:8" ht="12.75" customHeight="1">
      <c r="B1233" s="887"/>
      <c r="C1233" s="484" t="s">
        <v>251</v>
      </c>
      <c r="D1233" s="488">
        <v>12</v>
      </c>
      <c r="E1233" s="451" t="s">
        <v>50</v>
      </c>
      <c r="F1233" s="457">
        <f>'Basic Rate'!$F$56</f>
        <v>142</v>
      </c>
      <c r="G1233" s="457">
        <f t="shared" si="82"/>
        <v>1704</v>
      </c>
      <c r="H1233" s="457"/>
    </row>
    <row r="1234" spans="1:8">
      <c r="B1234" s="855" t="s">
        <v>246</v>
      </c>
      <c r="C1234" s="855"/>
      <c r="D1234" s="856" t="s">
        <v>61</v>
      </c>
      <c r="E1234" s="856"/>
      <c r="F1234" s="856"/>
      <c r="G1234" s="457">
        <f>SUM(G1228:G1233)</f>
        <v>25074.5</v>
      </c>
      <c r="H1234" s="457"/>
    </row>
    <row r="1235" spans="1:8">
      <c r="B1235" s="855"/>
      <c r="C1235" s="855"/>
      <c r="D1235" s="857" t="s">
        <v>573</v>
      </c>
      <c r="E1235" s="857"/>
      <c r="F1235" s="857"/>
      <c r="G1235" s="457">
        <f>15%*G1234</f>
        <v>3761.1749999999997</v>
      </c>
      <c r="H1235" s="457"/>
    </row>
    <row r="1236" spans="1:8">
      <c r="B1236" s="855"/>
      <c r="C1236" s="855"/>
      <c r="D1236" s="856" t="s">
        <v>47</v>
      </c>
      <c r="E1236" s="856"/>
      <c r="F1236" s="856"/>
      <c r="G1236" s="457">
        <f>SUM(G1234:G1235)</f>
        <v>28835.674999999999</v>
      </c>
      <c r="H1236" s="457"/>
    </row>
    <row r="1237" spans="1:8">
      <c r="B1237" s="458"/>
      <c r="C1237" s="458"/>
      <c r="F1237" s="459"/>
      <c r="G1237" s="460"/>
      <c r="H1237" s="460"/>
    </row>
    <row r="1238" spans="1:8" ht="13.8">
      <c r="A1238" s="507">
        <v>6.22</v>
      </c>
      <c r="B1238" s="446" t="s">
        <v>365</v>
      </c>
      <c r="C1238" s="888" t="s">
        <v>363</v>
      </c>
      <c r="D1238" s="889"/>
      <c r="E1238" s="890"/>
      <c r="F1238" s="447" t="s">
        <v>50</v>
      </c>
      <c r="G1238" s="448">
        <f>TRUNC(G1246/10,2)</f>
        <v>3983.8</v>
      </c>
      <c r="H1238" s="448">
        <f>TRUNC(G1248/10,2)</f>
        <v>4581.37</v>
      </c>
    </row>
    <row r="1239" spans="1:8">
      <c r="B1239" s="450" t="s">
        <v>80</v>
      </c>
      <c r="C1239" s="451" t="s">
        <v>81</v>
      </c>
      <c r="D1239" s="451" t="s">
        <v>44</v>
      </c>
      <c r="E1239" s="451" t="s">
        <v>45</v>
      </c>
      <c r="F1239" s="452" t="s">
        <v>58</v>
      </c>
      <c r="G1239" s="452" t="s">
        <v>59</v>
      </c>
      <c r="H1239" s="452" t="s">
        <v>52</v>
      </c>
    </row>
    <row r="1240" spans="1:8">
      <c r="B1240" s="887" t="s">
        <v>60</v>
      </c>
      <c r="C1240" s="484" t="s">
        <v>69</v>
      </c>
      <c r="D1240" s="488">
        <v>1.5</v>
      </c>
      <c r="E1240" s="451" t="s">
        <v>46</v>
      </c>
      <c r="F1240" s="457">
        <f t="shared" ref="F1240:F1245" si="83">F1228</f>
        <v>1200</v>
      </c>
      <c r="G1240" s="457">
        <f t="shared" ref="G1240:G1245" si="84">TRUNC(D1240*F1240,2)</f>
        <v>1800</v>
      </c>
      <c r="H1240" s="457"/>
    </row>
    <row r="1241" spans="1:8" ht="12.75" customHeight="1">
      <c r="B1241" s="887"/>
      <c r="C1241" s="484" t="s">
        <v>43</v>
      </c>
      <c r="D1241" s="488">
        <v>1.5</v>
      </c>
      <c r="E1241" s="451" t="s">
        <v>46</v>
      </c>
      <c r="F1241" s="457">
        <f t="shared" si="83"/>
        <v>870</v>
      </c>
      <c r="G1241" s="457">
        <f t="shared" si="84"/>
        <v>1305</v>
      </c>
      <c r="H1241" s="457"/>
    </row>
    <row r="1242" spans="1:8" ht="12.75" customHeight="1">
      <c r="B1242" s="887" t="s">
        <v>63</v>
      </c>
      <c r="C1242" s="484" t="s">
        <v>248</v>
      </c>
      <c r="D1242" s="488">
        <v>166</v>
      </c>
      <c r="E1242" s="451" t="s">
        <v>362</v>
      </c>
      <c r="F1242" s="457">
        <f t="shared" si="83"/>
        <v>144</v>
      </c>
      <c r="G1242" s="457">
        <f t="shared" si="84"/>
        <v>23904</v>
      </c>
      <c r="H1242" s="457"/>
    </row>
    <row r="1243" spans="1:8" ht="12.75" customHeight="1">
      <c r="B1243" s="887"/>
      <c r="C1243" s="484" t="s">
        <v>249</v>
      </c>
      <c r="D1243" s="488">
        <v>40</v>
      </c>
      <c r="E1243" s="451" t="s">
        <v>46</v>
      </c>
      <c r="F1243" s="457">
        <f t="shared" si="83"/>
        <v>263</v>
      </c>
      <c r="G1243" s="457">
        <f t="shared" si="84"/>
        <v>10520</v>
      </c>
      <c r="H1243" s="457"/>
    </row>
    <row r="1244" spans="1:8" ht="12.75" customHeight="1">
      <c r="B1244" s="887"/>
      <c r="C1244" s="484" t="s">
        <v>250</v>
      </c>
      <c r="D1244" s="488">
        <v>5</v>
      </c>
      <c r="E1244" s="451" t="s">
        <v>74</v>
      </c>
      <c r="F1244" s="457">
        <f t="shared" si="83"/>
        <v>121</v>
      </c>
      <c r="G1244" s="457">
        <f t="shared" si="84"/>
        <v>605</v>
      </c>
      <c r="H1244" s="457"/>
    </row>
    <row r="1245" spans="1:8" ht="12.75" customHeight="1">
      <c r="B1245" s="887"/>
      <c r="C1245" s="484" t="s">
        <v>251</v>
      </c>
      <c r="D1245" s="488">
        <v>12</v>
      </c>
      <c r="E1245" s="451" t="s">
        <v>50</v>
      </c>
      <c r="F1245" s="457">
        <f t="shared" si="83"/>
        <v>142</v>
      </c>
      <c r="G1245" s="457">
        <f t="shared" si="84"/>
        <v>1704</v>
      </c>
      <c r="H1245" s="457"/>
    </row>
    <row r="1246" spans="1:8">
      <c r="B1246" s="855" t="s">
        <v>246</v>
      </c>
      <c r="C1246" s="855"/>
      <c r="D1246" s="856" t="s">
        <v>61</v>
      </c>
      <c r="E1246" s="856"/>
      <c r="F1246" s="856"/>
      <c r="G1246" s="457">
        <f>SUM(G1240:G1245)</f>
        <v>39838</v>
      </c>
      <c r="H1246" s="457"/>
    </row>
    <row r="1247" spans="1:8">
      <c r="B1247" s="855"/>
      <c r="C1247" s="855"/>
      <c r="D1247" s="857" t="s">
        <v>573</v>
      </c>
      <c r="E1247" s="857"/>
      <c r="F1247" s="857"/>
      <c r="G1247" s="457">
        <f>15%*G1246</f>
        <v>5975.7</v>
      </c>
      <c r="H1247" s="457"/>
    </row>
    <row r="1248" spans="1:8">
      <c r="B1248" s="855"/>
      <c r="C1248" s="855"/>
      <c r="D1248" s="856" t="s">
        <v>47</v>
      </c>
      <c r="E1248" s="856"/>
      <c r="F1248" s="856"/>
      <c r="G1248" s="457">
        <f>SUM(G1246:G1247)</f>
        <v>45813.7</v>
      </c>
      <c r="H1248" s="457"/>
    </row>
    <row r="1249" spans="1:8">
      <c r="B1249" s="458"/>
      <c r="C1249" s="458"/>
      <c r="F1249" s="462"/>
      <c r="G1249" s="460"/>
      <c r="H1249" s="460"/>
    </row>
    <row r="1250" spans="1:8" ht="13.8">
      <c r="A1250" s="445">
        <v>6.23</v>
      </c>
      <c r="B1250" s="446" t="s">
        <v>366</v>
      </c>
      <c r="C1250" s="888" t="s">
        <v>1496</v>
      </c>
      <c r="D1250" s="889"/>
      <c r="E1250" s="890"/>
      <c r="F1250" s="447" t="s">
        <v>50</v>
      </c>
      <c r="G1250" s="448">
        <f>TRUNC(G1258/10,2)</f>
        <v>2860.1</v>
      </c>
      <c r="H1250" s="448">
        <f>TRUNC(G1260/10,2)</f>
        <v>3289.11</v>
      </c>
    </row>
    <row r="1251" spans="1:8" ht="12.75" customHeight="1">
      <c r="B1251" s="450" t="s">
        <v>80</v>
      </c>
      <c r="C1251" s="451" t="s">
        <v>81</v>
      </c>
      <c r="D1251" s="451" t="s">
        <v>44</v>
      </c>
      <c r="E1251" s="451" t="s">
        <v>45</v>
      </c>
      <c r="F1251" s="452" t="s">
        <v>58</v>
      </c>
      <c r="G1251" s="452" t="s">
        <v>59</v>
      </c>
      <c r="H1251" s="452" t="s">
        <v>52</v>
      </c>
    </row>
    <row r="1252" spans="1:8" ht="12.75" customHeight="1">
      <c r="B1252" s="887" t="s">
        <v>60</v>
      </c>
      <c r="C1252" s="484" t="s">
        <v>69</v>
      </c>
      <c r="D1252" s="488">
        <v>1.1000000000000001</v>
      </c>
      <c r="E1252" s="451" t="s">
        <v>46</v>
      </c>
      <c r="F1252" s="457">
        <f>F1240</f>
        <v>1200</v>
      </c>
      <c r="G1252" s="457">
        <f t="shared" ref="G1252:G1257" si="85">TRUNC(D1252*F1252,2)</f>
        <v>1320</v>
      </c>
      <c r="H1252" s="457"/>
    </row>
    <row r="1253" spans="1:8" ht="12.75" customHeight="1">
      <c r="B1253" s="887"/>
      <c r="C1253" s="484" t="s">
        <v>43</v>
      </c>
      <c r="D1253" s="488">
        <v>1.25</v>
      </c>
      <c r="E1253" s="451" t="s">
        <v>46</v>
      </c>
      <c r="F1253" s="457">
        <f>F1241</f>
        <v>870</v>
      </c>
      <c r="G1253" s="457">
        <f t="shared" si="85"/>
        <v>1087.5</v>
      </c>
      <c r="H1253" s="457"/>
    </row>
    <row r="1254" spans="1:8" ht="12.75" customHeight="1">
      <c r="B1254" s="887" t="s">
        <v>63</v>
      </c>
      <c r="C1254" s="484" t="s">
        <v>1497</v>
      </c>
      <c r="D1254" s="488">
        <v>12</v>
      </c>
      <c r="E1254" s="451" t="s">
        <v>50</v>
      </c>
      <c r="F1254" s="457">
        <f>'Basic Rate'!$F$74</f>
        <v>2108.96</v>
      </c>
      <c r="G1254" s="457">
        <f t="shared" si="85"/>
        <v>25307.52</v>
      </c>
      <c r="H1254" s="457"/>
    </row>
    <row r="1255" spans="1:8" ht="12.75" customHeight="1">
      <c r="B1255" s="887"/>
      <c r="C1255" s="484" t="s">
        <v>82</v>
      </c>
      <c r="D1255" s="488">
        <v>30</v>
      </c>
      <c r="E1255" s="451" t="s">
        <v>46</v>
      </c>
      <c r="F1255" s="457">
        <f>'Basic Rate'!F143</f>
        <v>13.9</v>
      </c>
      <c r="G1255" s="457">
        <f t="shared" si="85"/>
        <v>417</v>
      </c>
      <c r="H1255" s="457"/>
    </row>
    <row r="1256" spans="1:8" ht="12.75" customHeight="1">
      <c r="B1256" s="887"/>
      <c r="C1256" s="484" t="s">
        <v>83</v>
      </c>
      <c r="D1256" s="488">
        <v>25</v>
      </c>
      <c r="E1256" s="451" t="s">
        <v>46</v>
      </c>
      <c r="F1256" s="457">
        <f>'Basic Rate'!F107</f>
        <v>17.375</v>
      </c>
      <c r="G1256" s="457">
        <f t="shared" si="85"/>
        <v>434.37</v>
      </c>
      <c r="H1256" s="457"/>
    </row>
    <row r="1257" spans="1:8" ht="12.75" customHeight="1">
      <c r="B1257" s="887"/>
      <c r="C1257" s="484" t="s">
        <v>728</v>
      </c>
      <c r="D1257" s="488">
        <v>55</v>
      </c>
      <c r="E1257" s="456" t="s">
        <v>46</v>
      </c>
      <c r="F1257" s="457">
        <f>F1041</f>
        <v>0.63</v>
      </c>
      <c r="G1257" s="457">
        <f t="shared" si="85"/>
        <v>34.65</v>
      </c>
      <c r="H1257" s="457"/>
    </row>
    <row r="1258" spans="1:8" ht="12.75" customHeight="1">
      <c r="A1258" s="459"/>
      <c r="B1258" s="879" t="s">
        <v>125</v>
      </c>
      <c r="C1258" s="880"/>
      <c r="D1258" s="484" t="s">
        <v>61</v>
      </c>
      <c r="E1258" s="484"/>
      <c r="F1258" s="513"/>
      <c r="G1258" s="457">
        <f>SUM(G1252:G1257)</f>
        <v>28601.040000000001</v>
      </c>
      <c r="H1258" s="457"/>
    </row>
    <row r="1259" spans="1:8" ht="12.75" customHeight="1">
      <c r="B1259" s="881"/>
      <c r="C1259" s="882"/>
      <c r="D1259" s="590" t="s">
        <v>573</v>
      </c>
      <c r="E1259" s="590"/>
      <c r="F1259" s="513"/>
      <c r="G1259" s="457">
        <f>15%*G1258</f>
        <v>4290.1559999999999</v>
      </c>
      <c r="H1259" s="457"/>
    </row>
    <row r="1260" spans="1:8" ht="12.75" customHeight="1">
      <c r="B1260" s="883"/>
      <c r="C1260" s="884"/>
      <c r="D1260" s="484" t="s">
        <v>47</v>
      </c>
      <c r="E1260" s="484"/>
      <c r="F1260" s="513"/>
      <c r="G1260" s="457">
        <f>SUM(G1258:G1259)</f>
        <v>32891.196000000004</v>
      </c>
      <c r="H1260" s="457"/>
    </row>
    <row r="1261" spans="1:8" ht="12.75" customHeight="1">
      <c r="B1261" s="458"/>
      <c r="C1261" s="591"/>
      <c r="D1261" s="443"/>
      <c r="E1261" s="443"/>
      <c r="F1261" s="474"/>
      <c r="G1261" s="460"/>
      <c r="H1261" s="460"/>
    </row>
    <row r="1262" spans="1:8" ht="13.8">
      <c r="A1262" s="445">
        <v>6.24</v>
      </c>
      <c r="B1262" s="446" t="s">
        <v>367</v>
      </c>
      <c r="C1262" s="888" t="s">
        <v>1498</v>
      </c>
      <c r="D1262" s="889"/>
      <c r="E1262" s="890"/>
      <c r="F1262" s="447" t="s">
        <v>113</v>
      </c>
      <c r="G1262" s="448">
        <f>TRUNC(G1268/10,2)</f>
        <v>3497.28</v>
      </c>
      <c r="H1262" s="448">
        <f>TRUNC(G1270/10,2)</f>
        <v>4021.87</v>
      </c>
    </row>
    <row r="1263" spans="1:8" ht="12.75" customHeight="1">
      <c r="B1263" s="450" t="s">
        <v>80</v>
      </c>
      <c r="C1263" s="451" t="s">
        <v>81</v>
      </c>
      <c r="D1263" s="451" t="s">
        <v>44</v>
      </c>
      <c r="E1263" s="451" t="s">
        <v>45</v>
      </c>
      <c r="F1263" s="452" t="s">
        <v>58</v>
      </c>
      <c r="G1263" s="452" t="s">
        <v>59</v>
      </c>
      <c r="H1263" s="452" t="s">
        <v>52</v>
      </c>
    </row>
    <row r="1264" spans="1:8" ht="12.75" customHeight="1">
      <c r="B1264" s="864" t="s">
        <v>60</v>
      </c>
      <c r="C1264" s="484" t="s">
        <v>69</v>
      </c>
      <c r="D1264" s="456">
        <v>2</v>
      </c>
      <c r="E1264" s="451" t="s">
        <v>46</v>
      </c>
      <c r="F1264" s="457">
        <f>F1252</f>
        <v>1200</v>
      </c>
      <c r="G1264" s="457">
        <f>TRUNC(D1264*F1264,2)</f>
        <v>2400</v>
      </c>
      <c r="H1264" s="457"/>
    </row>
    <row r="1265" spans="1:8" ht="12.75" customHeight="1">
      <c r="B1265" s="865"/>
      <c r="C1265" s="484" t="s">
        <v>43</v>
      </c>
      <c r="D1265" s="456">
        <v>3</v>
      </c>
      <c r="E1265" s="451" t="s">
        <v>46</v>
      </c>
      <c r="F1265" s="457">
        <f>F1253</f>
        <v>870</v>
      </c>
      <c r="G1265" s="457">
        <f>TRUNC(D1265*F1265,2)</f>
        <v>2610</v>
      </c>
      <c r="H1265" s="457"/>
    </row>
    <row r="1266" spans="1:8" ht="12.75" customHeight="1">
      <c r="B1266" s="864" t="s">
        <v>63</v>
      </c>
      <c r="C1266" s="585" t="s">
        <v>1499</v>
      </c>
      <c r="D1266" s="456">
        <v>12</v>
      </c>
      <c r="E1266" s="451" t="s">
        <v>113</v>
      </c>
      <c r="F1266" s="457">
        <f>'Basic Rate'!$F$75</f>
        <v>2492.7333333333331</v>
      </c>
      <c r="G1266" s="457">
        <f>TRUNC(D1266*F1266,2)</f>
        <v>29912.799999999999</v>
      </c>
      <c r="H1266" s="457"/>
    </row>
    <row r="1267" spans="1:8" ht="12.75" customHeight="1">
      <c r="B1267" s="865"/>
      <c r="C1267" s="484" t="s">
        <v>85</v>
      </c>
      <c r="D1267" s="456" t="s">
        <v>86</v>
      </c>
      <c r="E1267" s="456"/>
      <c r="F1267" s="452"/>
      <c r="G1267" s="457">
        <v>50</v>
      </c>
      <c r="H1267" s="457"/>
    </row>
    <row r="1268" spans="1:8" ht="12.75" customHeight="1">
      <c r="B1268" s="855" t="s">
        <v>158</v>
      </c>
      <c r="C1268" s="855"/>
      <c r="D1268" s="856" t="s">
        <v>61</v>
      </c>
      <c r="E1268" s="856"/>
      <c r="F1268" s="856"/>
      <c r="G1268" s="457">
        <f>SUM(G1264:G1267)</f>
        <v>34972.800000000003</v>
      </c>
      <c r="H1268" s="457"/>
    </row>
    <row r="1269" spans="1:8" ht="12.75" customHeight="1">
      <c r="B1269" s="855"/>
      <c r="C1269" s="855"/>
      <c r="D1269" s="857" t="s">
        <v>573</v>
      </c>
      <c r="E1269" s="857"/>
      <c r="F1269" s="857"/>
      <c r="G1269" s="457">
        <f>INT(G1268*15%*100)/100</f>
        <v>5245.92</v>
      </c>
      <c r="H1269" s="457"/>
    </row>
    <row r="1270" spans="1:8" ht="12.75" customHeight="1">
      <c r="B1270" s="855"/>
      <c r="C1270" s="855"/>
      <c r="D1270" s="856" t="s">
        <v>47</v>
      </c>
      <c r="E1270" s="856"/>
      <c r="F1270" s="856"/>
      <c r="G1270" s="457">
        <f>SUM(G1268:G1269)</f>
        <v>40218.720000000001</v>
      </c>
      <c r="H1270" s="457"/>
    </row>
    <row r="1271" spans="1:8">
      <c r="B1271" s="458"/>
      <c r="C1271" s="458"/>
      <c r="F1271" s="462"/>
      <c r="G1271" s="460"/>
      <c r="H1271" s="460"/>
    </row>
    <row r="1272" spans="1:8" ht="26.25" customHeight="1">
      <c r="A1272" s="445">
        <v>6.25</v>
      </c>
      <c r="B1272" s="446" t="s">
        <v>371</v>
      </c>
      <c r="C1272" s="888" t="s">
        <v>1500</v>
      </c>
      <c r="D1272" s="889"/>
      <c r="E1272" s="890"/>
      <c r="F1272" s="447" t="s">
        <v>50</v>
      </c>
      <c r="G1272" s="448">
        <f>TRUNC(G1279/10,2)</f>
        <v>347.4</v>
      </c>
      <c r="H1272" s="448">
        <f>TRUNC(G1281/10,2)</f>
        <v>399.51</v>
      </c>
    </row>
    <row r="1273" spans="1:8" ht="12.75" customHeight="1">
      <c r="B1273" s="450" t="s">
        <v>80</v>
      </c>
      <c r="C1273" s="451" t="s">
        <v>81</v>
      </c>
      <c r="D1273" s="451" t="s">
        <v>44</v>
      </c>
      <c r="E1273" s="451" t="s">
        <v>45</v>
      </c>
      <c r="F1273" s="452" t="s">
        <v>58</v>
      </c>
      <c r="G1273" s="452" t="s">
        <v>59</v>
      </c>
      <c r="H1273" s="452" t="s">
        <v>52</v>
      </c>
    </row>
    <row r="1274" spans="1:8" ht="12.75" customHeight="1">
      <c r="B1274" s="887" t="s">
        <v>60</v>
      </c>
      <c r="C1274" s="484" t="s">
        <v>69</v>
      </c>
      <c r="D1274" s="488">
        <v>1</v>
      </c>
      <c r="E1274" s="451" t="s">
        <v>46</v>
      </c>
      <c r="F1274" s="457">
        <f>LOOKUP(C1274,'Basic Rate'!$B$8:$B$328,'Basic Rate'!$F$8:$F$328)</f>
        <v>1200</v>
      </c>
      <c r="G1274" s="457">
        <f>TRUNC(D1274*F1274,2)</f>
        <v>1200</v>
      </c>
      <c r="H1274" s="457"/>
    </row>
    <row r="1275" spans="1:8" ht="12.75" customHeight="1">
      <c r="B1275" s="887"/>
      <c r="C1275" s="484" t="s">
        <v>43</v>
      </c>
      <c r="D1275" s="488">
        <v>2</v>
      </c>
      <c r="E1275" s="451" t="s">
        <v>46</v>
      </c>
      <c r="F1275" s="457">
        <f>LOOKUP(C1275,'Basic Rate'!$B$8:$B$328,'Basic Rate'!$F$8:$F$328)</f>
        <v>870</v>
      </c>
      <c r="G1275" s="457">
        <f>TRUNC(D1275*F1275,2)</f>
        <v>1740</v>
      </c>
      <c r="H1275" s="457"/>
    </row>
    <row r="1276" spans="1:8" ht="12.75" customHeight="1">
      <c r="B1276" s="887" t="s">
        <v>63</v>
      </c>
      <c r="C1276" s="484" t="s">
        <v>70</v>
      </c>
      <c r="D1276" s="488">
        <v>2.4E-2</v>
      </c>
      <c r="E1276" s="451" t="s">
        <v>71</v>
      </c>
      <c r="F1276" s="457">
        <f>LOOKUP(C1276,'Basic Rate'!$B$8:$B$328,'Basic Rate'!$F$8:$F$328)</f>
        <v>14000</v>
      </c>
      <c r="G1276" s="457">
        <f>TRUNC(D1276*F1276,2)</f>
        <v>336</v>
      </c>
      <c r="H1276" s="457"/>
    </row>
    <row r="1277" spans="1:8" ht="12.75" customHeight="1">
      <c r="B1277" s="887"/>
      <c r="C1277" s="528" t="str">
        <f>C841</f>
        <v xml:space="preserve">Sand Crusher </v>
      </c>
      <c r="D1277" s="488">
        <v>0.09</v>
      </c>
      <c r="E1277" s="451" t="s">
        <v>68</v>
      </c>
      <c r="F1277" s="457">
        <f>'Basic Rate'!F173</f>
        <v>2200</v>
      </c>
      <c r="G1277" s="457">
        <f>TRUNC(D1277*F1277,2)</f>
        <v>198</v>
      </c>
      <c r="H1277" s="457"/>
    </row>
    <row r="1278" spans="1:8" ht="39.75" customHeight="1">
      <c r="B1278" s="887"/>
      <c r="C1278" s="585" t="s">
        <v>976</v>
      </c>
      <c r="D1278" s="488">
        <v>175</v>
      </c>
      <c r="E1278" s="451" t="s">
        <v>46</v>
      </c>
      <c r="F1278" s="457">
        <f>LOOKUP(C1278,'Basic Rate'!$B$8:$B$328,'Basic Rate'!$F$8:$F$328)</f>
        <v>0</v>
      </c>
      <c r="G1278" s="457">
        <f>TRUNC(D1278*F1278,2)</f>
        <v>0</v>
      </c>
      <c r="H1278" s="457"/>
    </row>
    <row r="1279" spans="1:8" ht="12.75" customHeight="1">
      <c r="B1279" s="855" t="s">
        <v>125</v>
      </c>
      <c r="C1279" s="855"/>
      <c r="D1279" s="856" t="s">
        <v>61</v>
      </c>
      <c r="E1279" s="856"/>
      <c r="F1279" s="856"/>
      <c r="G1279" s="457">
        <f>SUM(G1274:G1278)</f>
        <v>3474</v>
      </c>
      <c r="H1279" s="457"/>
    </row>
    <row r="1280" spans="1:8" ht="12.75" customHeight="1">
      <c r="B1280" s="855"/>
      <c r="C1280" s="855"/>
      <c r="D1280" s="857" t="s">
        <v>573</v>
      </c>
      <c r="E1280" s="857"/>
      <c r="F1280" s="857"/>
      <c r="G1280" s="457">
        <f>15%*G1279</f>
        <v>521.1</v>
      </c>
      <c r="H1280" s="457"/>
    </row>
    <row r="1281" spans="1:8" ht="12.75" customHeight="1">
      <c r="B1281" s="855"/>
      <c r="C1281" s="855"/>
      <c r="D1281" s="856" t="s">
        <v>47</v>
      </c>
      <c r="E1281" s="856"/>
      <c r="F1281" s="856"/>
      <c r="G1281" s="457">
        <f>SUM(G1279:G1280)</f>
        <v>3995.1</v>
      </c>
      <c r="H1281" s="457"/>
    </row>
    <row r="1282" spans="1:8">
      <c r="B1282" s="458"/>
      <c r="C1282" s="458"/>
      <c r="F1282" s="462"/>
      <c r="G1282" s="460"/>
      <c r="H1282" s="460"/>
    </row>
    <row r="1283" spans="1:8">
      <c r="B1283" s="458"/>
      <c r="C1283" s="458"/>
      <c r="F1283" s="462"/>
      <c r="G1283" s="460"/>
      <c r="H1283" s="460"/>
    </row>
    <row r="1284" spans="1:8" ht="27.6">
      <c r="A1284" s="445">
        <v>6.26</v>
      </c>
      <c r="B1284" s="446" t="s">
        <v>372</v>
      </c>
      <c r="C1284" s="888" t="s">
        <v>101</v>
      </c>
      <c r="D1284" s="889"/>
      <c r="E1284" s="890"/>
      <c r="F1284" s="447" t="s">
        <v>68</v>
      </c>
      <c r="G1284" s="448">
        <f>G1290</f>
        <v>245075.20000000001</v>
      </c>
      <c r="H1284" s="448">
        <f>G1292</f>
        <v>281836.48</v>
      </c>
    </row>
    <row r="1285" spans="1:8">
      <c r="A1285" s="592"/>
      <c r="B1285" s="450" t="s">
        <v>80</v>
      </c>
      <c r="C1285" s="451" t="s">
        <v>81</v>
      </c>
      <c r="D1285" s="451" t="s">
        <v>44</v>
      </c>
      <c r="E1285" s="451" t="s">
        <v>45</v>
      </c>
      <c r="F1285" s="452" t="s">
        <v>58</v>
      </c>
      <c r="G1285" s="452" t="s">
        <v>59</v>
      </c>
      <c r="H1285" s="452" t="s">
        <v>52</v>
      </c>
    </row>
    <row r="1286" spans="1:8">
      <c r="A1286" s="592"/>
      <c r="B1286" s="864" t="s">
        <v>60</v>
      </c>
      <c r="C1286" s="484" t="s">
        <v>69</v>
      </c>
      <c r="D1286" s="455">
        <v>17.649999999999999</v>
      </c>
      <c r="E1286" s="451" t="s">
        <v>46</v>
      </c>
      <c r="F1286" s="457">
        <f>F1264</f>
        <v>1200</v>
      </c>
      <c r="G1286" s="457">
        <f>TRUNC(D1286*F1286,2)</f>
        <v>21180</v>
      </c>
      <c r="H1286" s="457"/>
    </row>
    <row r="1287" spans="1:8">
      <c r="A1287" s="592"/>
      <c r="B1287" s="865"/>
      <c r="C1287" s="484" t="s">
        <v>43</v>
      </c>
      <c r="D1287" s="455">
        <v>1.76</v>
      </c>
      <c r="E1287" s="451" t="s">
        <v>46</v>
      </c>
      <c r="F1287" s="457">
        <f>F1265</f>
        <v>870</v>
      </c>
      <c r="G1287" s="457">
        <f>TRUNC(D1287*F1287,2)</f>
        <v>1531.2</v>
      </c>
      <c r="H1287" s="457"/>
    </row>
    <row r="1288" spans="1:8">
      <c r="A1288" s="592"/>
      <c r="B1288" s="864" t="s">
        <v>63</v>
      </c>
      <c r="C1288" s="484" t="s">
        <v>1501</v>
      </c>
      <c r="D1288" s="455">
        <v>1.05</v>
      </c>
      <c r="E1288" s="451" t="s">
        <v>68</v>
      </c>
      <c r="F1288" s="457">
        <f>'Basic Rate'!F225</f>
        <v>211680</v>
      </c>
      <c r="G1288" s="457">
        <f>TRUNC(D1288*F1288,2)</f>
        <v>222264</v>
      </c>
      <c r="H1288" s="457"/>
    </row>
    <row r="1289" spans="1:8">
      <c r="A1289" s="592"/>
      <c r="B1289" s="865"/>
      <c r="C1289" s="484" t="s">
        <v>75</v>
      </c>
      <c r="D1289" s="451" t="s">
        <v>86</v>
      </c>
      <c r="E1289" s="451"/>
      <c r="F1289" s="452"/>
      <c r="G1289" s="457">
        <v>100</v>
      </c>
      <c r="H1289" s="457"/>
    </row>
    <row r="1290" spans="1:8">
      <c r="A1290" s="592"/>
      <c r="B1290" s="855" t="s">
        <v>62</v>
      </c>
      <c r="C1290" s="855"/>
      <c r="D1290" s="856" t="s">
        <v>61</v>
      </c>
      <c r="E1290" s="856"/>
      <c r="F1290" s="856"/>
      <c r="G1290" s="457">
        <f>SUM(G1286:G1289)</f>
        <v>245075.20000000001</v>
      </c>
      <c r="H1290" s="457"/>
    </row>
    <row r="1291" spans="1:8">
      <c r="A1291" s="592"/>
      <c r="B1291" s="855"/>
      <c r="C1291" s="855"/>
      <c r="D1291" s="857" t="s">
        <v>573</v>
      </c>
      <c r="E1291" s="857"/>
      <c r="F1291" s="857"/>
      <c r="G1291" s="457">
        <f>INT(15%*G1290*100)/100</f>
        <v>36761.279999999999</v>
      </c>
      <c r="H1291" s="457"/>
    </row>
    <row r="1292" spans="1:8">
      <c r="A1292" s="592"/>
      <c r="B1292" s="935"/>
      <c r="C1292" s="935"/>
      <c r="D1292" s="885" t="s">
        <v>47</v>
      </c>
      <c r="E1292" s="885"/>
      <c r="F1292" s="885"/>
      <c r="G1292" s="475">
        <f>SUM(G1290:G1291)</f>
        <v>281836.48</v>
      </c>
      <c r="H1292" s="475"/>
    </row>
    <row r="1293" spans="1:8">
      <c r="A1293" s="592"/>
      <c r="B1293" s="458"/>
      <c r="C1293" s="458"/>
      <c r="F1293" s="462"/>
      <c r="G1293" s="460"/>
      <c r="H1293" s="460"/>
    </row>
    <row r="1294" spans="1:8" ht="27.6">
      <c r="A1294" s="445">
        <v>6.27</v>
      </c>
      <c r="B1294" s="446" t="s">
        <v>373</v>
      </c>
      <c r="C1294" s="888" t="s">
        <v>102</v>
      </c>
      <c r="D1294" s="889"/>
      <c r="E1294" s="890"/>
      <c r="F1294" s="447" t="s">
        <v>50</v>
      </c>
      <c r="G1294" s="448">
        <f>TRUNC(G1300/10,2)</f>
        <v>6015.24</v>
      </c>
      <c r="H1294" s="448">
        <f>TRUNC(G1302/10,2)</f>
        <v>6917.52</v>
      </c>
    </row>
    <row r="1295" spans="1:8">
      <c r="A1295" s="592"/>
      <c r="B1295" s="450" t="s">
        <v>80</v>
      </c>
      <c r="C1295" s="451" t="s">
        <v>81</v>
      </c>
      <c r="D1295" s="451" t="s">
        <v>44</v>
      </c>
      <c r="E1295" s="451" t="s">
        <v>45</v>
      </c>
      <c r="F1295" s="452" t="s">
        <v>58</v>
      </c>
      <c r="G1295" s="452" t="s">
        <v>59</v>
      </c>
      <c r="H1295" s="452" t="s">
        <v>52</v>
      </c>
    </row>
    <row r="1296" spans="1:8">
      <c r="A1296" s="592"/>
      <c r="B1296" s="864" t="s">
        <v>60</v>
      </c>
      <c r="C1296" s="484" t="s">
        <v>69</v>
      </c>
      <c r="D1296" s="455">
        <v>1.43</v>
      </c>
      <c r="E1296" s="451" t="s">
        <v>46</v>
      </c>
      <c r="F1296" s="457">
        <f>F1286</f>
        <v>1200</v>
      </c>
      <c r="G1296" s="457">
        <f>TRUNC(D1296*F1296,2)</f>
        <v>1716</v>
      </c>
      <c r="H1296" s="457"/>
    </row>
    <row r="1297" spans="1:8">
      <c r="A1297" s="592"/>
      <c r="B1297" s="865"/>
      <c r="C1297" s="484" t="s">
        <v>43</v>
      </c>
      <c r="D1297" s="455">
        <v>0.14299999999999999</v>
      </c>
      <c r="E1297" s="451" t="s">
        <v>46</v>
      </c>
      <c r="F1297" s="457">
        <f>F1287</f>
        <v>870</v>
      </c>
      <c r="G1297" s="457">
        <f>TRUNC(D1297*F1297,2)</f>
        <v>124.41</v>
      </c>
      <c r="H1297" s="457"/>
    </row>
    <row r="1298" spans="1:8">
      <c r="A1298" s="592"/>
      <c r="B1298" s="864" t="s">
        <v>63</v>
      </c>
      <c r="C1298" s="484" t="s">
        <v>1501</v>
      </c>
      <c r="D1298" s="455">
        <v>0.27500000000000002</v>
      </c>
      <c r="E1298" s="451" t="s">
        <v>68</v>
      </c>
      <c r="F1298" s="457">
        <f>F1288</f>
        <v>211680</v>
      </c>
      <c r="G1298" s="457">
        <f>TRUNC(D1298*F1298,2)</f>
        <v>58212</v>
      </c>
      <c r="H1298" s="457"/>
    </row>
    <row r="1299" spans="1:8">
      <c r="A1299" s="592"/>
      <c r="B1299" s="865"/>
      <c r="C1299" s="484" t="s">
        <v>75</v>
      </c>
      <c r="D1299" s="451" t="s">
        <v>86</v>
      </c>
      <c r="E1299" s="451"/>
      <c r="F1299" s="452"/>
      <c r="G1299" s="457">
        <v>100</v>
      </c>
      <c r="H1299" s="457"/>
    </row>
    <row r="1300" spans="1:8">
      <c r="A1300" s="592"/>
      <c r="B1300" s="855" t="s">
        <v>125</v>
      </c>
      <c r="C1300" s="855"/>
      <c r="D1300" s="856" t="s">
        <v>61</v>
      </c>
      <c r="E1300" s="856"/>
      <c r="F1300" s="856"/>
      <c r="G1300" s="457">
        <f>SUM(G1296:G1299)</f>
        <v>60152.41</v>
      </c>
      <c r="H1300" s="457"/>
    </row>
    <row r="1301" spans="1:8">
      <c r="A1301" s="592"/>
      <c r="B1301" s="855"/>
      <c r="C1301" s="855"/>
      <c r="D1301" s="857" t="s">
        <v>573</v>
      </c>
      <c r="E1301" s="857"/>
      <c r="F1301" s="857"/>
      <c r="G1301" s="457">
        <f>INT(15%*G1300*100)/100</f>
        <v>9022.86</v>
      </c>
      <c r="H1301" s="457"/>
    </row>
    <row r="1302" spans="1:8">
      <c r="A1302" s="592"/>
      <c r="B1302" s="855"/>
      <c r="C1302" s="855"/>
      <c r="D1302" s="856" t="s">
        <v>47</v>
      </c>
      <c r="E1302" s="856"/>
      <c r="F1302" s="856"/>
      <c r="G1302" s="457">
        <f>SUM(G1300:G1301)</f>
        <v>69175.27</v>
      </c>
      <c r="H1302" s="457"/>
    </row>
    <row r="1303" spans="1:8">
      <c r="B1303" s="458"/>
      <c r="C1303" s="458"/>
      <c r="F1303" s="462"/>
      <c r="G1303" s="460"/>
      <c r="H1303" s="460"/>
    </row>
    <row r="1304" spans="1:8" ht="13.8">
      <c r="A1304" s="445">
        <v>6.28</v>
      </c>
      <c r="B1304" s="446" t="s">
        <v>368</v>
      </c>
      <c r="C1304" s="888" t="s">
        <v>1502</v>
      </c>
      <c r="D1304" s="889"/>
      <c r="E1304" s="890"/>
      <c r="F1304" s="447" t="s">
        <v>50</v>
      </c>
      <c r="G1304" s="448">
        <f>G1311</f>
        <v>12044.4</v>
      </c>
      <c r="H1304" s="448">
        <f>G1313</f>
        <v>13851.06</v>
      </c>
    </row>
    <row r="1305" spans="1:8" ht="12.75" customHeight="1">
      <c r="B1305" s="450" t="s">
        <v>80</v>
      </c>
      <c r="C1305" s="451" t="s">
        <v>81</v>
      </c>
      <c r="D1305" s="451" t="s">
        <v>44</v>
      </c>
      <c r="E1305" s="451" t="s">
        <v>45</v>
      </c>
      <c r="F1305" s="452" t="s">
        <v>58</v>
      </c>
      <c r="G1305" s="452" t="s">
        <v>59</v>
      </c>
      <c r="H1305" s="452" t="s">
        <v>52</v>
      </c>
    </row>
    <row r="1306" spans="1:8" ht="12.75" customHeight="1">
      <c r="B1306" s="887" t="s">
        <v>60</v>
      </c>
      <c r="C1306" s="484" t="s">
        <v>69</v>
      </c>
      <c r="D1306" s="488">
        <v>1.5</v>
      </c>
      <c r="E1306" s="451" t="s">
        <v>46</v>
      </c>
      <c r="F1306" s="457">
        <f>F1296</f>
        <v>1200</v>
      </c>
      <c r="G1306" s="457">
        <f>TRUNC(D1306*F1306,2)</f>
        <v>1800</v>
      </c>
      <c r="H1306" s="457"/>
    </row>
    <row r="1307" spans="1:8" ht="12.75" customHeight="1">
      <c r="B1307" s="887"/>
      <c r="C1307" s="484" t="s">
        <v>43</v>
      </c>
      <c r="D1307" s="488">
        <v>1</v>
      </c>
      <c r="E1307" s="451" t="s">
        <v>46</v>
      </c>
      <c r="F1307" s="457">
        <f>LOOKUP(C1307,'Basic Rate'!$B$8:$B$328,'Basic Rate'!$F$8:$F$328)</f>
        <v>870</v>
      </c>
      <c r="G1307" s="457">
        <f>TRUNC(D1307*F1307,2)</f>
        <v>870</v>
      </c>
      <c r="H1307" s="457"/>
    </row>
    <row r="1308" spans="1:8" ht="12.75" customHeight="1">
      <c r="B1308" s="887" t="s">
        <v>63</v>
      </c>
      <c r="C1308" s="484" t="s">
        <v>1503</v>
      </c>
      <c r="D1308" s="488">
        <v>12</v>
      </c>
      <c r="E1308" s="451" t="s">
        <v>50</v>
      </c>
      <c r="F1308" s="457">
        <f>'Basic Rate'!F207</f>
        <v>753.19999999999993</v>
      </c>
      <c r="G1308" s="457">
        <f>TRUNC(D1308*F1308,2)</f>
        <v>9038.4</v>
      </c>
      <c r="H1308" s="457"/>
    </row>
    <row r="1309" spans="1:8" ht="12.75" customHeight="1">
      <c r="B1309" s="887"/>
      <c r="C1309" s="484" t="s">
        <v>369</v>
      </c>
      <c r="D1309" s="488">
        <v>14</v>
      </c>
      <c r="E1309" s="451" t="s">
        <v>46</v>
      </c>
      <c r="F1309" s="457">
        <f>'Basic Rate'!$F$59</f>
        <v>10</v>
      </c>
      <c r="G1309" s="457">
        <f>TRUNC(D1309*F1309,2)</f>
        <v>140</v>
      </c>
      <c r="H1309" s="457"/>
    </row>
    <row r="1310" spans="1:8" ht="12.75" customHeight="1">
      <c r="B1310" s="887"/>
      <c r="C1310" s="454" t="s">
        <v>255</v>
      </c>
      <c r="D1310" s="488">
        <v>28</v>
      </c>
      <c r="E1310" s="451" t="s">
        <v>46</v>
      </c>
      <c r="F1310" s="457">
        <f>'Basic Rate'!F177</f>
        <v>7</v>
      </c>
      <c r="G1310" s="457">
        <f>TRUNC(D1310*F1310,2)</f>
        <v>196</v>
      </c>
      <c r="H1310" s="457"/>
    </row>
    <row r="1311" spans="1:8" ht="12.75" customHeight="1">
      <c r="B1311" s="855" t="s">
        <v>125</v>
      </c>
      <c r="C1311" s="855"/>
      <c r="D1311" s="856" t="s">
        <v>61</v>
      </c>
      <c r="E1311" s="856"/>
      <c r="F1311" s="856"/>
      <c r="G1311" s="457">
        <f>SUM(G1306:G1310)</f>
        <v>12044.4</v>
      </c>
      <c r="H1311" s="457"/>
    </row>
    <row r="1312" spans="1:8" ht="12.75" customHeight="1">
      <c r="B1312" s="855"/>
      <c r="C1312" s="855"/>
      <c r="D1312" s="857" t="s">
        <v>573</v>
      </c>
      <c r="E1312" s="857"/>
      <c r="F1312" s="857"/>
      <c r="G1312" s="457">
        <f>G1311*15%</f>
        <v>1806.6599999999999</v>
      </c>
      <c r="H1312" s="457"/>
    </row>
    <row r="1313" spans="1:8" ht="12.75" customHeight="1">
      <c r="B1313" s="855"/>
      <c r="C1313" s="855"/>
      <c r="D1313" s="856" t="s">
        <v>47</v>
      </c>
      <c r="E1313" s="856"/>
      <c r="F1313" s="856"/>
      <c r="G1313" s="457">
        <f>G1311+G1312</f>
        <v>13851.06</v>
      </c>
      <c r="H1313" s="457"/>
    </row>
    <row r="1314" spans="1:8">
      <c r="B1314" s="458"/>
      <c r="C1314" s="458"/>
      <c r="F1314" s="462"/>
      <c r="G1314" s="460"/>
      <c r="H1314" s="460"/>
    </row>
    <row r="1315" spans="1:8" ht="13.8">
      <c r="A1315" s="445">
        <v>6.29</v>
      </c>
      <c r="B1315" s="446" t="s">
        <v>370</v>
      </c>
      <c r="C1315" s="888" t="s">
        <v>1504</v>
      </c>
      <c r="D1315" s="889"/>
      <c r="E1315" s="890"/>
      <c r="F1315" s="447" t="s">
        <v>50</v>
      </c>
      <c r="G1315" s="448">
        <f>TRUNC(G1322/10,2)</f>
        <v>2340.6</v>
      </c>
      <c r="H1315" s="448">
        <f>TRUNC(G1324/10,2)</f>
        <v>2691.69</v>
      </c>
    </row>
    <row r="1316" spans="1:8" ht="12.75" customHeight="1">
      <c r="B1316" s="450" t="s">
        <v>80</v>
      </c>
      <c r="C1316" s="451" t="s">
        <v>81</v>
      </c>
      <c r="D1316" s="451" t="s">
        <v>44</v>
      </c>
      <c r="E1316" s="451" t="s">
        <v>45</v>
      </c>
      <c r="F1316" s="452" t="s">
        <v>58</v>
      </c>
      <c r="G1316" s="452" t="s">
        <v>59</v>
      </c>
      <c r="H1316" s="452" t="s">
        <v>52</v>
      </c>
    </row>
    <row r="1317" spans="1:8" ht="12.75" customHeight="1">
      <c r="B1317" s="887" t="s">
        <v>60</v>
      </c>
      <c r="C1317" s="484" t="s">
        <v>69</v>
      </c>
      <c r="D1317" s="488">
        <v>1.5</v>
      </c>
      <c r="E1317" s="451" t="s">
        <v>46</v>
      </c>
      <c r="F1317" s="457">
        <f>F1306</f>
        <v>1200</v>
      </c>
      <c r="G1317" s="457">
        <f>TRUNC(D1317*F1317,2)</f>
        <v>1800</v>
      </c>
      <c r="H1317" s="457"/>
    </row>
    <row r="1318" spans="1:8" ht="12.75" customHeight="1">
      <c r="B1318" s="887"/>
      <c r="C1318" s="484" t="s">
        <v>43</v>
      </c>
      <c r="D1318" s="488">
        <v>1</v>
      </c>
      <c r="E1318" s="451" t="s">
        <v>46</v>
      </c>
      <c r="F1318" s="457">
        <f>F1307</f>
        <v>870</v>
      </c>
      <c r="G1318" s="457">
        <f>TRUNC(D1318*F1318,2)</f>
        <v>870</v>
      </c>
      <c r="H1318" s="457"/>
    </row>
    <row r="1319" spans="1:8" ht="12.75" customHeight="1">
      <c r="B1319" s="887" t="s">
        <v>63</v>
      </c>
      <c r="C1319" s="585" t="s">
        <v>1505</v>
      </c>
      <c r="D1319" s="488">
        <v>12</v>
      </c>
      <c r="E1319" s="451" t="s">
        <v>50</v>
      </c>
      <c r="F1319" s="457">
        <f>'Basic Rate'!F208</f>
        <v>1700</v>
      </c>
      <c r="G1319" s="457">
        <f>TRUNC(D1319*F1319,2)</f>
        <v>20400</v>
      </c>
      <c r="H1319" s="457"/>
    </row>
    <row r="1320" spans="1:8" ht="12.75" customHeight="1">
      <c r="B1320" s="887"/>
      <c r="C1320" s="484" t="s">
        <v>369</v>
      </c>
      <c r="D1320" s="488">
        <v>14</v>
      </c>
      <c r="E1320" s="451" t="s">
        <v>46</v>
      </c>
      <c r="F1320" s="457">
        <f>'Basic Rate'!$F$59</f>
        <v>10</v>
      </c>
      <c r="G1320" s="457">
        <f>TRUNC(D1320*F1320,2)</f>
        <v>140</v>
      </c>
      <c r="H1320" s="457"/>
    </row>
    <row r="1321" spans="1:8" ht="12.75" customHeight="1">
      <c r="B1321" s="887"/>
      <c r="C1321" s="454" t="s">
        <v>255</v>
      </c>
      <c r="D1321" s="488">
        <v>28</v>
      </c>
      <c r="E1321" s="451" t="s">
        <v>46</v>
      </c>
      <c r="F1321" s="457">
        <f>F1310</f>
        <v>7</v>
      </c>
      <c r="G1321" s="457">
        <f>TRUNC(D1321*F1321,2)</f>
        <v>196</v>
      </c>
      <c r="H1321" s="457"/>
    </row>
    <row r="1322" spans="1:8" ht="12.75" customHeight="1">
      <c r="B1322" s="855" t="s">
        <v>125</v>
      </c>
      <c r="C1322" s="855"/>
      <c r="D1322" s="856" t="s">
        <v>61</v>
      </c>
      <c r="E1322" s="856"/>
      <c r="F1322" s="856"/>
      <c r="G1322" s="457">
        <f>SUM(G1317:G1321)</f>
        <v>23406</v>
      </c>
      <c r="H1322" s="457"/>
    </row>
    <row r="1323" spans="1:8" ht="12.75" customHeight="1">
      <c r="B1323" s="855"/>
      <c r="C1323" s="855"/>
      <c r="D1323" s="857" t="s">
        <v>573</v>
      </c>
      <c r="E1323" s="857"/>
      <c r="F1323" s="857"/>
      <c r="G1323" s="457">
        <f>15%*G1322</f>
        <v>3510.9</v>
      </c>
      <c r="H1323" s="457"/>
    </row>
    <row r="1324" spans="1:8" ht="12.75" customHeight="1">
      <c r="B1324" s="855"/>
      <c r="C1324" s="855"/>
      <c r="D1324" s="856" t="s">
        <v>47</v>
      </c>
      <c r="E1324" s="856"/>
      <c r="F1324" s="856"/>
      <c r="G1324" s="457">
        <f>SUM(G1322:G1323)</f>
        <v>26916.9</v>
      </c>
      <c r="H1324" s="457"/>
    </row>
    <row r="1325" spans="1:8">
      <c r="B1325" s="458"/>
      <c r="C1325" s="458"/>
      <c r="F1325" s="462"/>
      <c r="G1325" s="460"/>
      <c r="H1325" s="460"/>
    </row>
    <row r="1326" spans="1:8" ht="12.75" customHeight="1">
      <c r="A1326" s="916" t="s">
        <v>434</v>
      </c>
      <c r="B1326" s="916"/>
      <c r="C1326" s="916"/>
      <c r="D1326" s="916"/>
      <c r="E1326" s="916"/>
      <c r="F1326" s="916"/>
      <c r="G1326" s="916"/>
      <c r="H1326" s="916"/>
    </row>
    <row r="1327" spans="1:8">
      <c r="F1327" s="460"/>
      <c r="G1327" s="460"/>
      <c r="H1327" s="460"/>
    </row>
    <row r="1328" spans="1:8" ht="13.8">
      <c r="A1328" s="507">
        <v>7.01</v>
      </c>
      <c r="B1328" s="446" t="s">
        <v>374</v>
      </c>
      <c r="C1328" s="876" t="s">
        <v>1506</v>
      </c>
      <c r="D1328" s="877"/>
      <c r="E1328" s="877"/>
      <c r="F1328" s="447" t="s">
        <v>68</v>
      </c>
      <c r="G1328" s="447">
        <f>G1335</f>
        <v>279212.05</v>
      </c>
      <c r="H1328" s="448">
        <f>G1337</f>
        <v>321093.84999999998</v>
      </c>
    </row>
    <row r="1329" spans="1:8">
      <c r="B1329" s="450" t="s">
        <v>80</v>
      </c>
      <c r="C1329" s="451" t="s">
        <v>81</v>
      </c>
      <c r="D1329" s="451" t="s">
        <v>44</v>
      </c>
      <c r="E1329" s="451" t="s">
        <v>45</v>
      </c>
      <c r="F1329" s="452" t="s">
        <v>58</v>
      </c>
      <c r="G1329" s="452" t="s">
        <v>59</v>
      </c>
      <c r="H1329" s="452" t="s">
        <v>52</v>
      </c>
    </row>
    <row r="1330" spans="1:8">
      <c r="B1330" s="864" t="s">
        <v>60</v>
      </c>
      <c r="C1330" s="484" t="s">
        <v>69</v>
      </c>
      <c r="D1330" s="488">
        <v>34</v>
      </c>
      <c r="E1330" s="451" t="s">
        <v>46</v>
      </c>
      <c r="F1330" s="457">
        <f>'LABOUR 2082083'!F5</f>
        <v>1200</v>
      </c>
      <c r="G1330" s="457">
        <f>INT(D1330*F1330*100)/100</f>
        <v>40800</v>
      </c>
      <c r="H1330" s="457"/>
    </row>
    <row r="1331" spans="1:8">
      <c r="B1331" s="865"/>
      <c r="C1331" s="484" t="s">
        <v>43</v>
      </c>
      <c r="D1331" s="488">
        <v>3.4</v>
      </c>
      <c r="E1331" s="451" t="s">
        <v>46</v>
      </c>
      <c r="F1331" s="457">
        <f>'LABOUR 2082083'!F3</f>
        <v>870</v>
      </c>
      <c r="G1331" s="457">
        <f>INT(D1331*F1331*100)/100</f>
        <v>2958</v>
      </c>
      <c r="H1331" s="457"/>
    </row>
    <row r="1332" spans="1:8">
      <c r="B1332" s="864" t="s">
        <v>63</v>
      </c>
      <c r="C1332" s="484" t="s">
        <v>1501</v>
      </c>
      <c r="D1332" s="488">
        <v>1.1000000000000001</v>
      </c>
      <c r="E1332" s="451" t="s">
        <v>46</v>
      </c>
      <c r="F1332" s="457">
        <f>'Basic Rate'!F225</f>
        <v>211680</v>
      </c>
      <c r="G1332" s="457">
        <f>INT(D1332*F1332*100)/100</f>
        <v>232848</v>
      </c>
      <c r="H1332" s="457"/>
    </row>
    <row r="1333" spans="1:8">
      <c r="B1333" s="868"/>
      <c r="C1333" s="484" t="s">
        <v>87</v>
      </c>
      <c r="D1333" s="488">
        <v>92</v>
      </c>
      <c r="E1333" s="451" t="s">
        <v>46</v>
      </c>
      <c r="F1333" s="457">
        <f>'Basic Rate'!F97</f>
        <v>26.4</v>
      </c>
      <c r="G1333" s="457">
        <f>INT(D1333*F1333*100)/100</f>
        <v>2428.8000000000002</v>
      </c>
      <c r="H1333" s="457"/>
    </row>
    <row r="1334" spans="1:8">
      <c r="B1334" s="865"/>
      <c r="C1334" s="484" t="s">
        <v>88</v>
      </c>
      <c r="D1334" s="488">
        <v>184</v>
      </c>
      <c r="E1334" s="451" t="s">
        <v>46</v>
      </c>
      <c r="F1334" s="457">
        <f>'Basic Rate'!F147</f>
        <v>0.96333333333333337</v>
      </c>
      <c r="G1334" s="457">
        <f>INT(D1334*F1334*100)/100</f>
        <v>177.25</v>
      </c>
      <c r="H1334" s="457"/>
    </row>
    <row r="1335" spans="1:8">
      <c r="B1335" s="855" t="s">
        <v>62</v>
      </c>
      <c r="C1335" s="855"/>
      <c r="D1335" s="856" t="s">
        <v>61</v>
      </c>
      <c r="E1335" s="856"/>
      <c r="F1335" s="856"/>
      <c r="G1335" s="457">
        <f>SUM(G1330:G1334)</f>
        <v>279212.05</v>
      </c>
      <c r="H1335" s="457"/>
    </row>
    <row r="1336" spans="1:8" ht="12.75" customHeight="1">
      <c r="B1336" s="855"/>
      <c r="C1336" s="855"/>
      <c r="D1336" s="857" t="s">
        <v>573</v>
      </c>
      <c r="E1336" s="857"/>
      <c r="F1336" s="857"/>
      <c r="G1336" s="457">
        <f>INT(15%*G1335*100)/100</f>
        <v>41881.800000000003</v>
      </c>
      <c r="H1336" s="457"/>
    </row>
    <row r="1337" spans="1:8" ht="12.75" customHeight="1">
      <c r="B1337" s="855"/>
      <c r="C1337" s="855"/>
      <c r="D1337" s="856" t="s">
        <v>47</v>
      </c>
      <c r="E1337" s="856"/>
      <c r="F1337" s="856"/>
      <c r="G1337" s="457">
        <f>SUM(G1335:G1336)</f>
        <v>321093.84999999998</v>
      </c>
      <c r="H1337" s="457"/>
    </row>
    <row r="1338" spans="1:8">
      <c r="F1338" s="462"/>
      <c r="G1338" s="460"/>
      <c r="H1338" s="460"/>
    </row>
    <row r="1339" spans="1:8">
      <c r="F1339" s="462"/>
      <c r="G1339" s="460"/>
      <c r="H1339" s="460"/>
    </row>
    <row r="1340" spans="1:8" ht="13.8">
      <c r="A1340" s="507">
        <v>7.02</v>
      </c>
      <c r="B1340" s="446" t="s">
        <v>375</v>
      </c>
      <c r="C1340" s="876" t="s">
        <v>1507</v>
      </c>
      <c r="D1340" s="877"/>
      <c r="E1340" s="877"/>
      <c r="F1340" s="447" t="s">
        <v>68</v>
      </c>
      <c r="G1340" s="447">
        <f>G1347</f>
        <v>158674.4</v>
      </c>
      <c r="H1340" s="448">
        <f>G1349</f>
        <v>182475.56</v>
      </c>
    </row>
    <row r="1341" spans="1:8">
      <c r="B1341" s="450" t="s">
        <v>80</v>
      </c>
      <c r="C1341" s="451" t="s">
        <v>81</v>
      </c>
      <c r="D1341" s="451" t="s">
        <v>44</v>
      </c>
      <c r="E1341" s="451" t="s">
        <v>45</v>
      </c>
      <c r="F1341" s="452" t="s">
        <v>58</v>
      </c>
      <c r="G1341" s="452" t="s">
        <v>59</v>
      </c>
      <c r="H1341" s="452" t="s">
        <v>52</v>
      </c>
    </row>
    <row r="1342" spans="1:8">
      <c r="B1342" s="864" t="s">
        <v>60</v>
      </c>
      <c r="C1342" s="484" t="s">
        <v>69</v>
      </c>
      <c r="D1342" s="488">
        <v>34</v>
      </c>
      <c r="E1342" s="451" t="s">
        <v>46</v>
      </c>
      <c r="F1342" s="457">
        <f>F1330</f>
        <v>1200</v>
      </c>
      <c r="G1342" s="457">
        <f>INT(D1342*F1342*100)/100</f>
        <v>40800</v>
      </c>
      <c r="H1342" s="457"/>
    </row>
    <row r="1343" spans="1:8">
      <c r="B1343" s="865"/>
      <c r="C1343" s="484" t="s">
        <v>43</v>
      </c>
      <c r="D1343" s="488">
        <v>3.4</v>
      </c>
      <c r="E1343" s="451" t="s">
        <v>46</v>
      </c>
      <c r="F1343" s="457">
        <f>F1331</f>
        <v>870</v>
      </c>
      <c r="G1343" s="457">
        <f>INT(D1343*F1343*100)/100</f>
        <v>2958</v>
      </c>
      <c r="H1343" s="457"/>
    </row>
    <row r="1344" spans="1:8">
      <c r="B1344" s="864" t="s">
        <v>63</v>
      </c>
      <c r="C1344" s="484" t="s">
        <v>1473</v>
      </c>
      <c r="D1344" s="488">
        <v>1.1000000000000001</v>
      </c>
      <c r="E1344" s="451" t="s">
        <v>46</v>
      </c>
      <c r="F1344" s="457">
        <f>'Basic Rate'!F223</f>
        <v>102100.32</v>
      </c>
      <c r="G1344" s="457">
        <f>INT(D1344*F1344*100)/100</f>
        <v>112310.35</v>
      </c>
      <c r="H1344" s="457"/>
    </row>
    <row r="1345" spans="1:10">
      <c r="B1345" s="868"/>
      <c r="C1345" s="484" t="s">
        <v>87</v>
      </c>
      <c r="D1345" s="488">
        <v>92</v>
      </c>
      <c r="E1345" s="451" t="s">
        <v>46</v>
      </c>
      <c r="F1345" s="457">
        <f>F1333</f>
        <v>26.4</v>
      </c>
      <c r="G1345" s="457">
        <f>INT(D1345*F1345*100)/100</f>
        <v>2428.8000000000002</v>
      </c>
      <c r="H1345" s="457"/>
    </row>
    <row r="1346" spans="1:10">
      <c r="B1346" s="865"/>
      <c r="C1346" s="484" t="s">
        <v>88</v>
      </c>
      <c r="D1346" s="488">
        <v>184</v>
      </c>
      <c r="E1346" s="451" t="s">
        <v>46</v>
      </c>
      <c r="F1346" s="457">
        <f>F1334</f>
        <v>0.96333333333333337</v>
      </c>
      <c r="G1346" s="457">
        <f>INT(D1346*F1346*100)/100</f>
        <v>177.25</v>
      </c>
      <c r="H1346" s="457"/>
    </row>
    <row r="1347" spans="1:10">
      <c r="B1347" s="855" t="s">
        <v>62</v>
      </c>
      <c r="C1347" s="855"/>
      <c r="D1347" s="856" t="s">
        <v>61</v>
      </c>
      <c r="E1347" s="856"/>
      <c r="F1347" s="856"/>
      <c r="G1347" s="457">
        <f>SUM(G1342:G1346)</f>
        <v>158674.4</v>
      </c>
      <c r="H1347" s="457"/>
    </row>
    <row r="1348" spans="1:10" ht="12.75" customHeight="1">
      <c r="B1348" s="855"/>
      <c r="C1348" s="855"/>
      <c r="D1348" s="857" t="s">
        <v>573</v>
      </c>
      <c r="E1348" s="857"/>
      <c r="F1348" s="857"/>
      <c r="G1348" s="457">
        <f>INT(15%*G1347*100)/100</f>
        <v>23801.16</v>
      </c>
      <c r="H1348" s="457"/>
    </row>
    <row r="1349" spans="1:10" ht="12.75" customHeight="1">
      <c r="B1349" s="855"/>
      <c r="C1349" s="855"/>
      <c r="D1349" s="856" t="s">
        <v>47</v>
      </c>
      <c r="E1349" s="856"/>
      <c r="F1349" s="856"/>
      <c r="G1349" s="457">
        <f>SUM(G1347:G1348)</f>
        <v>182475.56</v>
      </c>
      <c r="H1349" s="457"/>
    </row>
    <row r="1350" spans="1:10" ht="12.75" customHeight="1">
      <c r="B1350" s="494"/>
      <c r="C1350" s="494"/>
      <c r="D1350" s="476"/>
      <c r="E1350" s="476"/>
      <c r="F1350" s="584"/>
      <c r="G1350" s="477"/>
      <c r="H1350" s="477"/>
    </row>
    <row r="1351" spans="1:10" ht="12.75" customHeight="1">
      <c r="B1351" s="458"/>
      <c r="C1351" s="458"/>
      <c r="F1351" s="462"/>
      <c r="G1351" s="460"/>
      <c r="H1351" s="460"/>
    </row>
    <row r="1352" spans="1:10" ht="25.5" customHeight="1">
      <c r="A1352" s="507">
        <v>7.03</v>
      </c>
      <c r="B1352" s="446" t="s">
        <v>376</v>
      </c>
      <c r="C1352" s="927" t="s">
        <v>1119</v>
      </c>
      <c r="D1352" s="928"/>
      <c r="E1352" s="928"/>
      <c r="F1352" s="447" t="s">
        <v>50</v>
      </c>
      <c r="G1352" s="448">
        <f>TRUNC(G1363/2.114,2)</f>
        <v>13757.46</v>
      </c>
      <c r="H1352" s="448">
        <f>TRUNC(G1365/2.114,2)</f>
        <v>15821.08</v>
      </c>
    </row>
    <row r="1353" spans="1:10">
      <c r="B1353" s="450" t="s">
        <v>80</v>
      </c>
      <c r="C1353" s="451" t="s">
        <v>81</v>
      </c>
      <c r="D1353" s="451" t="s">
        <v>44</v>
      </c>
      <c r="E1353" s="451" t="s">
        <v>45</v>
      </c>
      <c r="F1353" s="452" t="s">
        <v>58</v>
      </c>
      <c r="G1353" s="452" t="s">
        <v>59</v>
      </c>
      <c r="H1353" s="452" t="s">
        <v>52</v>
      </c>
    </row>
    <row r="1354" spans="1:10">
      <c r="B1354" s="864" t="s">
        <v>60</v>
      </c>
      <c r="C1354" s="484" t="s">
        <v>69</v>
      </c>
      <c r="D1354" s="455">
        <v>10</v>
      </c>
      <c r="E1354" s="451" t="s">
        <v>46</v>
      </c>
      <c r="F1354" s="457">
        <f>F1342</f>
        <v>1200</v>
      </c>
      <c r="G1354" s="457">
        <f>INT(D1354*F1354*100)/100</f>
        <v>12000</v>
      </c>
      <c r="H1354" s="457"/>
    </row>
    <row r="1355" spans="1:10">
      <c r="B1355" s="865"/>
      <c r="C1355" s="484" t="s">
        <v>43</v>
      </c>
      <c r="D1355" s="455">
        <v>1</v>
      </c>
      <c r="E1355" s="451" t="s">
        <v>46</v>
      </c>
      <c r="F1355" s="457">
        <f>F1343</f>
        <v>870</v>
      </c>
      <c r="G1355" s="457">
        <f t="shared" ref="G1355:G1361" si="86">INT(D1355*F1355*100)/100</f>
        <v>870</v>
      </c>
      <c r="H1355" s="457"/>
    </row>
    <row r="1356" spans="1:10" ht="52.8">
      <c r="B1356" s="864" t="s">
        <v>63</v>
      </c>
      <c r="C1356" s="484" t="s">
        <v>1501</v>
      </c>
      <c r="D1356" s="455">
        <v>7.0999999999999994E-2</v>
      </c>
      <c r="E1356" s="451" t="s">
        <v>68</v>
      </c>
      <c r="F1356" s="457">
        <f>F1332</f>
        <v>211680</v>
      </c>
      <c r="G1356" s="457">
        <f>INT(D1356*F1356*100)/100</f>
        <v>15029.28</v>
      </c>
      <c r="H1356" s="593" t="s">
        <v>1118</v>
      </c>
      <c r="I1356" s="443">
        <f>2.114*0.032</f>
        <v>6.7648E-2</v>
      </c>
      <c r="J1356" s="443">
        <f>2.114*0.032</f>
        <v>6.7648E-2</v>
      </c>
    </row>
    <row r="1357" spans="1:10">
      <c r="B1357" s="868"/>
      <c r="C1357" s="484" t="s">
        <v>89</v>
      </c>
      <c r="D1357" s="455">
        <v>6</v>
      </c>
      <c r="E1357" s="451" t="s">
        <v>46</v>
      </c>
      <c r="F1357" s="457">
        <f>'Basic Rate'!F95</f>
        <v>66</v>
      </c>
      <c r="G1357" s="457">
        <f t="shared" si="86"/>
        <v>396</v>
      </c>
      <c r="H1357" s="457"/>
      <c r="I1357" s="443">
        <f>1.05*I1356</f>
        <v>7.1030400000000007E-2</v>
      </c>
      <c r="J1357" s="443">
        <f>J1356*1.05</f>
        <v>7.1030400000000007E-2</v>
      </c>
    </row>
    <row r="1358" spans="1:10">
      <c r="B1358" s="868"/>
      <c r="C1358" s="484" t="s">
        <v>90</v>
      </c>
      <c r="D1358" s="455">
        <v>1</v>
      </c>
      <c r="E1358" s="451" t="s">
        <v>46</v>
      </c>
      <c r="F1358" s="457">
        <f>'Basic Rate'!F203</f>
        <v>79</v>
      </c>
      <c r="G1358" s="457">
        <f t="shared" si="86"/>
        <v>79</v>
      </c>
      <c r="H1358" s="457"/>
    </row>
    <row r="1359" spans="1:10">
      <c r="B1359" s="868"/>
      <c r="C1359" s="484" t="s">
        <v>91</v>
      </c>
      <c r="D1359" s="455">
        <v>1</v>
      </c>
      <c r="E1359" s="456" t="s">
        <v>46</v>
      </c>
      <c r="F1359" s="457">
        <f>'Basic Rate'!F204</f>
        <v>110</v>
      </c>
      <c r="G1359" s="457">
        <f t="shared" si="86"/>
        <v>110</v>
      </c>
      <c r="H1359" s="457"/>
    </row>
    <row r="1360" spans="1:10">
      <c r="B1360" s="868"/>
      <c r="C1360" s="484" t="str">
        <f>'Basic Rate'!B112</f>
        <v>Lockingset  250</v>
      </c>
      <c r="D1360" s="455">
        <v>1</v>
      </c>
      <c r="E1360" s="451" t="s">
        <v>46</v>
      </c>
      <c r="F1360" s="457">
        <f>'Basic Rate'!F112</f>
        <v>358</v>
      </c>
      <c r="G1360" s="457">
        <f t="shared" si="86"/>
        <v>358</v>
      </c>
      <c r="H1360" s="457"/>
    </row>
    <row r="1361" spans="1:9">
      <c r="B1361" s="868"/>
      <c r="C1361" s="484" t="s">
        <v>95</v>
      </c>
      <c r="D1361" s="455">
        <v>2</v>
      </c>
      <c r="E1361" s="451" t="s">
        <v>46</v>
      </c>
      <c r="F1361" s="457">
        <f>'Basic Rate'!F92</f>
        <v>83</v>
      </c>
      <c r="G1361" s="457">
        <f t="shared" si="86"/>
        <v>166</v>
      </c>
      <c r="H1361" s="457"/>
    </row>
    <row r="1362" spans="1:9">
      <c r="B1362" s="865"/>
      <c r="C1362" s="484" t="s">
        <v>93</v>
      </c>
      <c r="D1362" s="451" t="s">
        <v>86</v>
      </c>
      <c r="E1362" s="451"/>
      <c r="F1362" s="452"/>
      <c r="G1362" s="457">
        <v>75</v>
      </c>
      <c r="H1362" s="457"/>
    </row>
    <row r="1363" spans="1:9">
      <c r="B1363" s="855" t="s">
        <v>159</v>
      </c>
      <c r="C1363" s="855"/>
      <c r="D1363" s="856" t="s">
        <v>61</v>
      </c>
      <c r="E1363" s="856"/>
      <c r="F1363" s="856"/>
      <c r="G1363" s="457">
        <f>SUM(G1354:G1362)</f>
        <v>29083.279999999999</v>
      </c>
      <c r="H1363" s="457"/>
    </row>
    <row r="1364" spans="1:9">
      <c r="B1364" s="855"/>
      <c r="C1364" s="855"/>
      <c r="D1364" s="857" t="s">
        <v>573</v>
      </c>
      <c r="E1364" s="857"/>
      <c r="F1364" s="857"/>
      <c r="G1364" s="457">
        <f>INT(15%*G1363*100)/100</f>
        <v>4362.49</v>
      </c>
      <c r="H1364" s="457"/>
    </row>
    <row r="1365" spans="1:9">
      <c r="B1365" s="855"/>
      <c r="C1365" s="855"/>
      <c r="D1365" s="856" t="s">
        <v>47</v>
      </c>
      <c r="E1365" s="856"/>
      <c r="F1365" s="856"/>
      <c r="G1365" s="457">
        <f>SUM(G1363:G1364)</f>
        <v>33445.769999999997</v>
      </c>
      <c r="H1365" s="457"/>
    </row>
    <row r="1366" spans="1:9">
      <c r="F1366" s="460"/>
      <c r="G1366" s="460"/>
      <c r="H1366" s="460"/>
    </row>
    <row r="1367" spans="1:9" ht="38.25" customHeight="1">
      <c r="A1367" s="507">
        <v>7.04</v>
      </c>
      <c r="B1367" s="446" t="s">
        <v>377</v>
      </c>
      <c r="C1367" s="927" t="s">
        <v>1508</v>
      </c>
      <c r="D1367" s="928"/>
      <c r="E1367" s="928"/>
      <c r="F1367" s="447" t="s">
        <v>50</v>
      </c>
      <c r="G1367" s="448">
        <f>TRUNC(G1377/2.23,2)</f>
        <v>10135.43</v>
      </c>
      <c r="H1367" s="448">
        <f>TRUNC(G1379/2.23,2)</f>
        <v>11655.74</v>
      </c>
    </row>
    <row r="1368" spans="1:9">
      <c r="B1368" s="450" t="s">
        <v>80</v>
      </c>
      <c r="C1368" s="451" t="s">
        <v>81</v>
      </c>
      <c r="D1368" s="451" t="s">
        <v>44</v>
      </c>
      <c r="E1368" s="451" t="s">
        <v>45</v>
      </c>
      <c r="F1368" s="452" t="s">
        <v>58</v>
      </c>
      <c r="G1368" s="452" t="s">
        <v>59</v>
      </c>
      <c r="H1368" s="452" t="s">
        <v>52</v>
      </c>
    </row>
    <row r="1369" spans="1:9">
      <c r="B1369" s="864" t="s">
        <v>60</v>
      </c>
      <c r="C1369" s="484" t="s">
        <v>69</v>
      </c>
      <c r="D1369" s="455">
        <v>9</v>
      </c>
      <c r="E1369" s="451" t="s">
        <v>46</v>
      </c>
      <c r="F1369" s="457">
        <f>F1354</f>
        <v>1200</v>
      </c>
      <c r="G1369" s="457">
        <f t="shared" ref="G1369:G1375" si="87">INT(D1369*F1369*100)/100</f>
        <v>10800</v>
      </c>
      <c r="H1369" s="513"/>
    </row>
    <row r="1370" spans="1:9">
      <c r="B1370" s="865"/>
      <c r="C1370" s="484" t="s">
        <v>43</v>
      </c>
      <c r="D1370" s="455">
        <v>0.9</v>
      </c>
      <c r="E1370" s="451" t="s">
        <v>46</v>
      </c>
      <c r="F1370" s="457">
        <f>F1355</f>
        <v>870</v>
      </c>
      <c r="G1370" s="457">
        <f t="shared" si="87"/>
        <v>783</v>
      </c>
      <c r="H1370" s="513"/>
    </row>
    <row r="1371" spans="1:9" ht="52.8">
      <c r="B1371" s="864" t="s">
        <v>63</v>
      </c>
      <c r="C1371" s="484" t="s">
        <v>1501</v>
      </c>
      <c r="D1371" s="455">
        <v>4.1000000000000002E-2</v>
      </c>
      <c r="E1371" s="451" t="s">
        <v>68</v>
      </c>
      <c r="F1371" s="457">
        <f>F1356</f>
        <v>211680</v>
      </c>
      <c r="G1371" s="457">
        <f t="shared" si="87"/>
        <v>8678.8799999999992</v>
      </c>
      <c r="H1371" s="593" t="s">
        <v>1123</v>
      </c>
      <c r="I1371" s="443">
        <f>0.049/0.038*0.032</f>
        <v>4.1263157894736842E-2</v>
      </c>
    </row>
    <row r="1372" spans="1:9">
      <c r="B1372" s="868"/>
      <c r="C1372" s="484" t="s">
        <v>1509</v>
      </c>
      <c r="D1372" s="455">
        <v>1.085</v>
      </c>
      <c r="E1372" s="451" t="s">
        <v>50</v>
      </c>
      <c r="F1372" s="457">
        <f>'Basic Rate'!F86</f>
        <v>1378</v>
      </c>
      <c r="G1372" s="457">
        <f t="shared" si="87"/>
        <v>1495.13</v>
      </c>
      <c r="H1372" s="513"/>
    </row>
    <row r="1373" spans="1:9">
      <c r="B1373" s="868"/>
      <c r="C1373" s="484" t="s">
        <v>135</v>
      </c>
      <c r="D1373" s="455">
        <v>8</v>
      </c>
      <c r="E1373" s="451" t="s">
        <v>46</v>
      </c>
      <c r="F1373" s="457">
        <f>'Basic Rate'!F94</f>
        <v>44</v>
      </c>
      <c r="G1373" s="457">
        <f t="shared" si="87"/>
        <v>352</v>
      </c>
      <c r="H1373" s="513"/>
    </row>
    <row r="1374" spans="1:9">
      <c r="B1374" s="868"/>
      <c r="C1374" s="484" t="s">
        <v>94</v>
      </c>
      <c r="D1374" s="455">
        <v>4</v>
      </c>
      <c r="E1374" s="451" t="s">
        <v>46</v>
      </c>
      <c r="F1374" s="457">
        <f>'Basic Rate'!F202</f>
        <v>63</v>
      </c>
      <c r="G1374" s="457">
        <f t="shared" si="87"/>
        <v>252</v>
      </c>
      <c r="H1374" s="513"/>
    </row>
    <row r="1375" spans="1:9">
      <c r="B1375" s="868"/>
      <c r="C1375" s="484" t="s">
        <v>95</v>
      </c>
      <c r="D1375" s="455">
        <v>2</v>
      </c>
      <c r="E1375" s="451" t="s">
        <v>46</v>
      </c>
      <c r="F1375" s="457">
        <f>F1361</f>
        <v>83</v>
      </c>
      <c r="G1375" s="457">
        <f t="shared" si="87"/>
        <v>166</v>
      </c>
      <c r="H1375" s="513"/>
    </row>
    <row r="1376" spans="1:9">
      <c r="B1376" s="865"/>
      <c r="C1376" s="484" t="s">
        <v>93</v>
      </c>
      <c r="D1376" s="451" t="s">
        <v>86</v>
      </c>
      <c r="E1376" s="451"/>
      <c r="F1376" s="452"/>
      <c r="G1376" s="457">
        <v>75</v>
      </c>
      <c r="H1376" s="513"/>
    </row>
    <row r="1377" spans="1:8">
      <c r="B1377" s="855" t="s">
        <v>160</v>
      </c>
      <c r="C1377" s="855"/>
      <c r="D1377" s="856" t="s">
        <v>61</v>
      </c>
      <c r="E1377" s="856"/>
      <c r="F1377" s="856"/>
      <c r="G1377" s="457">
        <f>SUM(G1369:G1376)</f>
        <v>22602.01</v>
      </c>
      <c r="H1377" s="457"/>
    </row>
    <row r="1378" spans="1:8">
      <c r="B1378" s="855"/>
      <c r="C1378" s="855"/>
      <c r="D1378" s="857" t="s">
        <v>573</v>
      </c>
      <c r="E1378" s="857"/>
      <c r="F1378" s="857"/>
      <c r="G1378" s="457">
        <f>INT(15%*G1377*100)/100</f>
        <v>3390.3</v>
      </c>
      <c r="H1378" s="457"/>
    </row>
    <row r="1379" spans="1:8">
      <c r="B1379" s="855"/>
      <c r="C1379" s="855"/>
      <c r="D1379" s="856" t="s">
        <v>47</v>
      </c>
      <c r="E1379" s="856"/>
      <c r="F1379" s="856"/>
      <c r="G1379" s="457">
        <f>SUM(G1377:G1378)</f>
        <v>25992.309999999998</v>
      </c>
      <c r="H1379" s="457"/>
    </row>
    <row r="1380" spans="1:8">
      <c r="B1380" s="458"/>
      <c r="C1380" s="458"/>
      <c r="F1380" s="509"/>
      <c r="G1380" s="460"/>
      <c r="H1380" s="460"/>
    </row>
    <row r="1381" spans="1:8" ht="38.25" customHeight="1">
      <c r="A1381" s="507" t="s">
        <v>700</v>
      </c>
      <c r="B1381" s="446" t="s">
        <v>377</v>
      </c>
      <c r="C1381" s="927" t="s">
        <v>1510</v>
      </c>
      <c r="D1381" s="928"/>
      <c r="E1381" s="928"/>
      <c r="F1381" s="447" t="s">
        <v>50</v>
      </c>
      <c r="G1381" s="448">
        <f>TRUNC(G1391/2.23,2)</f>
        <v>10055.14</v>
      </c>
      <c r="H1381" s="448">
        <f>TRUNC(G1393/2.23,2)</f>
        <v>11563.41</v>
      </c>
    </row>
    <row r="1382" spans="1:8">
      <c r="B1382" s="450" t="s">
        <v>80</v>
      </c>
      <c r="C1382" s="451" t="s">
        <v>81</v>
      </c>
      <c r="D1382" s="451" t="s">
        <v>44</v>
      </c>
      <c r="E1382" s="451" t="s">
        <v>45</v>
      </c>
      <c r="F1382" s="452" t="s">
        <v>58</v>
      </c>
      <c r="G1382" s="452" t="s">
        <v>59</v>
      </c>
      <c r="H1382" s="452" t="s">
        <v>52</v>
      </c>
    </row>
    <row r="1383" spans="1:8">
      <c r="B1383" s="864" t="s">
        <v>60</v>
      </c>
      <c r="C1383" s="484" t="s">
        <v>69</v>
      </c>
      <c r="D1383" s="455">
        <v>9</v>
      </c>
      <c r="E1383" s="451" t="s">
        <v>46</v>
      </c>
      <c r="F1383" s="457">
        <f>F1369</f>
        <v>1200</v>
      </c>
      <c r="G1383" s="457">
        <f t="shared" ref="G1383:G1389" si="88">INT(D1383*F1383*100)/100</f>
        <v>10800</v>
      </c>
      <c r="H1383" s="513"/>
    </row>
    <row r="1384" spans="1:8">
      <c r="B1384" s="865"/>
      <c r="C1384" s="484" t="s">
        <v>43</v>
      </c>
      <c r="D1384" s="455">
        <v>0.9</v>
      </c>
      <c r="E1384" s="451" t="s">
        <v>46</v>
      </c>
      <c r="F1384" s="457">
        <f>F1370</f>
        <v>870</v>
      </c>
      <c r="G1384" s="457">
        <f t="shared" si="88"/>
        <v>783</v>
      </c>
      <c r="H1384" s="513"/>
    </row>
    <row r="1385" spans="1:8" ht="52.8">
      <c r="B1385" s="864" t="s">
        <v>63</v>
      </c>
      <c r="C1385" s="484" t="s">
        <v>1501</v>
      </c>
      <c r="D1385" s="455">
        <v>4.1000000000000002E-2</v>
      </c>
      <c r="E1385" s="451" t="s">
        <v>68</v>
      </c>
      <c r="F1385" s="457">
        <f>F1371</f>
        <v>211680</v>
      </c>
      <c r="G1385" s="457">
        <f t="shared" si="88"/>
        <v>8678.8799999999992</v>
      </c>
      <c r="H1385" s="593" t="s">
        <v>1123</v>
      </c>
    </row>
    <row r="1386" spans="1:8">
      <c r="B1386" s="868"/>
      <c r="C1386" s="484" t="s">
        <v>1511</v>
      </c>
      <c r="D1386" s="455">
        <v>1.085</v>
      </c>
      <c r="E1386" s="451" t="s">
        <v>50</v>
      </c>
      <c r="F1386" s="457">
        <f>'Basic Rate'!F85</f>
        <v>1213</v>
      </c>
      <c r="G1386" s="457">
        <f t="shared" si="88"/>
        <v>1316.1</v>
      </c>
      <c r="H1386" s="513"/>
    </row>
    <row r="1387" spans="1:8">
      <c r="B1387" s="868"/>
      <c r="C1387" s="484" t="s">
        <v>135</v>
      </c>
      <c r="D1387" s="455">
        <v>8</v>
      </c>
      <c r="E1387" s="451" t="s">
        <v>50</v>
      </c>
      <c r="F1387" s="457">
        <f>F1373</f>
        <v>44</v>
      </c>
      <c r="G1387" s="457">
        <f t="shared" si="88"/>
        <v>352</v>
      </c>
      <c r="H1387" s="513"/>
    </row>
    <row r="1388" spans="1:8">
      <c r="B1388" s="868"/>
      <c r="C1388" s="484" t="s">
        <v>94</v>
      </c>
      <c r="D1388" s="455">
        <v>4</v>
      </c>
      <c r="E1388" s="451" t="s">
        <v>68</v>
      </c>
      <c r="F1388" s="457">
        <f>F1374</f>
        <v>63</v>
      </c>
      <c r="G1388" s="457">
        <f t="shared" si="88"/>
        <v>252</v>
      </c>
      <c r="H1388" s="513"/>
    </row>
    <row r="1389" spans="1:8">
      <c r="B1389" s="868"/>
      <c r="C1389" s="484" t="s">
        <v>95</v>
      </c>
      <c r="D1389" s="455">
        <v>2</v>
      </c>
      <c r="E1389" s="451" t="s">
        <v>46</v>
      </c>
      <c r="F1389" s="457">
        <f>F1375</f>
        <v>83</v>
      </c>
      <c r="G1389" s="457">
        <f t="shared" si="88"/>
        <v>166</v>
      </c>
      <c r="H1389" s="513"/>
    </row>
    <row r="1390" spans="1:8">
      <c r="B1390" s="865"/>
      <c r="C1390" s="484" t="s">
        <v>93</v>
      </c>
      <c r="D1390" s="451" t="s">
        <v>86</v>
      </c>
      <c r="E1390" s="451"/>
      <c r="F1390" s="452"/>
      <c r="G1390" s="457">
        <v>75</v>
      </c>
      <c r="H1390" s="513"/>
    </row>
    <row r="1391" spans="1:8">
      <c r="B1391" s="855" t="s">
        <v>160</v>
      </c>
      <c r="C1391" s="855"/>
      <c r="D1391" s="856" t="s">
        <v>61</v>
      </c>
      <c r="E1391" s="856"/>
      <c r="F1391" s="856"/>
      <c r="G1391" s="457">
        <f>SUM(G1383:G1390)</f>
        <v>22422.979999999996</v>
      </c>
      <c r="H1391" s="457"/>
    </row>
    <row r="1392" spans="1:8">
      <c r="B1392" s="855"/>
      <c r="C1392" s="855"/>
      <c r="D1392" s="857" t="s">
        <v>573</v>
      </c>
      <c r="E1392" s="857"/>
      <c r="F1392" s="857"/>
      <c r="G1392" s="457">
        <f>INT(15%*G1391*100)/100</f>
        <v>3363.44</v>
      </c>
      <c r="H1392" s="457"/>
    </row>
    <row r="1393" spans="1:8">
      <c r="B1393" s="935"/>
      <c r="C1393" s="935"/>
      <c r="D1393" s="885" t="s">
        <v>47</v>
      </c>
      <c r="E1393" s="885"/>
      <c r="F1393" s="885"/>
      <c r="G1393" s="475">
        <f>SUM(G1391:G1392)</f>
        <v>25786.419999999995</v>
      </c>
      <c r="H1393" s="475"/>
    </row>
    <row r="1394" spans="1:8">
      <c r="B1394" s="494"/>
      <c r="C1394" s="494"/>
      <c r="D1394" s="476"/>
      <c r="E1394" s="476"/>
      <c r="F1394" s="476"/>
      <c r="G1394" s="477"/>
      <c r="H1394" s="477"/>
    </row>
    <row r="1395" spans="1:8" ht="38.25" customHeight="1">
      <c r="A1395" s="507">
        <v>7.05</v>
      </c>
      <c r="B1395" s="446" t="s">
        <v>377</v>
      </c>
      <c r="C1395" s="927" t="s">
        <v>1512</v>
      </c>
      <c r="D1395" s="928"/>
      <c r="E1395" s="928"/>
      <c r="F1395" s="447" t="s">
        <v>50</v>
      </c>
      <c r="G1395" s="448">
        <f>TRUNC(G1405/2.23,2)</f>
        <v>7520.08</v>
      </c>
      <c r="H1395" s="448">
        <f>TRUNC(G1407/2.23,2)</f>
        <v>8648.1</v>
      </c>
    </row>
    <row r="1396" spans="1:8">
      <c r="B1396" s="450" t="s">
        <v>80</v>
      </c>
      <c r="C1396" s="451" t="s">
        <v>81</v>
      </c>
      <c r="D1396" s="451" t="s">
        <v>44</v>
      </c>
      <c r="E1396" s="451" t="s">
        <v>45</v>
      </c>
      <c r="F1396" s="452" t="s">
        <v>58</v>
      </c>
      <c r="G1396" s="452" t="s">
        <v>59</v>
      </c>
      <c r="H1396" s="452" t="s">
        <v>52</v>
      </c>
    </row>
    <row r="1397" spans="1:8">
      <c r="B1397" s="887" t="s">
        <v>60</v>
      </c>
      <c r="C1397" s="484" t="s">
        <v>69</v>
      </c>
      <c r="D1397" s="455">
        <v>9</v>
      </c>
      <c r="E1397" s="451" t="s">
        <v>46</v>
      </c>
      <c r="F1397" s="457">
        <f>F1383</f>
        <v>1200</v>
      </c>
      <c r="G1397" s="457">
        <f t="shared" ref="G1397:G1403" si="89">INT(D1397*F1397*100)/100</f>
        <v>10800</v>
      </c>
      <c r="H1397" s="513"/>
    </row>
    <row r="1398" spans="1:8" ht="12.75" customHeight="1">
      <c r="B1398" s="887"/>
      <c r="C1398" s="484" t="s">
        <v>43</v>
      </c>
      <c r="D1398" s="455">
        <v>0.9</v>
      </c>
      <c r="E1398" s="451" t="s">
        <v>46</v>
      </c>
      <c r="F1398" s="457">
        <f>F1384</f>
        <v>870</v>
      </c>
      <c r="G1398" s="457">
        <f t="shared" si="89"/>
        <v>783</v>
      </c>
      <c r="H1398" s="513"/>
    </row>
    <row r="1399" spans="1:8" ht="52.8">
      <c r="B1399" s="887" t="s">
        <v>63</v>
      </c>
      <c r="C1399" s="484" t="s">
        <v>1513</v>
      </c>
      <c r="D1399" s="455">
        <v>4.1000000000000002E-2</v>
      </c>
      <c r="E1399" s="451" t="s">
        <v>68</v>
      </c>
      <c r="F1399" s="457">
        <f>'Basic Rate'!F222</f>
        <v>69431.040000000008</v>
      </c>
      <c r="G1399" s="457">
        <f t="shared" si="89"/>
        <v>2846.67</v>
      </c>
      <c r="H1399" s="593" t="s">
        <v>1123</v>
      </c>
    </row>
    <row r="1400" spans="1:8">
      <c r="B1400" s="887"/>
      <c r="C1400" s="484" t="s">
        <v>1509</v>
      </c>
      <c r="D1400" s="455">
        <v>1.085</v>
      </c>
      <c r="E1400" s="451" t="s">
        <v>50</v>
      </c>
      <c r="F1400" s="457">
        <f>F1372</f>
        <v>1378</v>
      </c>
      <c r="G1400" s="457">
        <f t="shared" si="89"/>
        <v>1495.13</v>
      </c>
      <c r="H1400" s="513"/>
    </row>
    <row r="1401" spans="1:8">
      <c r="B1401" s="887"/>
      <c r="C1401" s="484" t="s">
        <v>135</v>
      </c>
      <c r="D1401" s="455">
        <v>8</v>
      </c>
      <c r="E1401" s="451" t="s">
        <v>46</v>
      </c>
      <c r="F1401" s="457">
        <f>F1387</f>
        <v>44</v>
      </c>
      <c r="G1401" s="457">
        <f t="shared" si="89"/>
        <v>352</v>
      </c>
      <c r="H1401" s="513"/>
    </row>
    <row r="1402" spans="1:8">
      <c r="B1402" s="887"/>
      <c r="C1402" s="484" t="s">
        <v>94</v>
      </c>
      <c r="D1402" s="455">
        <v>4</v>
      </c>
      <c r="E1402" s="451" t="s">
        <v>46</v>
      </c>
      <c r="F1402" s="457">
        <f>F1388</f>
        <v>63</v>
      </c>
      <c r="G1402" s="457">
        <f t="shared" si="89"/>
        <v>252</v>
      </c>
      <c r="H1402" s="513"/>
    </row>
    <row r="1403" spans="1:8">
      <c r="B1403" s="887"/>
      <c r="C1403" s="484" t="s">
        <v>95</v>
      </c>
      <c r="D1403" s="455">
        <v>2</v>
      </c>
      <c r="E1403" s="451" t="s">
        <v>46</v>
      </c>
      <c r="F1403" s="457">
        <f>F1389</f>
        <v>83</v>
      </c>
      <c r="G1403" s="457">
        <f t="shared" si="89"/>
        <v>166</v>
      </c>
      <c r="H1403" s="513"/>
    </row>
    <row r="1404" spans="1:8">
      <c r="B1404" s="887"/>
      <c r="C1404" s="484" t="s">
        <v>93</v>
      </c>
      <c r="D1404" s="451" t="s">
        <v>86</v>
      </c>
      <c r="E1404" s="451"/>
      <c r="F1404" s="452"/>
      <c r="G1404" s="457">
        <v>75</v>
      </c>
      <c r="H1404" s="513"/>
    </row>
    <row r="1405" spans="1:8">
      <c r="B1405" s="855" t="s">
        <v>160</v>
      </c>
      <c r="C1405" s="855"/>
      <c r="D1405" s="856" t="s">
        <v>61</v>
      </c>
      <c r="E1405" s="856"/>
      <c r="F1405" s="856"/>
      <c r="G1405" s="457">
        <f>SUM(G1397:G1404)</f>
        <v>16769.8</v>
      </c>
      <c r="H1405" s="457"/>
    </row>
    <row r="1406" spans="1:8">
      <c r="B1406" s="855"/>
      <c r="C1406" s="855"/>
      <c r="D1406" s="857" t="s">
        <v>573</v>
      </c>
      <c r="E1406" s="857"/>
      <c r="F1406" s="857"/>
      <c r="G1406" s="457">
        <f>INT(15%*G1405*100)/100</f>
        <v>2515.4699999999998</v>
      </c>
      <c r="H1406" s="457"/>
    </row>
    <row r="1407" spans="1:8">
      <c r="B1407" s="855"/>
      <c r="C1407" s="855"/>
      <c r="D1407" s="856" t="s">
        <v>47</v>
      </c>
      <c r="E1407" s="856"/>
      <c r="F1407" s="856"/>
      <c r="G1407" s="457">
        <f>SUM(G1405:G1406)</f>
        <v>19285.27</v>
      </c>
      <c r="H1407" s="457"/>
    </row>
    <row r="1408" spans="1:8">
      <c r="B1408" s="458"/>
      <c r="C1408" s="458"/>
      <c r="F1408" s="509"/>
      <c r="G1408" s="460"/>
      <c r="H1408" s="460"/>
    </row>
    <row r="1409" spans="1:9" ht="38.25" customHeight="1">
      <c r="A1409" s="507">
        <v>7.06</v>
      </c>
      <c r="B1409" s="446" t="s">
        <v>378</v>
      </c>
      <c r="C1409" s="876" t="s">
        <v>1143</v>
      </c>
      <c r="D1409" s="877"/>
      <c r="E1409" s="877"/>
      <c r="F1409" s="447" t="s">
        <v>50</v>
      </c>
      <c r="G1409" s="448">
        <f>TRUNC(G1419/2.245,2)</f>
        <v>8226</v>
      </c>
      <c r="H1409" s="448">
        <f>TRUNC(G1421/2.245,2)</f>
        <v>9459.9</v>
      </c>
    </row>
    <row r="1410" spans="1:9">
      <c r="B1410" s="450" t="s">
        <v>80</v>
      </c>
      <c r="C1410" s="451" t="s">
        <v>81</v>
      </c>
      <c r="D1410" s="451" t="s">
        <v>44</v>
      </c>
      <c r="E1410" s="451" t="s">
        <v>45</v>
      </c>
      <c r="F1410" s="452" t="s">
        <v>58</v>
      </c>
      <c r="G1410" s="452" t="s">
        <v>59</v>
      </c>
      <c r="H1410" s="452" t="s">
        <v>52</v>
      </c>
    </row>
    <row r="1411" spans="1:9">
      <c r="B1411" s="864" t="s">
        <v>60</v>
      </c>
      <c r="C1411" s="484" t="s">
        <v>69</v>
      </c>
      <c r="D1411" s="455">
        <v>7</v>
      </c>
      <c r="E1411" s="451" t="s">
        <v>46</v>
      </c>
      <c r="F1411" s="457">
        <f>F1397</f>
        <v>1200</v>
      </c>
      <c r="G1411" s="457">
        <f>INT(D1411*F1411*100)/100</f>
        <v>8400</v>
      </c>
      <c r="H1411" s="457"/>
    </row>
    <row r="1412" spans="1:9">
      <c r="B1412" s="865"/>
      <c r="C1412" s="484" t="s">
        <v>43</v>
      </c>
      <c r="D1412" s="455">
        <v>0.7</v>
      </c>
      <c r="E1412" s="451" t="s">
        <v>46</v>
      </c>
      <c r="F1412" s="457">
        <f>F1398</f>
        <v>870</v>
      </c>
      <c r="G1412" s="457">
        <f t="shared" ref="G1412:G1417" si="90">INT(D1412*F1412*100)/100</f>
        <v>609</v>
      </c>
      <c r="H1412" s="457"/>
    </row>
    <row r="1413" spans="1:9" ht="52.8">
      <c r="B1413" s="864" t="s">
        <v>63</v>
      </c>
      <c r="C1413" s="484" t="s">
        <v>1501</v>
      </c>
      <c r="D1413" s="512">
        <v>2.9100000000000001E-2</v>
      </c>
      <c r="E1413" s="451" t="s">
        <v>68</v>
      </c>
      <c r="F1413" s="457">
        <f>F1385</f>
        <v>211680</v>
      </c>
      <c r="G1413" s="457">
        <f t="shared" si="90"/>
        <v>6159.88</v>
      </c>
      <c r="H1413" s="593" t="s">
        <v>1124</v>
      </c>
      <c r="I1413" s="443">
        <f>0.0346/0.038*0.032</f>
        <v>2.9136842105263155E-2</v>
      </c>
    </row>
    <row r="1414" spans="1:9">
      <c r="B1414" s="868"/>
      <c r="C1414" s="484" t="s">
        <v>1514</v>
      </c>
      <c r="D1414" s="455">
        <v>4.6500000000000004</v>
      </c>
      <c r="E1414" s="451" t="s">
        <v>50</v>
      </c>
      <c r="F1414" s="457">
        <f>'Basic Rate'!$F$155</f>
        <v>290</v>
      </c>
      <c r="G1414" s="457">
        <f t="shared" si="90"/>
        <v>1348.5</v>
      </c>
      <c r="H1414" s="457"/>
    </row>
    <row r="1415" spans="1:9" ht="12.75" customHeight="1">
      <c r="B1415" s="868"/>
      <c r="C1415" s="484" t="s">
        <v>89</v>
      </c>
      <c r="D1415" s="455">
        <v>3</v>
      </c>
      <c r="E1415" s="451" t="s">
        <v>46</v>
      </c>
      <c r="F1415" s="457">
        <f>'Basic Rate'!F95</f>
        <v>66</v>
      </c>
      <c r="G1415" s="457">
        <f t="shared" si="90"/>
        <v>198</v>
      </c>
      <c r="H1415" s="457"/>
    </row>
    <row r="1416" spans="1:9">
      <c r="B1416" s="868"/>
      <c r="C1416" s="484" t="s">
        <v>90</v>
      </c>
      <c r="D1416" s="455">
        <v>2</v>
      </c>
      <c r="E1416" s="451" t="s">
        <v>46</v>
      </c>
      <c r="F1416" s="457">
        <f>'Basic Rate'!F203</f>
        <v>79</v>
      </c>
      <c r="G1416" s="457">
        <f t="shared" si="90"/>
        <v>158</v>
      </c>
      <c r="H1416" s="457"/>
    </row>
    <row r="1417" spans="1:9">
      <c r="B1417" s="868"/>
      <c r="C1417" s="484" t="s">
        <v>211</v>
      </c>
      <c r="D1417" s="455">
        <v>1</v>
      </c>
      <c r="E1417" s="451" t="s">
        <v>46</v>
      </c>
      <c r="F1417" s="457">
        <f>'Basic Rate'!F120</f>
        <v>1544</v>
      </c>
      <c r="G1417" s="457">
        <f t="shared" si="90"/>
        <v>1544</v>
      </c>
      <c r="H1417" s="457"/>
    </row>
    <row r="1418" spans="1:9">
      <c r="B1418" s="865"/>
      <c r="C1418" s="484" t="s">
        <v>93</v>
      </c>
      <c r="D1418" s="451" t="s">
        <v>86</v>
      </c>
      <c r="E1418" s="451"/>
      <c r="F1418" s="452"/>
      <c r="G1418" s="457">
        <v>50</v>
      </c>
      <c r="H1418" s="457"/>
    </row>
    <row r="1419" spans="1:9">
      <c r="B1419" s="855" t="s">
        <v>161</v>
      </c>
      <c r="C1419" s="855"/>
      <c r="D1419" s="856" t="s">
        <v>61</v>
      </c>
      <c r="E1419" s="856"/>
      <c r="F1419" s="856"/>
      <c r="G1419" s="457">
        <f>SUM(G1411:G1418)</f>
        <v>18467.38</v>
      </c>
      <c r="H1419" s="457"/>
    </row>
    <row r="1420" spans="1:9">
      <c r="B1420" s="855"/>
      <c r="C1420" s="855"/>
      <c r="D1420" s="857" t="s">
        <v>573</v>
      </c>
      <c r="E1420" s="857"/>
      <c r="F1420" s="857"/>
      <c r="G1420" s="457">
        <f>INT(15%*G1419*100)/100</f>
        <v>2770.1</v>
      </c>
      <c r="H1420" s="457"/>
    </row>
    <row r="1421" spans="1:9">
      <c r="B1421" s="855"/>
      <c r="C1421" s="855"/>
      <c r="D1421" s="856" t="s">
        <v>47</v>
      </c>
      <c r="E1421" s="856"/>
      <c r="F1421" s="856"/>
      <c r="G1421" s="457">
        <f>SUM(G1419:G1420)</f>
        <v>21237.48</v>
      </c>
      <c r="H1421" s="457"/>
    </row>
    <row r="1422" spans="1:9">
      <c r="C1422" s="444"/>
      <c r="F1422" s="462"/>
      <c r="G1422" s="460"/>
      <c r="H1422" s="460"/>
    </row>
    <row r="1423" spans="1:9" ht="43.5" customHeight="1">
      <c r="A1423" s="507">
        <v>7.07</v>
      </c>
      <c r="B1423" s="446" t="s">
        <v>379</v>
      </c>
      <c r="C1423" s="876" t="s">
        <v>1144</v>
      </c>
      <c r="D1423" s="877"/>
      <c r="E1423" s="877"/>
      <c r="F1423" s="447" t="s">
        <v>50</v>
      </c>
      <c r="G1423" s="448">
        <f>TRUNC(G1433/2.245,2)</f>
        <v>7625.33</v>
      </c>
      <c r="H1423" s="448">
        <f>TRUNC(G1435/2.245,2)</f>
        <v>8769.1299999999992</v>
      </c>
    </row>
    <row r="1424" spans="1:9">
      <c r="B1424" s="450" t="s">
        <v>80</v>
      </c>
      <c r="C1424" s="451" t="s">
        <v>81</v>
      </c>
      <c r="D1424" s="451" t="s">
        <v>44</v>
      </c>
      <c r="E1424" s="451" t="s">
        <v>45</v>
      </c>
      <c r="F1424" s="452" t="s">
        <v>58</v>
      </c>
      <c r="G1424" s="452" t="s">
        <v>59</v>
      </c>
      <c r="H1424" s="452" t="s">
        <v>52</v>
      </c>
    </row>
    <row r="1425" spans="1:8">
      <c r="B1425" s="864" t="s">
        <v>60</v>
      </c>
      <c r="C1425" s="484" t="s">
        <v>69</v>
      </c>
      <c r="D1425" s="455">
        <v>7</v>
      </c>
      <c r="E1425" s="451" t="s">
        <v>46</v>
      </c>
      <c r="F1425" s="457">
        <f>F1411</f>
        <v>1200</v>
      </c>
      <c r="G1425" s="457">
        <f>INT(D1425*F1425*100)/100</f>
        <v>8400</v>
      </c>
      <c r="H1425" s="457"/>
    </row>
    <row r="1426" spans="1:8">
      <c r="B1426" s="865"/>
      <c r="C1426" s="484" t="s">
        <v>43</v>
      </c>
      <c r="D1426" s="455">
        <v>0.7</v>
      </c>
      <c r="E1426" s="451" t="s">
        <v>46</v>
      </c>
      <c r="F1426" s="457">
        <f t="shared" ref="F1426:F1431" si="91">F1412</f>
        <v>870</v>
      </c>
      <c r="G1426" s="457">
        <f t="shared" ref="G1426:G1431" si="92">INT(D1426*F1426*100)/100</f>
        <v>609</v>
      </c>
      <c r="H1426" s="457"/>
    </row>
    <row r="1427" spans="1:8" ht="52.8">
      <c r="B1427" s="864" t="s">
        <v>63</v>
      </c>
      <c r="C1427" s="484" t="s">
        <v>1501</v>
      </c>
      <c r="D1427" s="512">
        <v>2.9100000000000001E-2</v>
      </c>
      <c r="E1427" s="451" t="s">
        <v>68</v>
      </c>
      <c r="F1427" s="457">
        <f t="shared" si="91"/>
        <v>211680</v>
      </c>
      <c r="G1427" s="457">
        <f t="shared" si="92"/>
        <v>6159.88</v>
      </c>
      <c r="H1427" s="593" t="s">
        <v>1124</v>
      </c>
    </row>
    <row r="1428" spans="1:8">
      <c r="B1428" s="868"/>
      <c r="C1428" s="484" t="s">
        <v>1515</v>
      </c>
      <c r="D1428" s="455">
        <v>2.3250000000000002</v>
      </c>
      <c r="E1428" s="451" t="s">
        <v>50</v>
      </c>
      <c r="F1428" s="457">
        <f>'Basic Rate'!F156</f>
        <v>0</v>
      </c>
      <c r="G1428" s="457">
        <f t="shared" si="92"/>
        <v>0</v>
      </c>
      <c r="H1428" s="457"/>
    </row>
    <row r="1429" spans="1:8" ht="12.75" customHeight="1">
      <c r="B1429" s="868"/>
      <c r="C1429" s="484" t="s">
        <v>89</v>
      </c>
      <c r="D1429" s="455">
        <v>3</v>
      </c>
      <c r="E1429" s="451" t="s">
        <v>46</v>
      </c>
      <c r="F1429" s="457">
        <f t="shared" si="91"/>
        <v>66</v>
      </c>
      <c r="G1429" s="457">
        <f t="shared" si="92"/>
        <v>198</v>
      </c>
      <c r="H1429" s="457"/>
    </row>
    <row r="1430" spans="1:8">
      <c r="B1430" s="868"/>
      <c r="C1430" s="484" t="s">
        <v>90</v>
      </c>
      <c r="D1430" s="455">
        <v>2</v>
      </c>
      <c r="E1430" s="451" t="s">
        <v>46</v>
      </c>
      <c r="F1430" s="457">
        <f t="shared" si="91"/>
        <v>79</v>
      </c>
      <c r="G1430" s="457">
        <f t="shared" si="92"/>
        <v>158</v>
      </c>
      <c r="H1430" s="457"/>
    </row>
    <row r="1431" spans="1:8">
      <c r="B1431" s="868"/>
      <c r="C1431" s="484" t="s">
        <v>211</v>
      </c>
      <c r="D1431" s="455">
        <v>1</v>
      </c>
      <c r="E1431" s="451" t="s">
        <v>46</v>
      </c>
      <c r="F1431" s="457">
        <f t="shared" si="91"/>
        <v>1544</v>
      </c>
      <c r="G1431" s="457">
        <f t="shared" si="92"/>
        <v>1544</v>
      </c>
      <c r="H1431" s="457"/>
    </row>
    <row r="1432" spans="1:8">
      <c r="B1432" s="865"/>
      <c r="C1432" s="484" t="s">
        <v>93</v>
      </c>
      <c r="D1432" s="451" t="s">
        <v>86</v>
      </c>
      <c r="E1432" s="451"/>
      <c r="F1432" s="452"/>
      <c r="G1432" s="457">
        <v>50</v>
      </c>
      <c r="H1432" s="457"/>
    </row>
    <row r="1433" spans="1:8">
      <c r="B1433" s="855" t="s">
        <v>161</v>
      </c>
      <c r="C1433" s="855"/>
      <c r="D1433" s="856" t="s">
        <v>61</v>
      </c>
      <c r="E1433" s="856"/>
      <c r="F1433" s="856"/>
      <c r="G1433" s="457">
        <f>SUM(G1425:G1432)</f>
        <v>17118.88</v>
      </c>
      <c r="H1433" s="457"/>
    </row>
    <row r="1434" spans="1:8">
      <c r="B1434" s="855"/>
      <c r="C1434" s="855"/>
      <c r="D1434" s="857" t="s">
        <v>573</v>
      </c>
      <c r="E1434" s="857"/>
      <c r="F1434" s="857"/>
      <c r="G1434" s="457">
        <f>INT(15%*G1433*100)/100</f>
        <v>2567.83</v>
      </c>
      <c r="H1434" s="457"/>
    </row>
    <row r="1435" spans="1:8">
      <c r="B1435" s="855"/>
      <c r="C1435" s="855"/>
      <c r="D1435" s="856" t="s">
        <v>47</v>
      </c>
      <c r="E1435" s="856"/>
      <c r="F1435" s="856"/>
      <c r="G1435" s="457">
        <f>SUM(G1433:G1434)</f>
        <v>19686.71</v>
      </c>
      <c r="H1435" s="457"/>
    </row>
    <row r="1436" spans="1:8">
      <c r="B1436" s="494"/>
      <c r="C1436" s="494"/>
      <c r="D1436" s="476"/>
      <c r="E1436" s="476"/>
      <c r="F1436" s="575"/>
      <c r="G1436" s="477"/>
      <c r="H1436" s="477"/>
    </row>
    <row r="1437" spans="1:8" ht="44.55" customHeight="1">
      <c r="A1437" s="507">
        <v>7.08</v>
      </c>
      <c r="B1437" s="446" t="s">
        <v>380</v>
      </c>
      <c r="C1437" s="876" t="s">
        <v>1145</v>
      </c>
      <c r="D1437" s="877"/>
      <c r="E1437" s="877"/>
      <c r="F1437" s="447" t="s">
        <v>50</v>
      </c>
      <c r="G1437" s="448">
        <f>TRUNC(G1448/2.245,2)</f>
        <v>7119.76</v>
      </c>
      <c r="H1437" s="448">
        <f>TRUNC(G1450/2.245,2)</f>
        <v>8187.73</v>
      </c>
    </row>
    <row r="1438" spans="1:8">
      <c r="B1438" s="450" t="s">
        <v>80</v>
      </c>
      <c r="C1438" s="451" t="s">
        <v>81</v>
      </c>
      <c r="D1438" s="451" t="s">
        <v>44</v>
      </c>
      <c r="E1438" s="451" t="s">
        <v>45</v>
      </c>
      <c r="F1438" s="452" t="s">
        <v>58</v>
      </c>
      <c r="G1438" s="452" t="s">
        <v>59</v>
      </c>
      <c r="H1438" s="452" t="s">
        <v>52</v>
      </c>
    </row>
    <row r="1439" spans="1:8">
      <c r="B1439" s="887" t="s">
        <v>60</v>
      </c>
      <c r="C1439" s="484" t="s">
        <v>69</v>
      </c>
      <c r="D1439" s="455">
        <v>7</v>
      </c>
      <c r="E1439" s="451" t="s">
        <v>46</v>
      </c>
      <c r="F1439" s="457">
        <f>F1425</f>
        <v>1200</v>
      </c>
      <c r="G1439" s="457">
        <f t="shared" ref="G1439:G1446" si="93">INT(D1439*F1439*100)/100</f>
        <v>8400</v>
      </c>
      <c r="H1439" s="457"/>
    </row>
    <row r="1440" spans="1:8">
      <c r="B1440" s="887"/>
      <c r="C1440" s="484" t="s">
        <v>43</v>
      </c>
      <c r="D1440" s="455">
        <v>0.7</v>
      </c>
      <c r="E1440" s="451" t="s">
        <v>46</v>
      </c>
      <c r="F1440" s="457">
        <f>F1426</f>
        <v>870</v>
      </c>
      <c r="G1440" s="457">
        <f t="shared" si="93"/>
        <v>609</v>
      </c>
      <c r="H1440" s="457"/>
    </row>
    <row r="1441" spans="1:8" ht="52.8">
      <c r="B1441" s="887" t="s">
        <v>63</v>
      </c>
      <c r="C1441" s="484" t="s">
        <v>1501</v>
      </c>
      <c r="D1441" s="512">
        <v>2.9100000000000001E-2</v>
      </c>
      <c r="E1441" s="451" t="s">
        <v>68</v>
      </c>
      <c r="F1441" s="457">
        <f>F1427</f>
        <v>211680</v>
      </c>
      <c r="G1441" s="457">
        <f t="shared" si="93"/>
        <v>6159.88</v>
      </c>
      <c r="H1441" s="593" t="s">
        <v>1124</v>
      </c>
    </row>
    <row r="1442" spans="1:8" ht="12.75" customHeight="1">
      <c r="B1442" s="887"/>
      <c r="C1442" s="484" t="s">
        <v>22</v>
      </c>
      <c r="D1442" s="455">
        <v>4.6500000000000004</v>
      </c>
      <c r="E1442" s="451" t="s">
        <v>50</v>
      </c>
      <c r="F1442" s="457">
        <f>'Basic Rate'!$F$84</f>
        <v>0</v>
      </c>
      <c r="G1442" s="457">
        <f t="shared" si="93"/>
        <v>0</v>
      </c>
      <c r="H1442" s="457"/>
    </row>
    <row r="1443" spans="1:8">
      <c r="B1443" s="887"/>
      <c r="C1443" s="484" t="s">
        <v>89</v>
      </c>
      <c r="D1443" s="455">
        <v>3</v>
      </c>
      <c r="E1443" s="451" t="s">
        <v>46</v>
      </c>
      <c r="F1443" s="457">
        <f>'Basic Rate'!F95</f>
        <v>66</v>
      </c>
      <c r="G1443" s="457">
        <f t="shared" si="93"/>
        <v>198</v>
      </c>
      <c r="H1443" s="457"/>
    </row>
    <row r="1444" spans="1:8">
      <c r="B1444" s="887"/>
      <c r="C1444" s="484" t="s">
        <v>90</v>
      </c>
      <c r="D1444" s="455">
        <v>2</v>
      </c>
      <c r="E1444" s="451" t="s">
        <v>46</v>
      </c>
      <c r="F1444" s="457">
        <f>'Basic Rate'!F202</f>
        <v>63</v>
      </c>
      <c r="G1444" s="457">
        <f t="shared" si="93"/>
        <v>126</v>
      </c>
      <c r="H1444" s="457"/>
    </row>
    <row r="1445" spans="1:8">
      <c r="B1445" s="887"/>
      <c r="C1445" s="484" t="s">
        <v>95</v>
      </c>
      <c r="D1445" s="455">
        <v>1</v>
      </c>
      <c r="E1445" s="451" t="s">
        <v>46</v>
      </c>
      <c r="F1445" s="457">
        <f>F1403</f>
        <v>83</v>
      </c>
      <c r="G1445" s="457">
        <f t="shared" si="93"/>
        <v>83</v>
      </c>
      <c r="H1445" s="457"/>
    </row>
    <row r="1446" spans="1:8">
      <c r="B1446" s="887"/>
      <c r="C1446" s="484" t="s">
        <v>92</v>
      </c>
      <c r="D1446" s="455">
        <v>1</v>
      </c>
      <c r="E1446" s="451" t="s">
        <v>46</v>
      </c>
      <c r="F1446" s="457">
        <f>F1360</f>
        <v>358</v>
      </c>
      <c r="G1446" s="457">
        <f t="shared" si="93"/>
        <v>358</v>
      </c>
      <c r="H1446" s="457"/>
    </row>
    <row r="1447" spans="1:8">
      <c r="B1447" s="887"/>
      <c r="C1447" s="484" t="s">
        <v>93</v>
      </c>
      <c r="D1447" s="451" t="s">
        <v>86</v>
      </c>
      <c r="E1447" s="451"/>
      <c r="F1447" s="452"/>
      <c r="G1447" s="457">
        <v>50</v>
      </c>
      <c r="H1447" s="457"/>
    </row>
    <row r="1448" spans="1:8">
      <c r="B1448" s="855" t="s">
        <v>161</v>
      </c>
      <c r="C1448" s="855"/>
      <c r="D1448" s="856" t="s">
        <v>61</v>
      </c>
      <c r="E1448" s="856"/>
      <c r="F1448" s="856"/>
      <c r="G1448" s="457">
        <f>SUM(G1439:G1447)</f>
        <v>15983.880000000001</v>
      </c>
      <c r="H1448" s="457"/>
    </row>
    <row r="1449" spans="1:8">
      <c r="B1449" s="855"/>
      <c r="C1449" s="855"/>
      <c r="D1449" s="857" t="s">
        <v>573</v>
      </c>
      <c r="E1449" s="857"/>
      <c r="F1449" s="857"/>
      <c r="G1449" s="457">
        <f>INT(15%*G1448*100)/100</f>
        <v>2397.58</v>
      </c>
      <c r="H1449" s="457"/>
    </row>
    <row r="1450" spans="1:8">
      <c r="B1450" s="855"/>
      <c r="C1450" s="855"/>
      <c r="D1450" s="856" t="s">
        <v>47</v>
      </c>
      <c r="E1450" s="856"/>
      <c r="F1450" s="856"/>
      <c r="G1450" s="457">
        <f>SUM(G1448:G1449)</f>
        <v>18381.46</v>
      </c>
      <c r="H1450" s="457"/>
    </row>
    <row r="1451" spans="1:8">
      <c r="B1451" s="458"/>
      <c r="C1451" s="458"/>
      <c r="F1451" s="509"/>
      <c r="G1451" s="460"/>
      <c r="H1451" s="460"/>
    </row>
    <row r="1452" spans="1:8" ht="45" customHeight="1">
      <c r="A1452" s="507">
        <v>7.09</v>
      </c>
      <c r="B1452" s="446" t="s">
        <v>381</v>
      </c>
      <c r="C1452" s="876" t="s">
        <v>1146</v>
      </c>
      <c r="D1452" s="877"/>
      <c r="E1452" s="877"/>
      <c r="F1452" s="447" t="s">
        <v>50</v>
      </c>
      <c r="G1452" s="448" t="e">
        <f>TRUNC(G1464/2.245,2)</f>
        <v>#VALUE!</v>
      </c>
      <c r="H1452" s="448" t="e">
        <f>TRUNC(G1466/2.245,2)</f>
        <v>#VALUE!</v>
      </c>
    </row>
    <row r="1453" spans="1:8">
      <c r="B1453" s="450" t="s">
        <v>80</v>
      </c>
      <c r="C1453" s="451" t="s">
        <v>81</v>
      </c>
      <c r="D1453" s="451" t="s">
        <v>44</v>
      </c>
      <c r="E1453" s="451" t="s">
        <v>45</v>
      </c>
      <c r="F1453" s="452" t="s">
        <v>58</v>
      </c>
      <c r="G1453" s="452" t="s">
        <v>59</v>
      </c>
      <c r="H1453" s="452" t="s">
        <v>52</v>
      </c>
    </row>
    <row r="1454" spans="1:8">
      <c r="B1454" s="864" t="s">
        <v>60</v>
      </c>
      <c r="C1454" s="484" t="s">
        <v>69</v>
      </c>
      <c r="D1454" s="455">
        <v>5</v>
      </c>
      <c r="E1454" s="451" t="s">
        <v>46</v>
      </c>
      <c r="F1454" s="457">
        <f>LOOKUP(C1454,'Basic Rate'!$B$8:$B$328,'Basic Rate'!$F$8:$F$328)</f>
        <v>1200</v>
      </c>
      <c r="G1454" s="457">
        <f t="shared" ref="G1454:G1462" si="94">TRUNC(D1454*F1454,2)</f>
        <v>6000</v>
      </c>
      <c r="H1454" s="457"/>
    </row>
    <row r="1455" spans="1:8">
      <c r="B1455" s="865"/>
      <c r="C1455" s="484" t="s">
        <v>43</v>
      </c>
      <c r="D1455" s="455">
        <v>0.5</v>
      </c>
      <c r="E1455" s="451" t="s">
        <v>46</v>
      </c>
      <c r="F1455" s="457">
        <f>LOOKUP(C1455,'Basic Rate'!$B$8:$B$328,'Basic Rate'!$F$8:$F$328)</f>
        <v>870</v>
      </c>
      <c r="G1455" s="457">
        <f t="shared" si="94"/>
        <v>435</v>
      </c>
      <c r="H1455" s="457"/>
    </row>
    <row r="1456" spans="1:8">
      <c r="B1456" s="864" t="s">
        <v>63</v>
      </c>
      <c r="C1456" s="484" t="s">
        <v>1501</v>
      </c>
      <c r="D1456" s="455">
        <v>2.5999999999999999E-2</v>
      </c>
      <c r="E1456" s="451" t="s">
        <v>68</v>
      </c>
      <c r="F1456" s="457">
        <f>LOOKUP(C1456,'Basic Rate'!$B$8:$B$328,'Basic Rate'!$F$8:$F$328)</f>
        <v>211680</v>
      </c>
      <c r="G1456" s="457">
        <f t="shared" si="94"/>
        <v>5503.68</v>
      </c>
      <c r="H1456" s="457"/>
    </row>
    <row r="1457" spans="1:10">
      <c r="B1457" s="868"/>
      <c r="C1457" s="484" t="s">
        <v>139</v>
      </c>
      <c r="D1457" s="455">
        <v>2.13</v>
      </c>
      <c r="E1457" s="451" t="s">
        <v>50</v>
      </c>
      <c r="F1457" s="457" t="str">
        <f>'Basic Rate'!F121</f>
        <v>.</v>
      </c>
      <c r="G1457" s="457" t="e">
        <f t="shared" si="94"/>
        <v>#VALUE!</v>
      </c>
      <c r="H1457" s="457"/>
    </row>
    <row r="1458" spans="1:10">
      <c r="B1458" s="868"/>
      <c r="C1458" s="484" t="s">
        <v>708</v>
      </c>
      <c r="D1458" s="455">
        <v>2.13</v>
      </c>
      <c r="E1458" s="451" t="s">
        <v>50</v>
      </c>
      <c r="F1458" s="457">
        <f>'Basic Rate'!$F$73</f>
        <v>0</v>
      </c>
      <c r="G1458" s="457">
        <f>TRUNC(D1458*F1458,2)</f>
        <v>0</v>
      </c>
      <c r="H1458" s="457"/>
    </row>
    <row r="1459" spans="1:10">
      <c r="B1459" s="868"/>
      <c r="C1459" s="484" t="s">
        <v>89</v>
      </c>
      <c r="D1459" s="455">
        <v>3</v>
      </c>
      <c r="E1459" s="451" t="s">
        <v>46</v>
      </c>
      <c r="F1459" s="457">
        <f>LOOKUP(C1459,'Basic Rate'!$B$8:$B$328,'Basic Rate'!$F$8:$F$328)</f>
        <v>0</v>
      </c>
      <c r="G1459" s="457">
        <f t="shared" si="94"/>
        <v>0</v>
      </c>
      <c r="H1459" s="457"/>
    </row>
    <row r="1460" spans="1:10">
      <c r="B1460" s="868"/>
      <c r="C1460" s="484" t="s">
        <v>90</v>
      </c>
      <c r="D1460" s="455">
        <v>2</v>
      </c>
      <c r="E1460" s="451" t="s">
        <v>46</v>
      </c>
      <c r="F1460" s="457">
        <f>LOOKUP(C1460,'Basic Rate'!$B$8:$B$328,'Basic Rate'!$F$8:$F$328)</f>
        <v>88.8</v>
      </c>
      <c r="G1460" s="457">
        <f t="shared" si="94"/>
        <v>177.6</v>
      </c>
      <c r="H1460" s="457"/>
    </row>
    <row r="1461" spans="1:10">
      <c r="B1461" s="868"/>
      <c r="C1461" s="484" t="s">
        <v>95</v>
      </c>
      <c r="D1461" s="455">
        <v>2</v>
      </c>
      <c r="E1461" s="451" t="s">
        <v>46</v>
      </c>
      <c r="F1461" s="457">
        <f>LOOKUP(C1461,'Basic Rate'!$B$8:$B$328,'Basic Rate'!$F$8:$F$328)</f>
        <v>83</v>
      </c>
      <c r="G1461" s="457">
        <f t="shared" si="94"/>
        <v>166</v>
      </c>
      <c r="H1461" s="457"/>
    </row>
    <row r="1462" spans="1:10">
      <c r="B1462" s="868"/>
      <c r="C1462" s="484" t="s">
        <v>96</v>
      </c>
      <c r="D1462" s="455">
        <v>1</v>
      </c>
      <c r="E1462" s="451" t="s">
        <v>46</v>
      </c>
      <c r="F1462" s="457">
        <f>'Basic Rate'!$F$67</f>
        <v>303</v>
      </c>
      <c r="G1462" s="457">
        <f t="shared" si="94"/>
        <v>303</v>
      </c>
      <c r="H1462" s="457"/>
    </row>
    <row r="1463" spans="1:10">
      <c r="B1463" s="865"/>
      <c r="C1463" s="484" t="s">
        <v>93</v>
      </c>
      <c r="D1463" s="451" t="s">
        <v>86</v>
      </c>
      <c r="E1463" s="451"/>
      <c r="F1463" s="452"/>
      <c r="G1463" s="457">
        <v>50</v>
      </c>
      <c r="H1463" s="457"/>
    </row>
    <row r="1464" spans="1:10">
      <c r="B1464" s="855" t="s">
        <v>161</v>
      </c>
      <c r="C1464" s="855"/>
      <c r="D1464" s="856" t="s">
        <v>61</v>
      </c>
      <c r="E1464" s="856"/>
      <c r="F1464" s="856"/>
      <c r="G1464" s="457" t="e">
        <f>SUM(G1454:G1463)</f>
        <v>#VALUE!</v>
      </c>
      <c r="H1464" s="457"/>
    </row>
    <row r="1465" spans="1:10">
      <c r="B1465" s="855"/>
      <c r="C1465" s="855"/>
      <c r="D1465" s="857" t="s">
        <v>573</v>
      </c>
      <c r="E1465" s="857"/>
      <c r="F1465" s="857"/>
      <c r="G1465" s="457" t="e">
        <f>INT(15%*G1464*100)/100</f>
        <v>#VALUE!</v>
      </c>
      <c r="H1465" s="457"/>
    </row>
    <row r="1466" spans="1:10">
      <c r="B1466" s="855"/>
      <c r="C1466" s="855"/>
      <c r="D1466" s="856" t="s">
        <v>47</v>
      </c>
      <c r="E1466" s="856"/>
      <c r="F1466" s="856"/>
      <c r="G1466" s="457" t="e">
        <f>SUM(G1464:G1465)</f>
        <v>#VALUE!</v>
      </c>
      <c r="H1466" s="457"/>
    </row>
    <row r="1467" spans="1:10">
      <c r="C1467" s="459"/>
      <c r="F1467" s="462"/>
      <c r="G1467" s="460"/>
      <c r="H1467" s="460"/>
    </row>
    <row r="1468" spans="1:10" ht="43.2" customHeight="1">
      <c r="A1468" s="507">
        <v>7.1</v>
      </c>
      <c r="B1468" s="446" t="s">
        <v>381</v>
      </c>
      <c r="C1468" s="876" t="s">
        <v>1147</v>
      </c>
      <c r="D1468" s="877"/>
      <c r="E1468" s="877"/>
      <c r="F1468" s="447" t="s">
        <v>50</v>
      </c>
      <c r="G1468" s="448">
        <f>TRUNC(G1479/2.245,2)</f>
        <v>5590.83</v>
      </c>
      <c r="H1468" s="448">
        <f>TRUNC(G1481/2.245,2)</f>
        <v>6429.45</v>
      </c>
    </row>
    <row r="1469" spans="1:10">
      <c r="B1469" s="450" t="s">
        <v>80</v>
      </c>
      <c r="C1469" s="451" t="s">
        <v>81</v>
      </c>
      <c r="D1469" s="451" t="s">
        <v>44</v>
      </c>
      <c r="E1469" s="451" t="s">
        <v>45</v>
      </c>
      <c r="F1469" s="452" t="s">
        <v>58</v>
      </c>
      <c r="G1469" s="452" t="s">
        <v>59</v>
      </c>
      <c r="H1469" s="452" t="s">
        <v>52</v>
      </c>
    </row>
    <row r="1470" spans="1:10">
      <c r="B1470" s="887" t="s">
        <v>60</v>
      </c>
      <c r="C1470" s="484" t="s">
        <v>69</v>
      </c>
      <c r="D1470" s="455">
        <v>5</v>
      </c>
      <c r="E1470" s="451" t="s">
        <v>46</v>
      </c>
      <c r="F1470" s="457">
        <f>F1439</f>
        <v>1200</v>
      </c>
      <c r="G1470" s="457">
        <f t="shared" ref="G1470:G1477" si="95">TRUNC(D1470*F1470,2)</f>
        <v>6000</v>
      </c>
      <c r="H1470" s="457"/>
    </row>
    <row r="1471" spans="1:10" ht="12.75" customHeight="1">
      <c r="B1471" s="887"/>
      <c r="C1471" s="484" t="s">
        <v>43</v>
      </c>
      <c r="D1471" s="455">
        <v>0.5</v>
      </c>
      <c r="E1471" s="451" t="s">
        <v>46</v>
      </c>
      <c r="F1471" s="457">
        <f>F1440</f>
        <v>870</v>
      </c>
      <c r="G1471" s="457">
        <f t="shared" si="95"/>
        <v>435</v>
      </c>
      <c r="H1471" s="457"/>
    </row>
    <row r="1472" spans="1:10" ht="52.8">
      <c r="B1472" s="887" t="s">
        <v>63</v>
      </c>
      <c r="C1472" s="484" t="s">
        <v>1501</v>
      </c>
      <c r="D1472" s="512">
        <v>2.18E-2</v>
      </c>
      <c r="E1472" s="451" t="s">
        <v>68</v>
      </c>
      <c r="F1472" s="457">
        <f>F1441</f>
        <v>211680</v>
      </c>
      <c r="G1472" s="457">
        <f t="shared" si="95"/>
        <v>4614.62</v>
      </c>
      <c r="H1472" s="593" t="s">
        <v>1125</v>
      </c>
      <c r="J1472" s="443">
        <f>0.026/0.038*0.032</f>
        <v>2.1894736842105265E-2</v>
      </c>
    </row>
    <row r="1473" spans="1:8" ht="26.4">
      <c r="B1473" s="887"/>
      <c r="C1473" s="585" t="s">
        <v>1086</v>
      </c>
      <c r="D1473" s="455">
        <v>2.13</v>
      </c>
      <c r="E1473" s="451" t="s">
        <v>50</v>
      </c>
      <c r="F1473" s="457">
        <f>'Basic Rate'!D121</f>
        <v>290.52</v>
      </c>
      <c r="G1473" s="457">
        <f t="shared" si="95"/>
        <v>618.79999999999995</v>
      </c>
      <c r="H1473" s="457"/>
    </row>
    <row r="1474" spans="1:8" ht="12.75" customHeight="1">
      <c r="B1474" s="887"/>
      <c r="C1474" s="484" t="s">
        <v>89</v>
      </c>
      <c r="D1474" s="455">
        <v>3</v>
      </c>
      <c r="E1474" s="451" t="s">
        <v>46</v>
      </c>
      <c r="F1474" s="457">
        <f>F1443</f>
        <v>66</v>
      </c>
      <c r="G1474" s="457">
        <f t="shared" si="95"/>
        <v>198</v>
      </c>
      <c r="H1474" s="457"/>
    </row>
    <row r="1475" spans="1:8" ht="12.75" customHeight="1">
      <c r="B1475" s="887"/>
      <c r="C1475" s="484" t="s">
        <v>90</v>
      </c>
      <c r="D1475" s="455">
        <v>2</v>
      </c>
      <c r="E1475" s="451" t="s">
        <v>46</v>
      </c>
      <c r="F1475" s="457">
        <f>F1445</f>
        <v>83</v>
      </c>
      <c r="G1475" s="457">
        <f t="shared" si="95"/>
        <v>166</v>
      </c>
      <c r="H1475" s="457"/>
    </row>
    <row r="1476" spans="1:8" ht="12.75" customHeight="1">
      <c r="B1476" s="887"/>
      <c r="C1476" s="484" t="s">
        <v>95</v>
      </c>
      <c r="D1476" s="455">
        <v>2</v>
      </c>
      <c r="E1476" s="451" t="s">
        <v>46</v>
      </c>
      <c r="F1476" s="457">
        <f>F1445</f>
        <v>83</v>
      </c>
      <c r="G1476" s="457">
        <f t="shared" si="95"/>
        <v>166</v>
      </c>
      <c r="H1476" s="457"/>
    </row>
    <row r="1477" spans="1:8" ht="12.75" customHeight="1">
      <c r="B1477" s="887"/>
      <c r="C1477" s="484" t="s">
        <v>96</v>
      </c>
      <c r="D1477" s="455">
        <v>1</v>
      </c>
      <c r="E1477" s="451" t="s">
        <v>46</v>
      </c>
      <c r="F1477" s="457">
        <f>'Basic Rate'!F67</f>
        <v>303</v>
      </c>
      <c r="G1477" s="457">
        <f t="shared" si="95"/>
        <v>303</v>
      </c>
      <c r="H1477" s="457"/>
    </row>
    <row r="1478" spans="1:8" ht="12.75" customHeight="1">
      <c r="B1478" s="887"/>
      <c r="C1478" s="484" t="s">
        <v>93</v>
      </c>
      <c r="D1478" s="451" t="s">
        <v>86</v>
      </c>
      <c r="E1478" s="451"/>
      <c r="F1478" s="452"/>
      <c r="G1478" s="457">
        <v>50</v>
      </c>
      <c r="H1478" s="457"/>
    </row>
    <row r="1479" spans="1:8">
      <c r="B1479" s="855" t="s">
        <v>161</v>
      </c>
      <c r="C1479" s="855"/>
      <c r="D1479" s="856" t="s">
        <v>61</v>
      </c>
      <c r="E1479" s="856"/>
      <c r="F1479" s="856"/>
      <c r="G1479" s="457">
        <f>SUM(G1470:G1478)</f>
        <v>12551.419999999998</v>
      </c>
      <c r="H1479" s="457"/>
    </row>
    <row r="1480" spans="1:8">
      <c r="B1480" s="855"/>
      <c r="C1480" s="855"/>
      <c r="D1480" s="857" t="s">
        <v>573</v>
      </c>
      <c r="E1480" s="857"/>
      <c r="F1480" s="857"/>
      <c r="G1480" s="457">
        <f>INT(15%*G1479*100)/100</f>
        <v>1882.71</v>
      </c>
      <c r="H1480" s="457"/>
    </row>
    <row r="1481" spans="1:8">
      <c r="B1481" s="855"/>
      <c r="C1481" s="855"/>
      <c r="D1481" s="856" t="s">
        <v>47</v>
      </c>
      <c r="E1481" s="856"/>
      <c r="F1481" s="856"/>
      <c r="G1481" s="457">
        <f>SUM(G1479:G1480)</f>
        <v>14434.129999999997</v>
      </c>
      <c r="H1481" s="457"/>
    </row>
    <row r="1482" spans="1:8">
      <c r="B1482" s="463"/>
      <c r="C1482" s="463"/>
      <c r="D1482" s="464"/>
      <c r="E1482" s="464"/>
      <c r="F1482" s="500"/>
      <c r="G1482" s="466"/>
      <c r="H1482" s="466"/>
    </row>
    <row r="1483" spans="1:8" ht="27.6">
      <c r="A1483" s="507">
        <v>7.11</v>
      </c>
      <c r="B1483" s="446" t="s">
        <v>382</v>
      </c>
      <c r="C1483" s="876" t="s">
        <v>97</v>
      </c>
      <c r="D1483" s="877"/>
      <c r="E1483" s="877"/>
      <c r="F1483" s="447" t="s">
        <v>50</v>
      </c>
      <c r="G1483" s="448">
        <f>G1490</f>
        <v>1522.8700000000001</v>
      </c>
      <c r="H1483" s="448">
        <f>G1492</f>
        <v>1751.3000000000002</v>
      </c>
    </row>
    <row r="1484" spans="1:8">
      <c r="B1484" s="450" t="s">
        <v>80</v>
      </c>
      <c r="C1484" s="451" t="s">
        <v>81</v>
      </c>
      <c r="D1484" s="451" t="s">
        <v>44</v>
      </c>
      <c r="E1484" s="451" t="s">
        <v>45</v>
      </c>
      <c r="F1484" s="452" t="s">
        <v>58</v>
      </c>
      <c r="G1484" s="452" t="s">
        <v>59</v>
      </c>
      <c r="H1484" s="452" t="s">
        <v>52</v>
      </c>
    </row>
    <row r="1485" spans="1:8">
      <c r="B1485" s="864" t="s">
        <v>60</v>
      </c>
      <c r="C1485" s="484" t="s">
        <v>69</v>
      </c>
      <c r="D1485" s="455">
        <v>0.06</v>
      </c>
      <c r="E1485" s="451" t="s">
        <v>46</v>
      </c>
      <c r="F1485" s="457">
        <f>F1470</f>
        <v>1200</v>
      </c>
      <c r="G1485" s="457">
        <f>TRUNC(D1485*F1485,2)</f>
        <v>72</v>
      </c>
      <c r="H1485" s="457"/>
    </row>
    <row r="1486" spans="1:8">
      <c r="B1486" s="865"/>
      <c r="C1486" s="484" t="s">
        <v>43</v>
      </c>
      <c r="D1486" s="455">
        <v>6.0000000000000001E-3</v>
      </c>
      <c r="E1486" s="451" t="s">
        <v>46</v>
      </c>
      <c r="F1486" s="457">
        <f>F1471</f>
        <v>870</v>
      </c>
      <c r="G1486" s="457">
        <f>TRUNC(D1486*F1486,2)</f>
        <v>5.22</v>
      </c>
      <c r="H1486" s="457"/>
    </row>
    <row r="1487" spans="1:8">
      <c r="B1487" s="864" t="s">
        <v>63</v>
      </c>
      <c r="C1487" s="484" t="s">
        <v>1509</v>
      </c>
      <c r="D1487" s="455">
        <v>1</v>
      </c>
      <c r="E1487" s="451" t="s">
        <v>50</v>
      </c>
      <c r="F1487" s="457">
        <f>F1400</f>
        <v>1378</v>
      </c>
      <c r="G1487" s="457">
        <f>TRUNC(D1487*F1487,2)</f>
        <v>1378</v>
      </c>
      <c r="H1487" s="457"/>
    </row>
    <row r="1488" spans="1:8">
      <c r="B1488" s="868"/>
      <c r="C1488" s="484" t="s">
        <v>140</v>
      </c>
      <c r="D1488" s="455">
        <v>4.05</v>
      </c>
      <c r="E1488" s="451" t="s">
        <v>113</v>
      </c>
      <c r="F1488" s="457">
        <f>'Basic Rate'!F227</f>
        <v>13</v>
      </c>
      <c r="G1488" s="457">
        <f>TRUNC(D1488*F1488,2)</f>
        <v>52.65</v>
      </c>
      <c r="H1488" s="457"/>
    </row>
    <row r="1489" spans="1:8">
      <c r="B1489" s="865"/>
      <c r="C1489" s="484" t="s">
        <v>75</v>
      </c>
      <c r="D1489" s="451" t="s">
        <v>86</v>
      </c>
      <c r="E1489" s="451"/>
      <c r="F1489" s="452"/>
      <c r="G1489" s="457">
        <v>15</v>
      </c>
      <c r="H1489" s="457"/>
    </row>
    <row r="1490" spans="1:8">
      <c r="B1490" s="855" t="s">
        <v>124</v>
      </c>
      <c r="C1490" s="855"/>
      <c r="D1490" s="856" t="s">
        <v>61</v>
      </c>
      <c r="E1490" s="856"/>
      <c r="F1490" s="856"/>
      <c r="G1490" s="457">
        <f>SUM(G1485:G1489)</f>
        <v>1522.8700000000001</v>
      </c>
      <c r="H1490" s="457"/>
    </row>
    <row r="1491" spans="1:8">
      <c r="B1491" s="855"/>
      <c r="C1491" s="855"/>
      <c r="D1491" s="857" t="s">
        <v>573</v>
      </c>
      <c r="E1491" s="857"/>
      <c r="F1491" s="857"/>
      <c r="G1491" s="457">
        <f>INT(15%*G1490*100)/100</f>
        <v>228.43</v>
      </c>
      <c r="H1491" s="457"/>
    </row>
    <row r="1492" spans="1:8">
      <c r="B1492" s="855"/>
      <c r="C1492" s="855"/>
      <c r="D1492" s="856" t="s">
        <v>47</v>
      </c>
      <c r="E1492" s="856"/>
      <c r="F1492" s="856"/>
      <c r="G1492" s="457">
        <f>SUM(G1490:G1491)</f>
        <v>1751.3000000000002</v>
      </c>
      <c r="H1492" s="457"/>
    </row>
    <row r="1493" spans="1:8">
      <c r="F1493" s="460"/>
      <c r="G1493" s="460"/>
      <c r="H1493" s="460"/>
    </row>
    <row r="1494" spans="1:8">
      <c r="F1494" s="460"/>
      <c r="G1494" s="460"/>
      <c r="H1494" s="460"/>
    </row>
    <row r="1495" spans="1:8" ht="27.6">
      <c r="A1495" s="507">
        <v>7.12</v>
      </c>
      <c r="B1495" s="446" t="s">
        <v>382</v>
      </c>
      <c r="C1495" s="876" t="s">
        <v>98</v>
      </c>
      <c r="D1495" s="877"/>
      <c r="E1495" s="877"/>
      <c r="F1495" s="447" t="s">
        <v>50</v>
      </c>
      <c r="G1495" s="447">
        <f>G1502</f>
        <v>144.87</v>
      </c>
      <c r="H1495" s="448">
        <f>G1504</f>
        <v>166.6</v>
      </c>
    </row>
    <row r="1496" spans="1:8">
      <c r="B1496" s="450" t="s">
        <v>80</v>
      </c>
      <c r="C1496" s="451" t="s">
        <v>81</v>
      </c>
      <c r="D1496" s="451" t="s">
        <v>44</v>
      </c>
      <c r="E1496" s="451" t="s">
        <v>45</v>
      </c>
      <c r="F1496" s="452" t="s">
        <v>58</v>
      </c>
      <c r="G1496" s="452" t="s">
        <v>59</v>
      </c>
      <c r="H1496" s="452" t="s">
        <v>52</v>
      </c>
    </row>
    <row r="1497" spans="1:8">
      <c r="B1497" s="887" t="s">
        <v>60</v>
      </c>
      <c r="C1497" s="484" t="s">
        <v>69</v>
      </c>
      <c r="D1497" s="455">
        <v>0.06</v>
      </c>
      <c r="E1497" s="451" t="s">
        <v>46</v>
      </c>
      <c r="F1497" s="457">
        <f>F1485</f>
        <v>1200</v>
      </c>
      <c r="G1497" s="457">
        <f>TRUNC(D1497*F1497,2)</f>
        <v>72</v>
      </c>
      <c r="H1497" s="457"/>
    </row>
    <row r="1498" spans="1:8" ht="12.75" customHeight="1">
      <c r="B1498" s="887"/>
      <c r="C1498" s="484" t="s">
        <v>43</v>
      </c>
      <c r="D1498" s="455">
        <v>6.0000000000000001E-3</v>
      </c>
      <c r="E1498" s="451" t="s">
        <v>46</v>
      </c>
      <c r="F1498" s="457">
        <f>F1486</f>
        <v>870</v>
      </c>
      <c r="G1498" s="457">
        <f>TRUNC(D1498*F1498,2)</f>
        <v>5.22</v>
      </c>
      <c r="H1498" s="457"/>
    </row>
    <row r="1499" spans="1:8">
      <c r="B1499" s="887" t="s">
        <v>63</v>
      </c>
      <c r="C1499" s="484" t="s">
        <v>22</v>
      </c>
      <c r="D1499" s="455">
        <v>1</v>
      </c>
      <c r="E1499" s="451" t="s">
        <v>50</v>
      </c>
      <c r="F1499" s="510">
        <f>'Basic Rate'!$F$84</f>
        <v>0</v>
      </c>
      <c r="G1499" s="457">
        <f>TRUNC(D1499*F1499,2)</f>
        <v>0</v>
      </c>
      <c r="H1499" s="457"/>
    </row>
    <row r="1500" spans="1:8">
      <c r="B1500" s="887"/>
      <c r="C1500" s="484" t="s">
        <v>150</v>
      </c>
      <c r="D1500" s="455">
        <v>4.05</v>
      </c>
      <c r="E1500" s="451" t="s">
        <v>50</v>
      </c>
      <c r="F1500" s="457">
        <f>'Basic Rate'!F228</f>
        <v>13</v>
      </c>
      <c r="G1500" s="457">
        <f>TRUNC(D1500*F1500,2)</f>
        <v>52.65</v>
      </c>
      <c r="H1500" s="457"/>
    </row>
    <row r="1501" spans="1:8">
      <c r="B1501" s="887"/>
      <c r="C1501" s="484" t="s">
        <v>75</v>
      </c>
      <c r="D1501" s="451" t="s">
        <v>86</v>
      </c>
      <c r="E1501" s="451"/>
      <c r="F1501" s="452"/>
      <c r="G1501" s="457">
        <v>15</v>
      </c>
      <c r="H1501" s="457"/>
    </row>
    <row r="1502" spans="1:8">
      <c r="B1502" s="855" t="s">
        <v>124</v>
      </c>
      <c r="C1502" s="855"/>
      <c r="D1502" s="856" t="s">
        <v>61</v>
      </c>
      <c r="E1502" s="856"/>
      <c r="F1502" s="856"/>
      <c r="G1502" s="457">
        <f>SUM(G1497:G1501)</f>
        <v>144.87</v>
      </c>
      <c r="H1502" s="457"/>
    </row>
    <row r="1503" spans="1:8">
      <c r="B1503" s="855"/>
      <c r="C1503" s="855"/>
      <c r="D1503" s="857" t="s">
        <v>573</v>
      </c>
      <c r="E1503" s="857"/>
      <c r="F1503" s="857"/>
      <c r="G1503" s="457">
        <f>INT(15%*G1502*100)/100</f>
        <v>21.73</v>
      </c>
      <c r="H1503" s="457"/>
    </row>
    <row r="1504" spans="1:8">
      <c r="B1504" s="855"/>
      <c r="C1504" s="855"/>
      <c r="D1504" s="856" t="s">
        <v>47</v>
      </c>
      <c r="E1504" s="856"/>
      <c r="F1504" s="856"/>
      <c r="G1504" s="457">
        <f>SUM(G1502:G1503)</f>
        <v>166.6</v>
      </c>
      <c r="H1504" s="457"/>
    </row>
    <row r="1505" spans="1:8">
      <c r="B1505" s="458"/>
      <c r="C1505" s="458"/>
      <c r="F1505" s="459"/>
      <c r="G1505" s="460"/>
      <c r="H1505" s="460"/>
    </row>
    <row r="1506" spans="1:8" ht="13.8">
      <c r="A1506" s="507">
        <v>7.13</v>
      </c>
      <c r="B1506" s="446" t="s">
        <v>383</v>
      </c>
      <c r="C1506" s="876" t="s">
        <v>99</v>
      </c>
      <c r="D1506" s="877"/>
      <c r="E1506" s="877"/>
      <c r="F1506" s="447" t="s">
        <v>50</v>
      </c>
      <c r="G1506" s="447">
        <f>G1513</f>
        <v>449.37</v>
      </c>
      <c r="H1506" s="448">
        <f>G1515</f>
        <v>516.77</v>
      </c>
    </row>
    <row r="1507" spans="1:8">
      <c r="B1507" s="450" t="s">
        <v>80</v>
      </c>
      <c r="C1507" s="451" t="s">
        <v>81</v>
      </c>
      <c r="D1507" s="451" t="s">
        <v>44</v>
      </c>
      <c r="E1507" s="451" t="s">
        <v>45</v>
      </c>
      <c r="F1507" s="452" t="s">
        <v>58</v>
      </c>
      <c r="G1507" s="452" t="s">
        <v>59</v>
      </c>
      <c r="H1507" s="452" t="s">
        <v>52</v>
      </c>
    </row>
    <row r="1508" spans="1:8">
      <c r="B1508" s="864" t="s">
        <v>60</v>
      </c>
      <c r="C1508" s="484" t="s">
        <v>69</v>
      </c>
      <c r="D1508" s="455">
        <v>0.06</v>
      </c>
      <c r="E1508" s="451" t="s">
        <v>46</v>
      </c>
      <c r="F1508" s="457">
        <f>F1497</f>
        <v>1200</v>
      </c>
      <c r="G1508" s="457">
        <f>TRUNC(D1508*F1508,2)</f>
        <v>72</v>
      </c>
      <c r="H1508" s="457"/>
    </row>
    <row r="1509" spans="1:8">
      <c r="B1509" s="865"/>
      <c r="C1509" s="484" t="s">
        <v>43</v>
      </c>
      <c r="D1509" s="455">
        <v>6.0000000000000001E-3</v>
      </c>
      <c r="E1509" s="451" t="s">
        <v>46</v>
      </c>
      <c r="F1509" s="457">
        <f>F1498</f>
        <v>870</v>
      </c>
      <c r="G1509" s="457">
        <f>TRUNC(D1509*F1509,2)</f>
        <v>5.22</v>
      </c>
      <c r="H1509" s="457"/>
    </row>
    <row r="1510" spans="1:8">
      <c r="B1510" s="864" t="s">
        <v>63</v>
      </c>
      <c r="C1510" s="484" t="s">
        <v>1514</v>
      </c>
      <c r="D1510" s="455">
        <v>1.05</v>
      </c>
      <c r="E1510" s="451" t="s">
        <v>50</v>
      </c>
      <c r="F1510" s="457">
        <f>'Basic Rate'!F155</f>
        <v>290</v>
      </c>
      <c r="G1510" s="457">
        <f>TRUNC(D1510*F1510,2)</f>
        <v>304.5</v>
      </c>
      <c r="H1510" s="457"/>
    </row>
    <row r="1511" spans="1:8">
      <c r="B1511" s="868"/>
      <c r="C1511" s="484" t="s">
        <v>141</v>
      </c>
      <c r="D1511" s="455">
        <v>4.05</v>
      </c>
      <c r="E1511" s="451" t="s">
        <v>50</v>
      </c>
      <c r="F1511" s="457">
        <f>'Basic Rate'!F229</f>
        <v>13</v>
      </c>
      <c r="G1511" s="457">
        <f>TRUNC(D1511*F1511,2)</f>
        <v>52.65</v>
      </c>
      <c r="H1511" s="457"/>
    </row>
    <row r="1512" spans="1:8">
      <c r="B1512" s="865"/>
      <c r="C1512" s="484" t="s">
        <v>75</v>
      </c>
      <c r="D1512" s="451" t="s">
        <v>86</v>
      </c>
      <c r="E1512" s="451"/>
      <c r="F1512" s="452"/>
      <c r="G1512" s="457">
        <v>15</v>
      </c>
      <c r="H1512" s="457"/>
    </row>
    <row r="1513" spans="1:8">
      <c r="B1513" s="855" t="s">
        <v>124</v>
      </c>
      <c r="C1513" s="855"/>
      <c r="D1513" s="856" t="s">
        <v>61</v>
      </c>
      <c r="E1513" s="856"/>
      <c r="F1513" s="856"/>
      <c r="G1513" s="457">
        <f>SUM(G1508:G1512)</f>
        <v>449.37</v>
      </c>
      <c r="H1513" s="457"/>
    </row>
    <row r="1514" spans="1:8">
      <c r="B1514" s="855"/>
      <c r="C1514" s="855"/>
      <c r="D1514" s="857" t="s">
        <v>573</v>
      </c>
      <c r="E1514" s="857"/>
      <c r="F1514" s="857"/>
      <c r="G1514" s="457">
        <f>INT(15%*G1513*100)/100</f>
        <v>67.400000000000006</v>
      </c>
      <c r="H1514" s="457"/>
    </row>
    <row r="1515" spans="1:8">
      <c r="B1515" s="855"/>
      <c r="C1515" s="855"/>
      <c r="D1515" s="856" t="s">
        <v>47</v>
      </c>
      <c r="E1515" s="856"/>
      <c r="F1515" s="856"/>
      <c r="G1515" s="457">
        <f>SUM(G1513:G1514)</f>
        <v>516.77</v>
      </c>
      <c r="H1515" s="457"/>
    </row>
    <row r="1516" spans="1:8">
      <c r="F1516" s="460"/>
      <c r="G1516" s="460"/>
      <c r="H1516" s="460"/>
    </row>
    <row r="1517" spans="1:8" ht="27.6">
      <c r="A1517" s="507">
        <v>7.14</v>
      </c>
      <c r="B1517" s="446" t="s">
        <v>384</v>
      </c>
      <c r="C1517" s="876" t="s">
        <v>100</v>
      </c>
      <c r="D1517" s="877"/>
      <c r="E1517" s="877"/>
      <c r="F1517" s="447" t="s">
        <v>50</v>
      </c>
      <c r="G1517" s="447">
        <f>G1524</f>
        <v>435.39</v>
      </c>
      <c r="H1517" s="448">
        <f>G1526</f>
        <v>500.69</v>
      </c>
    </row>
    <row r="1518" spans="1:8">
      <c r="A1518" s="592"/>
      <c r="B1518" s="450" t="s">
        <v>80</v>
      </c>
      <c r="C1518" s="451" t="s">
        <v>81</v>
      </c>
      <c r="D1518" s="451" t="s">
        <v>44</v>
      </c>
      <c r="E1518" s="451" t="s">
        <v>45</v>
      </c>
      <c r="F1518" s="452" t="s">
        <v>58</v>
      </c>
      <c r="G1518" s="452" t="s">
        <v>59</v>
      </c>
      <c r="H1518" s="452" t="s">
        <v>52</v>
      </c>
    </row>
    <row r="1519" spans="1:8">
      <c r="A1519" s="592"/>
      <c r="B1519" s="887" t="s">
        <v>60</v>
      </c>
      <c r="C1519" s="484" t="s">
        <v>69</v>
      </c>
      <c r="D1519" s="455">
        <v>0.06</v>
      </c>
      <c r="E1519" s="451" t="s">
        <v>46</v>
      </c>
      <c r="F1519" s="457">
        <f>F1508</f>
        <v>1200</v>
      </c>
      <c r="G1519" s="457">
        <f>TRUNC(D1519*F1519,2)</f>
        <v>72</v>
      </c>
      <c r="H1519" s="457"/>
    </row>
    <row r="1520" spans="1:8" ht="12.75" customHeight="1">
      <c r="A1520" s="592"/>
      <c r="B1520" s="887"/>
      <c r="C1520" s="484" t="s">
        <v>43</v>
      </c>
      <c r="D1520" s="455">
        <v>6.0000000000000001E-3</v>
      </c>
      <c r="E1520" s="451" t="s">
        <v>46</v>
      </c>
      <c r="F1520" s="457">
        <f>F1509</f>
        <v>870</v>
      </c>
      <c r="G1520" s="457">
        <f>TRUNC(D1520*F1520,2)</f>
        <v>5.22</v>
      </c>
      <c r="H1520" s="457"/>
    </row>
    <row r="1521" spans="1:8">
      <c r="A1521" s="592"/>
      <c r="B1521" s="887" t="s">
        <v>63</v>
      </c>
      <c r="C1521" s="484" t="s">
        <v>139</v>
      </c>
      <c r="D1521" s="455">
        <v>1</v>
      </c>
      <c r="E1521" s="451" t="s">
        <v>50</v>
      </c>
      <c r="F1521" s="457">
        <f>'Basic Rate'!D121</f>
        <v>290.52</v>
      </c>
      <c r="G1521" s="457">
        <f>TRUNC(D1521*F1521,2)</f>
        <v>290.52</v>
      </c>
      <c r="H1521" s="457"/>
    </row>
    <row r="1522" spans="1:8">
      <c r="A1522" s="592"/>
      <c r="B1522" s="887"/>
      <c r="C1522" s="484" t="s">
        <v>1049</v>
      </c>
      <c r="D1522" s="455">
        <v>4.05</v>
      </c>
      <c r="E1522" s="451" t="s">
        <v>113</v>
      </c>
      <c r="F1522" s="457">
        <f>F1500</f>
        <v>13</v>
      </c>
      <c r="G1522" s="457">
        <f>TRUNC(D1522*F1522,2)</f>
        <v>52.65</v>
      </c>
      <c r="H1522" s="457"/>
    </row>
    <row r="1523" spans="1:8">
      <c r="A1523" s="592"/>
      <c r="B1523" s="887"/>
      <c r="C1523" s="484" t="s">
        <v>75</v>
      </c>
      <c r="D1523" s="451" t="s">
        <v>86</v>
      </c>
      <c r="E1523" s="451"/>
      <c r="F1523" s="452"/>
      <c r="G1523" s="457">
        <v>15</v>
      </c>
      <c r="H1523" s="457"/>
    </row>
    <row r="1524" spans="1:8">
      <c r="A1524" s="592"/>
      <c r="B1524" s="855" t="s">
        <v>124</v>
      </c>
      <c r="C1524" s="855"/>
      <c r="D1524" s="856" t="s">
        <v>61</v>
      </c>
      <c r="E1524" s="856"/>
      <c r="F1524" s="856"/>
      <c r="G1524" s="457">
        <f>SUM(G1519:G1523)</f>
        <v>435.39</v>
      </c>
      <c r="H1524" s="457"/>
    </row>
    <row r="1525" spans="1:8">
      <c r="A1525" s="592"/>
      <c r="B1525" s="855"/>
      <c r="C1525" s="855"/>
      <c r="D1525" s="857" t="s">
        <v>573</v>
      </c>
      <c r="E1525" s="857"/>
      <c r="F1525" s="857"/>
      <c r="G1525" s="457">
        <f>INT(15%*G1524*100)/100</f>
        <v>65.3</v>
      </c>
      <c r="H1525" s="457"/>
    </row>
    <row r="1526" spans="1:8">
      <c r="A1526" s="592"/>
      <c r="B1526" s="855"/>
      <c r="C1526" s="855"/>
      <c r="D1526" s="856" t="s">
        <v>47</v>
      </c>
      <c r="E1526" s="856"/>
      <c r="F1526" s="856"/>
      <c r="G1526" s="457">
        <f>SUM(G1524:G1525)</f>
        <v>500.69</v>
      </c>
      <c r="H1526" s="457"/>
    </row>
    <row r="1527" spans="1:8">
      <c r="A1527" s="592"/>
      <c r="F1527" s="460"/>
      <c r="G1527" s="460"/>
      <c r="H1527" s="460"/>
    </row>
    <row r="1528" spans="1:8" ht="25.5" customHeight="1">
      <c r="A1528" s="507">
        <v>7.15</v>
      </c>
      <c r="B1528" s="446" t="s">
        <v>384</v>
      </c>
      <c r="C1528" s="876" t="s">
        <v>743</v>
      </c>
      <c r="D1528" s="877"/>
      <c r="E1528" s="877"/>
      <c r="F1528" s="447" t="s">
        <v>50</v>
      </c>
      <c r="G1528" s="447">
        <f>G1536</f>
        <v>521.39</v>
      </c>
      <c r="H1528" s="448">
        <f>G1538</f>
        <v>599.59</v>
      </c>
    </row>
    <row r="1529" spans="1:8">
      <c r="A1529" s="592"/>
      <c r="B1529" s="450" t="s">
        <v>80</v>
      </c>
      <c r="C1529" s="451" t="s">
        <v>81</v>
      </c>
      <c r="D1529" s="451" t="s">
        <v>44</v>
      </c>
      <c r="E1529" s="451" t="s">
        <v>45</v>
      </c>
      <c r="F1529" s="452" t="s">
        <v>58</v>
      </c>
      <c r="G1529" s="452" t="s">
        <v>59</v>
      </c>
      <c r="H1529" s="452" t="s">
        <v>52</v>
      </c>
    </row>
    <row r="1530" spans="1:8">
      <c r="A1530" s="592"/>
      <c r="B1530" s="864" t="s">
        <v>60</v>
      </c>
      <c r="C1530" s="484" t="s">
        <v>69</v>
      </c>
      <c r="D1530" s="455">
        <v>0.06</v>
      </c>
      <c r="E1530" s="451" t="s">
        <v>46</v>
      </c>
      <c r="F1530" s="457">
        <f>F1519</f>
        <v>1200</v>
      </c>
      <c r="G1530" s="457">
        <f>TRUNC(D1530*F1530,2)</f>
        <v>72</v>
      </c>
      <c r="H1530" s="457"/>
    </row>
    <row r="1531" spans="1:8">
      <c r="A1531" s="592"/>
      <c r="B1531" s="865"/>
      <c r="C1531" s="484" t="s">
        <v>43</v>
      </c>
      <c r="D1531" s="455">
        <v>6.0000000000000001E-3</v>
      </c>
      <c r="E1531" s="451" t="s">
        <v>46</v>
      </c>
      <c r="F1531" s="457">
        <f>F1520</f>
        <v>870</v>
      </c>
      <c r="G1531" s="457">
        <f>TRUNC(D1531*F1531,2)</f>
        <v>5.22</v>
      </c>
      <c r="H1531" s="457"/>
    </row>
    <row r="1532" spans="1:8">
      <c r="A1532" s="592"/>
      <c r="B1532" s="864" t="s">
        <v>63</v>
      </c>
      <c r="C1532" s="484" t="s">
        <v>139</v>
      </c>
      <c r="D1532" s="455">
        <v>1</v>
      </c>
      <c r="E1532" s="451" t="s">
        <v>50</v>
      </c>
      <c r="F1532" s="457">
        <f>'Basic Rate'!D121</f>
        <v>290.52</v>
      </c>
      <c r="G1532" s="457">
        <f>TRUNC(D1532*F1532,2)</f>
        <v>290.52</v>
      </c>
      <c r="H1532" s="457"/>
    </row>
    <row r="1533" spans="1:8">
      <c r="A1533" s="592"/>
      <c r="B1533" s="868"/>
      <c r="C1533" s="484" t="s">
        <v>708</v>
      </c>
      <c r="D1533" s="455">
        <v>1</v>
      </c>
      <c r="E1533" s="451" t="s">
        <v>50</v>
      </c>
      <c r="F1533" s="457">
        <f>'Basic Rate'!D73</f>
        <v>86</v>
      </c>
      <c r="G1533" s="457">
        <f>TRUNC(D1533*F1533,2)</f>
        <v>86</v>
      </c>
      <c r="H1533" s="457"/>
    </row>
    <row r="1534" spans="1:8">
      <c r="A1534" s="592"/>
      <c r="B1534" s="868"/>
      <c r="C1534" s="484" t="s">
        <v>141</v>
      </c>
      <c r="D1534" s="455">
        <v>4.05</v>
      </c>
      <c r="E1534" s="451" t="s">
        <v>113</v>
      </c>
      <c r="F1534" s="457">
        <f>F1511</f>
        <v>13</v>
      </c>
      <c r="G1534" s="457">
        <f>TRUNC(D1534*F1534,2)</f>
        <v>52.65</v>
      </c>
      <c r="H1534" s="457"/>
    </row>
    <row r="1535" spans="1:8">
      <c r="A1535" s="592"/>
      <c r="B1535" s="865"/>
      <c r="C1535" s="484" t="s">
        <v>75</v>
      </c>
      <c r="D1535" s="451" t="s">
        <v>86</v>
      </c>
      <c r="E1535" s="451"/>
      <c r="F1535" s="452"/>
      <c r="G1535" s="457">
        <v>15</v>
      </c>
      <c r="H1535" s="457"/>
    </row>
    <row r="1536" spans="1:8">
      <c r="A1536" s="592"/>
      <c r="B1536" s="855" t="s">
        <v>124</v>
      </c>
      <c r="C1536" s="855"/>
      <c r="D1536" s="856" t="s">
        <v>61</v>
      </c>
      <c r="E1536" s="856"/>
      <c r="F1536" s="856"/>
      <c r="G1536" s="457">
        <f>SUM(G1530:G1535)</f>
        <v>521.39</v>
      </c>
      <c r="H1536" s="457"/>
    </row>
    <row r="1537" spans="1:8">
      <c r="A1537" s="592"/>
      <c r="B1537" s="855"/>
      <c r="C1537" s="855"/>
      <c r="D1537" s="857" t="s">
        <v>573</v>
      </c>
      <c r="E1537" s="857"/>
      <c r="F1537" s="857"/>
      <c r="G1537" s="457">
        <f>INT(15%*G1536*100)/100</f>
        <v>78.2</v>
      </c>
      <c r="H1537" s="457"/>
    </row>
    <row r="1538" spans="1:8">
      <c r="A1538" s="592"/>
      <c r="B1538" s="855"/>
      <c r="C1538" s="855"/>
      <c r="D1538" s="856" t="s">
        <v>47</v>
      </c>
      <c r="E1538" s="856"/>
      <c r="F1538" s="856"/>
      <c r="G1538" s="457">
        <f>SUM(G1536:G1537)</f>
        <v>599.59</v>
      </c>
      <c r="H1538" s="457"/>
    </row>
    <row r="1539" spans="1:8">
      <c r="A1539" s="595"/>
      <c r="B1539" s="596"/>
      <c r="C1539" s="597"/>
      <c r="D1539" s="464"/>
      <c r="E1539" s="464"/>
      <c r="F1539" s="500"/>
      <c r="G1539" s="466"/>
      <c r="H1539" s="466"/>
    </row>
    <row r="1540" spans="1:8" ht="46.2" customHeight="1">
      <c r="A1540" s="507">
        <v>7.16</v>
      </c>
      <c r="B1540" s="446" t="s">
        <v>162</v>
      </c>
      <c r="C1540" s="876" t="s">
        <v>764</v>
      </c>
      <c r="D1540" s="877"/>
      <c r="E1540" s="877"/>
      <c r="F1540" s="447" t="s">
        <v>50</v>
      </c>
      <c r="G1540" s="448">
        <f>TRUNC(G1548/35.58,2)</f>
        <v>2667.23</v>
      </c>
      <c r="H1540" s="448">
        <f>TRUNC(G1550/35.58,2)</f>
        <v>3067.31</v>
      </c>
    </row>
    <row r="1541" spans="1:8">
      <c r="A1541" s="592"/>
      <c r="B1541" s="450" t="s">
        <v>80</v>
      </c>
      <c r="C1541" s="451" t="s">
        <v>81</v>
      </c>
      <c r="D1541" s="451" t="s">
        <v>44</v>
      </c>
      <c r="E1541" s="451" t="s">
        <v>45</v>
      </c>
      <c r="F1541" s="452" t="s">
        <v>58</v>
      </c>
      <c r="G1541" s="452" t="s">
        <v>59</v>
      </c>
      <c r="H1541" s="452" t="s">
        <v>52</v>
      </c>
    </row>
    <row r="1542" spans="1:8">
      <c r="A1542" s="592"/>
      <c r="B1542" s="864" t="s">
        <v>60</v>
      </c>
      <c r="C1542" s="484" t="s">
        <v>69</v>
      </c>
      <c r="D1542" s="488">
        <v>23</v>
      </c>
      <c r="E1542" s="451" t="s">
        <v>46</v>
      </c>
      <c r="F1542" s="457">
        <f>F1530</f>
        <v>1200</v>
      </c>
      <c r="G1542" s="457">
        <f>TRUNC(D1542*F1542,2)</f>
        <v>27600</v>
      </c>
      <c r="H1542" s="457"/>
    </row>
    <row r="1543" spans="1:8">
      <c r="A1543" s="592"/>
      <c r="B1543" s="865"/>
      <c r="C1543" s="484" t="s">
        <v>43</v>
      </c>
      <c r="D1543" s="488">
        <v>2.2999999999999998</v>
      </c>
      <c r="E1543" s="451" t="s">
        <v>46</v>
      </c>
      <c r="F1543" s="457">
        <f>F1531</f>
        <v>870</v>
      </c>
      <c r="G1543" s="457">
        <f>TRUNC(D1543*F1543,2)</f>
        <v>2001</v>
      </c>
      <c r="H1543" s="457"/>
    </row>
    <row r="1544" spans="1:8">
      <c r="A1544" s="592"/>
      <c r="B1544" s="864" t="s">
        <v>63</v>
      </c>
      <c r="C1544" s="484" t="s">
        <v>1473</v>
      </c>
      <c r="D1544" s="488">
        <v>0.45</v>
      </c>
      <c r="E1544" s="451" t="s">
        <v>68</v>
      </c>
      <c r="F1544" s="457">
        <f>'Basic Rate'!F223</f>
        <v>102100.32</v>
      </c>
      <c r="G1544" s="457">
        <f>TRUNC(D1544*F1544,2)</f>
        <v>45945.14</v>
      </c>
      <c r="H1544" s="457"/>
    </row>
    <row r="1545" spans="1:8">
      <c r="A1545" s="592"/>
      <c r="B1545" s="868"/>
      <c r="C1545" s="484" t="s">
        <v>1516</v>
      </c>
      <c r="D1545" s="488">
        <v>37.5</v>
      </c>
      <c r="E1545" s="451" t="s">
        <v>50</v>
      </c>
      <c r="F1545" s="457">
        <f>'Basic Rate'!F157</f>
        <v>473.44</v>
      </c>
      <c r="G1545" s="457">
        <f>TRUNC(D1545*F1545,2)</f>
        <v>17754</v>
      </c>
      <c r="H1545" s="457"/>
    </row>
    <row r="1546" spans="1:8">
      <c r="A1546" s="592"/>
      <c r="B1546" s="868"/>
      <c r="C1546" s="484" t="s">
        <v>208</v>
      </c>
      <c r="D1546" s="488">
        <v>100</v>
      </c>
      <c r="E1546" s="451" t="s">
        <v>113</v>
      </c>
      <c r="F1546" s="457">
        <f>'Basic Rate'!F227</f>
        <v>13</v>
      </c>
      <c r="G1546" s="457">
        <f>TRUNC(D1546*F1546,2)</f>
        <v>1300</v>
      </c>
      <c r="H1546" s="452" t="s">
        <v>86</v>
      </c>
    </row>
    <row r="1547" spans="1:8">
      <c r="A1547" s="592"/>
      <c r="B1547" s="865"/>
      <c r="C1547" s="484" t="s">
        <v>75</v>
      </c>
      <c r="D1547" s="598"/>
      <c r="E1547" s="451" t="s">
        <v>74</v>
      </c>
      <c r="F1547" s="457">
        <f>LOOKUP(C1547,'Basic Rate'!$B$8:$B$328,'Basic Rate'!$F$8:$F$328)</f>
        <v>0</v>
      </c>
      <c r="G1547" s="457">
        <v>300</v>
      </c>
      <c r="H1547" s="452" t="s">
        <v>86</v>
      </c>
    </row>
    <row r="1548" spans="1:8">
      <c r="A1548" s="592"/>
      <c r="B1548" s="855" t="s">
        <v>163</v>
      </c>
      <c r="C1548" s="855"/>
      <c r="D1548" s="856" t="s">
        <v>61</v>
      </c>
      <c r="E1548" s="856"/>
      <c r="F1548" s="856"/>
      <c r="G1548" s="457">
        <f>SUM(G1542:G1547)</f>
        <v>94900.14</v>
      </c>
      <c r="H1548" s="457"/>
    </row>
    <row r="1549" spans="1:8">
      <c r="A1549" s="592"/>
      <c r="B1549" s="855"/>
      <c r="C1549" s="855"/>
      <c r="D1549" s="857" t="s">
        <v>573</v>
      </c>
      <c r="E1549" s="857"/>
      <c r="F1549" s="857"/>
      <c r="G1549" s="457">
        <f>INT(15%*G1548*100)/100</f>
        <v>14235.02</v>
      </c>
      <c r="H1549" s="457"/>
    </row>
    <row r="1550" spans="1:8">
      <c r="A1550" s="592"/>
      <c r="B1550" s="855"/>
      <c r="C1550" s="855"/>
      <c r="D1550" s="856" t="s">
        <v>47</v>
      </c>
      <c r="E1550" s="856"/>
      <c r="F1550" s="856"/>
      <c r="G1550" s="457">
        <f>SUM(G1548:G1549)</f>
        <v>109135.16</v>
      </c>
      <c r="H1550" s="457"/>
    </row>
    <row r="1551" spans="1:8">
      <c r="A1551" s="592"/>
      <c r="C1551" s="444"/>
      <c r="F1551" s="462"/>
      <c r="G1551" s="460"/>
      <c r="H1551" s="460"/>
    </row>
    <row r="1552" spans="1:8" ht="13.8">
      <c r="A1552" s="595"/>
      <c r="B1552" s="599"/>
      <c r="F1552" s="460"/>
      <c r="G1552" s="460"/>
      <c r="H1552" s="460"/>
    </row>
    <row r="1553" spans="1:10" ht="25.5" customHeight="1">
      <c r="A1553" s="507">
        <v>7.17</v>
      </c>
      <c r="B1553" s="446" t="s">
        <v>385</v>
      </c>
      <c r="C1553" s="876" t="s">
        <v>103</v>
      </c>
      <c r="D1553" s="877"/>
      <c r="E1553" s="877"/>
      <c r="F1553" s="447" t="s">
        <v>74</v>
      </c>
      <c r="G1553" s="447">
        <f>TRUNC(G1558/1000,2)</f>
        <v>151.65</v>
      </c>
      <c r="H1553" s="447">
        <f>TRUNC(G1560/1000,2)</f>
        <v>174.39</v>
      </c>
    </row>
    <row r="1554" spans="1:10">
      <c r="A1554" s="592"/>
      <c r="B1554" s="450" t="s">
        <v>80</v>
      </c>
      <c r="C1554" s="451" t="s">
        <v>81</v>
      </c>
      <c r="D1554" s="451" t="s">
        <v>44</v>
      </c>
      <c r="E1554" s="451" t="s">
        <v>45</v>
      </c>
      <c r="F1554" s="452" t="s">
        <v>58</v>
      </c>
      <c r="G1554" s="452" t="s">
        <v>59</v>
      </c>
      <c r="H1554" s="452" t="s">
        <v>52</v>
      </c>
    </row>
    <row r="1555" spans="1:10">
      <c r="A1555" s="592"/>
      <c r="B1555" s="864" t="s">
        <v>60</v>
      </c>
      <c r="C1555" s="484" t="s">
        <v>69</v>
      </c>
      <c r="D1555" s="456">
        <v>20</v>
      </c>
      <c r="E1555" s="451" t="s">
        <v>46</v>
      </c>
      <c r="F1555" s="457">
        <f>F1542</f>
        <v>1200</v>
      </c>
      <c r="G1555" s="457">
        <f>TRUNC(D1555*F1555,2)</f>
        <v>24000</v>
      </c>
      <c r="H1555" s="457"/>
    </row>
    <row r="1556" spans="1:10">
      <c r="A1556" s="592"/>
      <c r="B1556" s="865"/>
      <c r="C1556" s="484" t="s">
        <v>43</v>
      </c>
      <c r="D1556" s="456">
        <v>20</v>
      </c>
      <c r="E1556" s="451" t="s">
        <v>46</v>
      </c>
      <c r="F1556" s="457">
        <f>F1543</f>
        <v>870</v>
      </c>
      <c r="G1556" s="457">
        <f>TRUNC(D1556*F1556,2)</f>
        <v>17400</v>
      </c>
      <c r="H1556" s="457"/>
    </row>
    <row r="1557" spans="1:10">
      <c r="A1557" s="592"/>
      <c r="B1557" s="450" t="s">
        <v>63</v>
      </c>
      <c r="C1557" s="484" t="s">
        <v>254</v>
      </c>
      <c r="D1557" s="456">
        <v>1.05</v>
      </c>
      <c r="E1557" s="451" t="s">
        <v>71</v>
      </c>
      <c r="F1557" s="457">
        <f>'Basic Rate'!F201</f>
        <v>105000</v>
      </c>
      <c r="G1557" s="457">
        <f>TRUNC(D1557*F1557,2)</f>
        <v>110250</v>
      </c>
      <c r="H1557" s="457"/>
    </row>
    <row r="1558" spans="1:10">
      <c r="A1558" s="592"/>
      <c r="B1558" s="855" t="s">
        <v>206</v>
      </c>
      <c r="C1558" s="855"/>
      <c r="D1558" s="856" t="s">
        <v>61</v>
      </c>
      <c r="E1558" s="856"/>
      <c r="F1558" s="856"/>
      <c r="G1558" s="457">
        <f>SUM(G1555:G1557)</f>
        <v>151650</v>
      </c>
      <c r="H1558" s="457"/>
    </row>
    <row r="1559" spans="1:10">
      <c r="A1559" s="592"/>
      <c r="B1559" s="855"/>
      <c r="C1559" s="855"/>
      <c r="D1559" s="857" t="s">
        <v>573</v>
      </c>
      <c r="E1559" s="857"/>
      <c r="F1559" s="857"/>
      <c r="G1559" s="457">
        <f>INT(15%*G1558*100)/100</f>
        <v>22747.5</v>
      </c>
      <c r="H1559" s="457"/>
    </row>
    <row r="1560" spans="1:10">
      <c r="A1560" s="592"/>
      <c r="B1560" s="855"/>
      <c r="C1560" s="855"/>
      <c r="D1560" s="856" t="s">
        <v>47</v>
      </c>
      <c r="E1560" s="856"/>
      <c r="F1560" s="856"/>
      <c r="G1560" s="457">
        <f>SUM(G1558:G1559)</f>
        <v>174397.5</v>
      </c>
      <c r="H1560" s="457"/>
    </row>
    <row r="1561" spans="1:10">
      <c r="A1561" s="592"/>
      <c r="C1561" s="444"/>
      <c r="F1561" s="462"/>
      <c r="G1561" s="460"/>
      <c r="H1561" s="460"/>
    </row>
    <row r="1562" spans="1:10" ht="64.2" customHeight="1">
      <c r="A1562" s="507">
        <v>7.18</v>
      </c>
      <c r="B1562" s="446" t="s">
        <v>387</v>
      </c>
      <c r="C1562" s="876" t="s">
        <v>1148</v>
      </c>
      <c r="D1562" s="877"/>
      <c r="E1562" s="877"/>
      <c r="F1562" s="447" t="s">
        <v>50</v>
      </c>
      <c r="G1562" s="448">
        <f>TRUNC(G1575/2.245,2)</f>
        <v>9758.69</v>
      </c>
      <c r="H1562" s="448">
        <f>TRUNC(G1577/2.245,2)</f>
        <v>11222.49</v>
      </c>
    </row>
    <row r="1563" spans="1:10">
      <c r="B1563" s="450" t="s">
        <v>80</v>
      </c>
      <c r="C1563" s="451" t="s">
        <v>81</v>
      </c>
      <c r="D1563" s="451" t="s">
        <v>44</v>
      </c>
      <c r="E1563" s="451" t="s">
        <v>45</v>
      </c>
      <c r="F1563" s="452" t="s">
        <v>58</v>
      </c>
      <c r="G1563" s="452" t="s">
        <v>59</v>
      </c>
      <c r="H1563" s="452" t="s">
        <v>52</v>
      </c>
    </row>
    <row r="1564" spans="1:10">
      <c r="B1564" s="864" t="s">
        <v>60</v>
      </c>
      <c r="C1564" s="484" t="s">
        <v>69</v>
      </c>
      <c r="D1564" s="488">
        <v>7</v>
      </c>
      <c r="E1564" s="451" t="s">
        <v>46</v>
      </c>
      <c r="F1564" s="457">
        <f>F1555</f>
        <v>1200</v>
      </c>
      <c r="G1564" s="457">
        <f>INT(D1564*F1564*100)/100</f>
        <v>8400</v>
      </c>
      <c r="H1564" s="457"/>
    </row>
    <row r="1565" spans="1:10">
      <c r="B1565" s="865"/>
      <c r="C1565" s="484" t="s">
        <v>43</v>
      </c>
      <c r="D1565" s="488">
        <v>0.7</v>
      </c>
      <c r="E1565" s="451" t="s">
        <v>46</v>
      </c>
      <c r="F1565" s="457">
        <f>F1556</f>
        <v>870</v>
      </c>
      <c r="G1565" s="457">
        <f t="shared" ref="G1565:G1573" si="96">INT(D1565*F1565*100)/100</f>
        <v>609</v>
      </c>
      <c r="H1565" s="457"/>
    </row>
    <row r="1566" spans="1:10" ht="52.8">
      <c r="B1566" s="864" t="s">
        <v>63</v>
      </c>
      <c r="C1566" s="484" t="s">
        <v>1501</v>
      </c>
      <c r="D1566" s="524">
        <v>2.9100000000000001E-2</v>
      </c>
      <c r="E1566" s="451" t="s">
        <v>68</v>
      </c>
      <c r="F1566" s="457">
        <f>'Basic Rate'!F225</f>
        <v>211680</v>
      </c>
      <c r="G1566" s="457">
        <f t="shared" si="96"/>
        <v>6159.88</v>
      </c>
      <c r="H1566" s="593" t="s">
        <v>1124</v>
      </c>
      <c r="J1566" s="443">
        <f>0.0346/0.038*0.032</f>
        <v>2.9136842105263155E-2</v>
      </c>
    </row>
    <row r="1567" spans="1:10">
      <c r="B1567" s="868"/>
      <c r="C1567" s="484" t="s">
        <v>1517</v>
      </c>
      <c r="D1567" s="488">
        <v>1.9</v>
      </c>
      <c r="E1567" s="451" t="s">
        <v>50</v>
      </c>
      <c r="F1567" s="457">
        <f>'Basic Rate'!F151</f>
        <v>690</v>
      </c>
      <c r="G1567" s="457">
        <f t="shared" si="96"/>
        <v>1311</v>
      </c>
      <c r="H1567" s="457"/>
    </row>
    <row r="1568" spans="1:10">
      <c r="B1568" s="868"/>
      <c r="C1568" s="484" t="s">
        <v>1515</v>
      </c>
      <c r="D1568" s="488">
        <v>1.9</v>
      </c>
      <c r="E1568" s="451" t="s">
        <v>50</v>
      </c>
      <c r="F1568" s="457">
        <f>'Basic Rate'!F156</f>
        <v>0</v>
      </c>
      <c r="G1568" s="457">
        <f t="shared" si="96"/>
        <v>0</v>
      </c>
      <c r="H1568" s="457"/>
    </row>
    <row r="1569" spans="1:9">
      <c r="B1569" s="868"/>
      <c r="C1569" s="484" t="s">
        <v>1049</v>
      </c>
      <c r="D1569" s="488">
        <v>7.4340000000000002</v>
      </c>
      <c r="E1569" s="451" t="s">
        <v>113</v>
      </c>
      <c r="F1569" s="457">
        <f>LOOKUP(C1569,'Basic Rate'!$B$8:$B$328,'Basic Rate'!$F$8:$F$328)</f>
        <v>441</v>
      </c>
      <c r="G1569" s="457">
        <f t="shared" si="96"/>
        <v>3278.39</v>
      </c>
      <c r="H1569" s="457"/>
    </row>
    <row r="1570" spans="1:9">
      <c r="B1570" s="868"/>
      <c r="C1570" s="484" t="s">
        <v>386</v>
      </c>
      <c r="D1570" s="488" t="s">
        <v>86</v>
      </c>
      <c r="E1570" s="451"/>
      <c r="F1570" s="457"/>
      <c r="G1570" s="457">
        <v>200</v>
      </c>
      <c r="H1570" s="457"/>
    </row>
    <row r="1571" spans="1:9" ht="12.75" customHeight="1">
      <c r="B1571" s="868"/>
      <c r="C1571" s="484" t="s">
        <v>89</v>
      </c>
      <c r="D1571" s="488">
        <v>3</v>
      </c>
      <c r="E1571" s="451" t="s">
        <v>46</v>
      </c>
      <c r="F1571" s="457">
        <f>F1474</f>
        <v>66</v>
      </c>
      <c r="G1571" s="457">
        <f t="shared" si="96"/>
        <v>198</v>
      </c>
      <c r="H1571" s="457"/>
    </row>
    <row r="1572" spans="1:9">
      <c r="B1572" s="868"/>
      <c r="C1572" s="484" t="s">
        <v>90</v>
      </c>
      <c r="D1572" s="488">
        <v>2</v>
      </c>
      <c r="E1572" s="451" t="s">
        <v>46</v>
      </c>
      <c r="F1572" s="457">
        <f>'Basic Rate'!F203</f>
        <v>79</v>
      </c>
      <c r="G1572" s="457">
        <f t="shared" si="96"/>
        <v>158</v>
      </c>
      <c r="H1572" s="457"/>
    </row>
    <row r="1573" spans="1:9">
      <c r="B1573" s="868"/>
      <c r="C1573" s="484" t="s">
        <v>211</v>
      </c>
      <c r="D1573" s="488">
        <v>1</v>
      </c>
      <c r="E1573" s="451" t="s">
        <v>46</v>
      </c>
      <c r="F1573" s="457">
        <f>'Basic Rate'!F120</f>
        <v>1544</v>
      </c>
      <c r="G1573" s="457">
        <f t="shared" si="96"/>
        <v>1544</v>
      </c>
      <c r="H1573" s="457"/>
    </row>
    <row r="1574" spans="1:9">
      <c r="B1574" s="865"/>
      <c r="C1574" s="484" t="s">
        <v>93</v>
      </c>
      <c r="D1574" s="451" t="s">
        <v>86</v>
      </c>
      <c r="E1574" s="451"/>
      <c r="F1574" s="452"/>
      <c r="G1574" s="457">
        <v>50</v>
      </c>
      <c r="H1574" s="457"/>
    </row>
    <row r="1575" spans="1:9">
      <c r="B1575" s="855" t="s">
        <v>161</v>
      </c>
      <c r="C1575" s="855"/>
      <c r="D1575" s="856" t="s">
        <v>61</v>
      </c>
      <c r="E1575" s="856"/>
      <c r="F1575" s="856"/>
      <c r="G1575" s="457">
        <f>SUM(G1564:G1574)</f>
        <v>21908.27</v>
      </c>
      <c r="H1575" s="457"/>
    </row>
    <row r="1576" spans="1:9">
      <c r="B1576" s="855"/>
      <c r="C1576" s="855"/>
      <c r="D1576" s="857" t="s">
        <v>573</v>
      </c>
      <c r="E1576" s="857"/>
      <c r="F1576" s="857"/>
      <c r="G1576" s="457">
        <f>INT(15%*G1575*100)/100</f>
        <v>3286.24</v>
      </c>
      <c r="H1576" s="457"/>
    </row>
    <row r="1577" spans="1:9">
      <c r="B1577" s="855"/>
      <c r="C1577" s="855"/>
      <c r="D1577" s="856" t="s">
        <v>47</v>
      </c>
      <c r="E1577" s="856"/>
      <c r="F1577" s="856"/>
      <c r="G1577" s="457">
        <f>SUM(G1575:G1576)</f>
        <v>25194.510000000002</v>
      </c>
      <c r="H1577" s="457"/>
    </row>
    <row r="1578" spans="1:9">
      <c r="C1578" s="444"/>
      <c r="F1578" s="462"/>
      <c r="G1578" s="460"/>
      <c r="H1578" s="460"/>
    </row>
    <row r="1579" spans="1:9" ht="56.4" customHeight="1">
      <c r="A1579" s="507">
        <v>7.19</v>
      </c>
      <c r="B1579" s="446" t="s">
        <v>388</v>
      </c>
      <c r="C1579" s="876" t="s">
        <v>1149</v>
      </c>
      <c r="D1579" s="877"/>
      <c r="E1579" s="877"/>
      <c r="F1579" s="447" t="s">
        <v>50</v>
      </c>
      <c r="G1579" s="448">
        <f>TRUNC(G1592/2.245,2)</f>
        <v>11219</v>
      </c>
      <c r="H1579" s="448">
        <f>TRUNC(G1594/2.245,2)</f>
        <v>12901.84</v>
      </c>
    </row>
    <row r="1580" spans="1:9">
      <c r="B1580" s="450" t="s">
        <v>80</v>
      </c>
      <c r="C1580" s="451" t="s">
        <v>81</v>
      </c>
      <c r="D1580" s="451" t="s">
        <v>44</v>
      </c>
      <c r="E1580" s="451" t="s">
        <v>45</v>
      </c>
      <c r="F1580" s="452" t="s">
        <v>58</v>
      </c>
      <c r="G1580" s="452" t="s">
        <v>59</v>
      </c>
      <c r="H1580" s="452" t="s">
        <v>52</v>
      </c>
    </row>
    <row r="1581" spans="1:9">
      <c r="B1581" s="864" t="s">
        <v>60</v>
      </c>
      <c r="C1581" s="484" t="s">
        <v>69</v>
      </c>
      <c r="D1581" s="488">
        <v>7</v>
      </c>
      <c r="E1581" s="451" t="s">
        <v>46</v>
      </c>
      <c r="F1581" s="457">
        <f t="shared" ref="F1581:F1590" si="97">F1564</f>
        <v>1200</v>
      </c>
      <c r="G1581" s="457">
        <f t="shared" ref="G1581:G1586" si="98">INT(D1581*F1581*100)/100</f>
        <v>8400</v>
      </c>
      <c r="H1581" s="457"/>
    </row>
    <row r="1582" spans="1:9">
      <c r="B1582" s="865"/>
      <c r="C1582" s="484" t="s">
        <v>43</v>
      </c>
      <c r="D1582" s="488">
        <v>0.7</v>
      </c>
      <c r="E1582" s="451" t="s">
        <v>46</v>
      </c>
      <c r="F1582" s="457">
        <f t="shared" si="97"/>
        <v>870</v>
      </c>
      <c r="G1582" s="457">
        <f t="shared" si="98"/>
        <v>609</v>
      </c>
      <c r="H1582" s="457"/>
    </row>
    <row r="1583" spans="1:9" ht="52.8">
      <c r="B1583" s="864" t="s">
        <v>63</v>
      </c>
      <c r="C1583" s="484" t="s">
        <v>1501</v>
      </c>
      <c r="D1583" s="524">
        <v>2.9100000000000001E-2</v>
      </c>
      <c r="E1583" s="451" t="s">
        <v>68</v>
      </c>
      <c r="F1583" s="457">
        <f t="shared" si="97"/>
        <v>211680</v>
      </c>
      <c r="G1583" s="457">
        <f t="shared" si="98"/>
        <v>6159.88</v>
      </c>
      <c r="H1583" s="593" t="s">
        <v>1124</v>
      </c>
      <c r="I1583" s="443">
        <f>0.0346/0.038*0.032</f>
        <v>2.9136842105263155E-2</v>
      </c>
    </row>
    <row r="1584" spans="1:9">
      <c r="B1584" s="868"/>
      <c r="C1584" s="484" t="s">
        <v>1517</v>
      </c>
      <c r="D1584" s="488">
        <v>1.9</v>
      </c>
      <c r="E1584" s="451" t="s">
        <v>50</v>
      </c>
      <c r="F1584" s="457">
        <f t="shared" si="97"/>
        <v>690</v>
      </c>
      <c r="G1584" s="457">
        <f t="shared" si="98"/>
        <v>1311</v>
      </c>
      <c r="H1584" s="457"/>
    </row>
    <row r="1585" spans="1:9">
      <c r="B1585" s="868"/>
      <c r="C1585" s="484" t="s">
        <v>1515</v>
      </c>
      <c r="D1585" s="488">
        <v>3.8</v>
      </c>
      <c r="E1585" s="451" t="s">
        <v>50</v>
      </c>
      <c r="F1585" s="457">
        <f t="shared" si="97"/>
        <v>0</v>
      </c>
      <c r="G1585" s="457">
        <f t="shared" si="98"/>
        <v>0</v>
      </c>
      <c r="H1585" s="457"/>
    </row>
    <row r="1586" spans="1:9">
      <c r="B1586" s="868"/>
      <c r="C1586" s="484" t="s">
        <v>1049</v>
      </c>
      <c r="D1586" s="488">
        <v>14.868</v>
      </c>
      <c r="E1586" s="451" t="s">
        <v>113</v>
      </c>
      <c r="F1586" s="457">
        <f t="shared" si="97"/>
        <v>441</v>
      </c>
      <c r="G1586" s="457">
        <f t="shared" si="98"/>
        <v>6556.78</v>
      </c>
      <c r="H1586" s="457"/>
    </row>
    <row r="1587" spans="1:9">
      <c r="B1587" s="868"/>
      <c r="C1587" s="484" t="s">
        <v>386</v>
      </c>
      <c r="D1587" s="488" t="s">
        <v>86</v>
      </c>
      <c r="E1587" s="451"/>
      <c r="F1587" s="457">
        <f t="shared" si="97"/>
        <v>0</v>
      </c>
      <c r="G1587" s="457">
        <v>200</v>
      </c>
      <c r="H1587" s="457"/>
    </row>
    <row r="1588" spans="1:9" ht="12.75" customHeight="1">
      <c r="B1588" s="868"/>
      <c r="C1588" s="484" t="s">
        <v>89</v>
      </c>
      <c r="D1588" s="488">
        <v>3</v>
      </c>
      <c r="E1588" s="451" t="s">
        <v>46</v>
      </c>
      <c r="F1588" s="457">
        <f t="shared" si="97"/>
        <v>66</v>
      </c>
      <c r="G1588" s="457">
        <f>INT(D1588*F1588*100)/100</f>
        <v>198</v>
      </c>
      <c r="H1588" s="457"/>
    </row>
    <row r="1589" spans="1:9">
      <c r="B1589" s="868"/>
      <c r="C1589" s="484" t="s">
        <v>90</v>
      </c>
      <c r="D1589" s="488">
        <v>2</v>
      </c>
      <c r="E1589" s="451" t="s">
        <v>46</v>
      </c>
      <c r="F1589" s="457">
        <f t="shared" si="97"/>
        <v>79</v>
      </c>
      <c r="G1589" s="457">
        <f>INT(D1589*F1589*100)/100</f>
        <v>158</v>
      </c>
      <c r="H1589" s="457"/>
    </row>
    <row r="1590" spans="1:9">
      <c r="B1590" s="868"/>
      <c r="C1590" s="484" t="s">
        <v>211</v>
      </c>
      <c r="D1590" s="488">
        <v>1</v>
      </c>
      <c r="E1590" s="451" t="s">
        <v>46</v>
      </c>
      <c r="F1590" s="457">
        <f t="shared" si="97"/>
        <v>1544</v>
      </c>
      <c r="G1590" s="457">
        <f>INT(D1590*F1590*100)/100</f>
        <v>1544</v>
      </c>
      <c r="H1590" s="457"/>
    </row>
    <row r="1591" spans="1:9">
      <c r="B1591" s="865"/>
      <c r="C1591" s="484" t="s">
        <v>93</v>
      </c>
      <c r="D1591" s="451" t="s">
        <v>86</v>
      </c>
      <c r="E1591" s="451"/>
      <c r="F1591" s="452"/>
      <c r="G1591" s="457">
        <v>50</v>
      </c>
      <c r="H1591" s="457"/>
    </row>
    <row r="1592" spans="1:9">
      <c r="B1592" s="855" t="s">
        <v>161</v>
      </c>
      <c r="C1592" s="855"/>
      <c r="D1592" s="856" t="s">
        <v>61</v>
      </c>
      <c r="E1592" s="856"/>
      <c r="F1592" s="856"/>
      <c r="G1592" s="457">
        <f>SUM(G1581:G1591)</f>
        <v>25186.66</v>
      </c>
      <c r="H1592" s="457"/>
    </row>
    <row r="1593" spans="1:9">
      <c r="B1593" s="855"/>
      <c r="C1593" s="855"/>
      <c r="D1593" s="857" t="s">
        <v>573</v>
      </c>
      <c r="E1593" s="857"/>
      <c r="F1593" s="857"/>
      <c r="G1593" s="457">
        <f>INT(15%*G1592*100)/100</f>
        <v>3777.99</v>
      </c>
      <c r="H1593" s="457"/>
    </row>
    <row r="1594" spans="1:9">
      <c r="B1594" s="855"/>
      <c r="C1594" s="855"/>
      <c r="D1594" s="856" t="s">
        <v>47</v>
      </c>
      <c r="E1594" s="856"/>
      <c r="F1594" s="856"/>
      <c r="G1594" s="457">
        <f>SUM(G1592:G1593)</f>
        <v>28964.65</v>
      </c>
      <c r="H1594" s="457"/>
    </row>
    <row r="1595" spans="1:9">
      <c r="C1595" s="444"/>
      <c r="F1595" s="462"/>
      <c r="G1595" s="460"/>
      <c r="H1595" s="460"/>
    </row>
    <row r="1596" spans="1:9" ht="54" customHeight="1">
      <c r="A1596" s="507">
        <v>7.2</v>
      </c>
      <c r="B1596" s="446" t="s">
        <v>389</v>
      </c>
      <c r="C1596" s="876" t="s">
        <v>1150</v>
      </c>
      <c r="D1596" s="877"/>
      <c r="E1596" s="877"/>
      <c r="F1596" s="447" t="s">
        <v>50</v>
      </c>
      <c r="G1596" s="448">
        <f>TRUNC(G1609/2.245,2)</f>
        <v>9758.69</v>
      </c>
      <c r="H1596" s="448">
        <f>TRUNC(G1611/2.245,2)</f>
        <v>11222.49</v>
      </c>
    </row>
    <row r="1597" spans="1:9">
      <c r="B1597" s="450" t="s">
        <v>80</v>
      </c>
      <c r="C1597" s="451" t="s">
        <v>81</v>
      </c>
      <c r="D1597" s="451" t="s">
        <v>44</v>
      </c>
      <c r="E1597" s="451" t="s">
        <v>45</v>
      </c>
      <c r="F1597" s="452" t="s">
        <v>58</v>
      </c>
      <c r="G1597" s="452" t="s">
        <v>59</v>
      </c>
      <c r="H1597" s="452" t="s">
        <v>52</v>
      </c>
    </row>
    <row r="1598" spans="1:9">
      <c r="B1598" s="864" t="s">
        <v>60</v>
      </c>
      <c r="C1598" s="484" t="s">
        <v>69</v>
      </c>
      <c r="D1598" s="488">
        <v>7</v>
      </c>
      <c r="E1598" s="451" t="s">
        <v>46</v>
      </c>
      <c r="F1598" s="457">
        <f t="shared" ref="F1598:F1607" si="99">F1581</f>
        <v>1200</v>
      </c>
      <c r="G1598" s="457">
        <f t="shared" ref="G1598:G1603" si="100">INT(D1598*F1598*100)/100</f>
        <v>8400</v>
      </c>
      <c r="H1598" s="457"/>
    </row>
    <row r="1599" spans="1:9">
      <c r="B1599" s="865"/>
      <c r="C1599" s="484" t="s">
        <v>43</v>
      </c>
      <c r="D1599" s="488">
        <v>0.7</v>
      </c>
      <c r="E1599" s="451" t="s">
        <v>46</v>
      </c>
      <c r="F1599" s="457">
        <f t="shared" si="99"/>
        <v>870</v>
      </c>
      <c r="G1599" s="457">
        <f t="shared" si="100"/>
        <v>609</v>
      </c>
      <c r="H1599" s="457"/>
    </row>
    <row r="1600" spans="1:9" ht="52.8">
      <c r="B1600" s="864" t="s">
        <v>63</v>
      </c>
      <c r="C1600" s="484" t="s">
        <v>1501</v>
      </c>
      <c r="D1600" s="524">
        <v>2.9100000000000001E-2</v>
      </c>
      <c r="E1600" s="451" t="s">
        <v>68</v>
      </c>
      <c r="F1600" s="457">
        <f t="shared" si="99"/>
        <v>211680</v>
      </c>
      <c r="G1600" s="457">
        <f t="shared" si="100"/>
        <v>6159.88</v>
      </c>
      <c r="H1600" s="593" t="s">
        <v>1124</v>
      </c>
      <c r="I1600" s="443">
        <f>0.0346/0.038*0.032</f>
        <v>2.9136842105263155E-2</v>
      </c>
    </row>
    <row r="1601" spans="1:8">
      <c r="B1601" s="868"/>
      <c r="C1601" s="484" t="s">
        <v>1518</v>
      </c>
      <c r="D1601" s="488">
        <v>1.9</v>
      </c>
      <c r="E1601" s="451" t="s">
        <v>50</v>
      </c>
      <c r="F1601" s="457">
        <f t="shared" si="99"/>
        <v>690</v>
      </c>
      <c r="G1601" s="457">
        <f t="shared" si="100"/>
        <v>1311</v>
      </c>
      <c r="H1601" s="457"/>
    </row>
    <row r="1602" spans="1:8">
      <c r="B1602" s="868"/>
      <c r="C1602" s="484" t="s">
        <v>1515</v>
      </c>
      <c r="D1602" s="488">
        <v>1.9</v>
      </c>
      <c r="E1602" s="451" t="s">
        <v>50</v>
      </c>
      <c r="F1602" s="457">
        <f t="shared" si="99"/>
        <v>0</v>
      </c>
      <c r="G1602" s="457">
        <f t="shared" si="100"/>
        <v>0</v>
      </c>
      <c r="H1602" s="457"/>
    </row>
    <row r="1603" spans="1:8">
      <c r="B1603" s="868"/>
      <c r="C1603" s="484" t="s">
        <v>1049</v>
      </c>
      <c r="D1603" s="488">
        <v>7.4340000000000002</v>
      </c>
      <c r="E1603" s="451" t="s">
        <v>113</v>
      </c>
      <c r="F1603" s="457">
        <f t="shared" si="99"/>
        <v>441</v>
      </c>
      <c r="G1603" s="457">
        <f t="shared" si="100"/>
        <v>3278.39</v>
      </c>
      <c r="H1603" s="457"/>
    </row>
    <row r="1604" spans="1:8">
      <c r="B1604" s="868"/>
      <c r="C1604" s="484" t="s">
        <v>386</v>
      </c>
      <c r="D1604" s="488" t="s">
        <v>86</v>
      </c>
      <c r="E1604" s="451"/>
      <c r="F1604" s="457">
        <f t="shared" si="99"/>
        <v>0</v>
      </c>
      <c r="G1604" s="457">
        <v>200</v>
      </c>
      <c r="H1604" s="457"/>
    </row>
    <row r="1605" spans="1:8" ht="12.75" customHeight="1">
      <c r="B1605" s="868"/>
      <c r="C1605" s="484" t="s">
        <v>89</v>
      </c>
      <c r="D1605" s="488">
        <v>3</v>
      </c>
      <c r="E1605" s="451" t="s">
        <v>46</v>
      </c>
      <c r="F1605" s="457">
        <f t="shared" si="99"/>
        <v>66</v>
      </c>
      <c r="G1605" s="457">
        <f>INT(D1605*F1605*100)/100</f>
        <v>198</v>
      </c>
      <c r="H1605" s="457"/>
    </row>
    <row r="1606" spans="1:8">
      <c r="B1606" s="868"/>
      <c r="C1606" s="484" t="s">
        <v>90</v>
      </c>
      <c r="D1606" s="488">
        <v>2</v>
      </c>
      <c r="E1606" s="451" t="s">
        <v>46</v>
      </c>
      <c r="F1606" s="457">
        <f t="shared" si="99"/>
        <v>79</v>
      </c>
      <c r="G1606" s="457">
        <f>INT(D1606*F1606*100)/100</f>
        <v>158</v>
      </c>
      <c r="H1606" s="457"/>
    </row>
    <row r="1607" spans="1:8">
      <c r="B1607" s="868"/>
      <c r="C1607" s="484" t="s">
        <v>211</v>
      </c>
      <c r="D1607" s="488">
        <v>1</v>
      </c>
      <c r="E1607" s="451" t="s">
        <v>46</v>
      </c>
      <c r="F1607" s="457">
        <f t="shared" si="99"/>
        <v>1544</v>
      </c>
      <c r="G1607" s="457">
        <f>INT(D1607*F1607*100)/100</f>
        <v>1544</v>
      </c>
      <c r="H1607" s="457"/>
    </row>
    <row r="1608" spans="1:8">
      <c r="B1608" s="865"/>
      <c r="C1608" s="484" t="s">
        <v>93</v>
      </c>
      <c r="D1608" s="451" t="s">
        <v>86</v>
      </c>
      <c r="E1608" s="451"/>
      <c r="F1608" s="452"/>
      <c r="G1608" s="457">
        <v>50</v>
      </c>
      <c r="H1608" s="457"/>
    </row>
    <row r="1609" spans="1:8">
      <c r="B1609" s="855" t="s">
        <v>161</v>
      </c>
      <c r="C1609" s="855"/>
      <c r="D1609" s="856" t="s">
        <v>61</v>
      </c>
      <c r="E1609" s="856"/>
      <c r="F1609" s="856"/>
      <c r="G1609" s="457">
        <f>SUM(G1598:G1608)</f>
        <v>21908.27</v>
      </c>
      <c r="H1609" s="457"/>
    </row>
    <row r="1610" spans="1:8">
      <c r="B1610" s="855"/>
      <c r="C1610" s="855"/>
      <c r="D1610" s="857" t="s">
        <v>573</v>
      </c>
      <c r="E1610" s="857"/>
      <c r="F1610" s="857"/>
      <c r="G1610" s="457">
        <f>INT(15%*G1609*100)/100</f>
        <v>3286.24</v>
      </c>
      <c r="H1610" s="457"/>
    </row>
    <row r="1611" spans="1:8">
      <c r="B1611" s="855"/>
      <c r="C1611" s="855"/>
      <c r="D1611" s="856" t="s">
        <v>47</v>
      </c>
      <c r="E1611" s="856"/>
      <c r="F1611" s="856"/>
      <c r="G1611" s="457">
        <f>SUM(G1609:G1610)</f>
        <v>25194.510000000002</v>
      </c>
      <c r="H1611" s="457"/>
    </row>
    <row r="1612" spans="1:8" ht="13.65" customHeight="1">
      <c r="A1612" s="916" t="s">
        <v>435</v>
      </c>
      <c r="B1612" s="916"/>
      <c r="C1612" s="916"/>
      <c r="D1612" s="916"/>
      <c r="E1612" s="916"/>
      <c r="F1612" s="916"/>
      <c r="G1612" s="916"/>
      <c r="H1612" s="916"/>
    </row>
    <row r="1613" spans="1:8">
      <c r="A1613" s="592"/>
    </row>
    <row r="1614" spans="1:8" ht="25.5" customHeight="1">
      <c r="A1614" s="507">
        <v>8.01</v>
      </c>
      <c r="B1614" s="446" t="s">
        <v>391</v>
      </c>
      <c r="C1614" s="876" t="s">
        <v>1519</v>
      </c>
      <c r="D1614" s="877"/>
      <c r="E1614" s="877"/>
      <c r="F1614" s="447" t="s">
        <v>50</v>
      </c>
      <c r="G1614" s="447">
        <f>TRUNC(G1621/10,2)</f>
        <v>456.99</v>
      </c>
      <c r="H1614" s="448">
        <f>INT(G1623/10*100)/100</f>
        <v>525.53</v>
      </c>
    </row>
    <row r="1615" spans="1:8">
      <c r="A1615" s="592"/>
      <c r="B1615" s="450" t="s">
        <v>80</v>
      </c>
      <c r="C1615" s="451" t="s">
        <v>81</v>
      </c>
      <c r="D1615" s="451" t="s">
        <v>44</v>
      </c>
      <c r="E1615" s="451" t="s">
        <v>45</v>
      </c>
      <c r="F1615" s="452" t="s">
        <v>58</v>
      </c>
      <c r="G1615" s="452" t="s">
        <v>59</v>
      </c>
      <c r="H1615" s="452" t="s">
        <v>52</v>
      </c>
    </row>
    <row r="1616" spans="1:8">
      <c r="A1616" s="592"/>
      <c r="B1616" s="864" t="s">
        <v>60</v>
      </c>
      <c r="C1616" s="484" t="s">
        <v>69</v>
      </c>
      <c r="D1616" s="488">
        <v>1.1000000000000001</v>
      </c>
      <c r="E1616" s="451" t="s">
        <v>46</v>
      </c>
      <c r="F1616" s="457">
        <f>'LABOUR 2082083'!F5</f>
        <v>1200</v>
      </c>
      <c r="G1616" s="457">
        <f>TRUNC(D1616*F1616,2)</f>
        <v>1320</v>
      </c>
      <c r="H1616" s="457"/>
    </row>
    <row r="1617" spans="1:8">
      <c r="A1617" s="592"/>
      <c r="B1617" s="865"/>
      <c r="C1617" s="484" t="s">
        <v>43</v>
      </c>
      <c r="D1617" s="488">
        <v>1.5</v>
      </c>
      <c r="E1617" s="451" t="s">
        <v>46</v>
      </c>
      <c r="F1617" s="457">
        <f>'LABOUR 2082083'!F3</f>
        <v>870</v>
      </c>
      <c r="G1617" s="457">
        <f>TRUNC(D1617*F1617,2)</f>
        <v>1305</v>
      </c>
      <c r="H1617" s="457"/>
    </row>
    <row r="1618" spans="1:8">
      <c r="A1618" s="592"/>
      <c r="B1618" s="864" t="s">
        <v>63</v>
      </c>
      <c r="C1618" s="484" t="s">
        <v>70</v>
      </c>
      <c r="D1618" s="488">
        <v>0.09</v>
      </c>
      <c r="E1618" s="451" t="s">
        <v>71</v>
      </c>
      <c r="F1618" s="457">
        <f>'Basic Rate'!F35</f>
        <v>14000</v>
      </c>
      <c r="G1618" s="457">
        <f>TRUNC(D1618*F1618,2)</f>
        <v>1260</v>
      </c>
      <c r="H1618" s="457"/>
    </row>
    <row r="1619" spans="1:8">
      <c r="A1619" s="592"/>
      <c r="B1619" s="868"/>
      <c r="C1619" s="528" t="s">
        <v>1034</v>
      </c>
      <c r="D1619" s="488">
        <v>0.12</v>
      </c>
      <c r="E1619" s="451" t="s">
        <v>68</v>
      </c>
      <c r="F1619" s="457">
        <f>'Basic Rate'!F173</f>
        <v>2200</v>
      </c>
      <c r="G1619" s="457">
        <f>TRUNC(D1619*F1619,2)</f>
        <v>264</v>
      </c>
      <c r="H1619" s="457"/>
    </row>
    <row r="1620" spans="1:8" ht="12.75" customHeight="1">
      <c r="A1620" s="592"/>
      <c r="B1620" s="865"/>
      <c r="C1620" s="454" t="s">
        <v>216</v>
      </c>
      <c r="D1620" s="488">
        <v>0.23</v>
      </c>
      <c r="E1620" s="456" t="s">
        <v>68</v>
      </c>
      <c r="F1620" s="457">
        <f>'Basic Rate'!F14</f>
        <v>1830</v>
      </c>
      <c r="G1620" s="457">
        <f>TRUNC(D1620*F1620,2)</f>
        <v>420.9</v>
      </c>
      <c r="H1620" s="457"/>
    </row>
    <row r="1621" spans="1:8">
      <c r="A1621" s="592"/>
      <c r="B1621" s="855" t="s">
        <v>165</v>
      </c>
      <c r="C1621" s="855"/>
      <c r="D1621" s="856" t="s">
        <v>61</v>
      </c>
      <c r="E1621" s="856"/>
      <c r="F1621" s="856"/>
      <c r="G1621" s="457">
        <f>SUM(G1616:G1620)</f>
        <v>4569.8999999999996</v>
      </c>
      <c r="H1621" s="457"/>
    </row>
    <row r="1622" spans="1:8" ht="12.75" customHeight="1">
      <c r="A1622" s="592"/>
      <c r="B1622" s="855"/>
      <c r="C1622" s="855"/>
      <c r="D1622" s="857" t="s">
        <v>573</v>
      </c>
      <c r="E1622" s="857"/>
      <c r="F1622" s="857"/>
      <c r="G1622" s="457">
        <f>INT(15%*G1621*100)/100</f>
        <v>685.48</v>
      </c>
      <c r="H1622" s="457"/>
    </row>
    <row r="1623" spans="1:8" ht="12.75" customHeight="1">
      <c r="A1623" s="592"/>
      <c r="B1623" s="855"/>
      <c r="C1623" s="855"/>
      <c r="D1623" s="856" t="s">
        <v>47</v>
      </c>
      <c r="E1623" s="856"/>
      <c r="F1623" s="856"/>
      <c r="G1623" s="457">
        <f>SUM(G1621:G1622)</f>
        <v>5255.3799999999992</v>
      </c>
      <c r="H1623" s="457"/>
    </row>
    <row r="1624" spans="1:8">
      <c r="A1624" s="592"/>
      <c r="F1624" s="462"/>
    </row>
    <row r="1625" spans="1:8" ht="25.5" customHeight="1">
      <c r="A1625" s="507">
        <v>8.02</v>
      </c>
      <c r="B1625" s="446" t="s">
        <v>392</v>
      </c>
      <c r="C1625" s="876" t="s">
        <v>1520</v>
      </c>
      <c r="D1625" s="877"/>
      <c r="E1625" s="877"/>
      <c r="F1625" s="447" t="s">
        <v>50</v>
      </c>
      <c r="G1625" s="447">
        <f>TRUNC(G1632/10,2)</f>
        <v>611.48</v>
      </c>
      <c r="H1625" s="448">
        <f>INT(G1634/10*100)/100</f>
        <v>703.2</v>
      </c>
    </row>
    <row r="1626" spans="1:8">
      <c r="A1626" s="592"/>
      <c r="B1626" s="450" t="s">
        <v>80</v>
      </c>
      <c r="C1626" s="451" t="s">
        <v>81</v>
      </c>
      <c r="D1626" s="451" t="s">
        <v>44</v>
      </c>
      <c r="E1626" s="451" t="s">
        <v>45</v>
      </c>
      <c r="F1626" s="452" t="s">
        <v>58</v>
      </c>
      <c r="G1626" s="452" t="s">
        <v>59</v>
      </c>
      <c r="H1626" s="452" t="s">
        <v>52</v>
      </c>
    </row>
    <row r="1627" spans="1:8">
      <c r="A1627" s="592"/>
      <c r="B1627" s="864" t="s">
        <v>60</v>
      </c>
      <c r="C1627" s="484" t="s">
        <v>69</v>
      </c>
      <c r="D1627" s="488">
        <v>1.25</v>
      </c>
      <c r="E1627" s="451" t="s">
        <v>46</v>
      </c>
      <c r="F1627" s="457">
        <f>F1616</f>
        <v>1200</v>
      </c>
      <c r="G1627" s="457">
        <f>TRUNC(D1627*F1627,2)</f>
        <v>1500</v>
      </c>
      <c r="H1627" s="457"/>
    </row>
    <row r="1628" spans="1:8">
      <c r="A1628" s="592"/>
      <c r="B1628" s="865"/>
      <c r="C1628" s="484" t="s">
        <v>43</v>
      </c>
      <c r="D1628" s="488">
        <v>2</v>
      </c>
      <c r="E1628" s="451" t="s">
        <v>46</v>
      </c>
      <c r="F1628" s="457">
        <f>F1617</f>
        <v>870</v>
      </c>
      <c r="G1628" s="457">
        <f>TRUNC(D1628*F1628,2)</f>
        <v>1740</v>
      </c>
      <c r="H1628" s="457"/>
    </row>
    <row r="1629" spans="1:8">
      <c r="A1629" s="592"/>
      <c r="B1629" s="864" t="s">
        <v>63</v>
      </c>
      <c r="C1629" s="484" t="s">
        <v>70</v>
      </c>
      <c r="D1629" s="488">
        <v>0.13</v>
      </c>
      <c r="E1629" s="451" t="s">
        <v>71</v>
      </c>
      <c r="F1629" s="457">
        <f>F1618</f>
        <v>14000</v>
      </c>
      <c r="G1629" s="457">
        <f>TRUNC(D1629*F1629,2)</f>
        <v>1820</v>
      </c>
      <c r="H1629" s="457"/>
    </row>
    <row r="1630" spans="1:8">
      <c r="A1630" s="592"/>
      <c r="B1630" s="868"/>
      <c r="C1630" s="528" t="str">
        <f>C1619</f>
        <v xml:space="preserve">Sand </v>
      </c>
      <c r="D1630" s="488">
        <v>0.18</v>
      </c>
      <c r="E1630" s="451" t="s">
        <v>68</v>
      </c>
      <c r="F1630" s="457">
        <f>F1619</f>
        <v>2200</v>
      </c>
      <c r="G1630" s="457">
        <f>TRUNC(D1630*F1630,2)</f>
        <v>396</v>
      </c>
      <c r="H1630" s="457"/>
    </row>
    <row r="1631" spans="1:8">
      <c r="A1631" s="592"/>
      <c r="B1631" s="865"/>
      <c r="C1631" s="454" t="s">
        <v>216</v>
      </c>
      <c r="D1631" s="488">
        <v>0.36</v>
      </c>
      <c r="E1631" s="456" t="s">
        <v>68</v>
      </c>
      <c r="F1631" s="457">
        <f>F1620</f>
        <v>1830</v>
      </c>
      <c r="G1631" s="457">
        <f>TRUNC(D1631*F1631,2)</f>
        <v>658.8</v>
      </c>
      <c r="H1631" s="457"/>
    </row>
    <row r="1632" spans="1:8">
      <c r="A1632" s="592"/>
      <c r="B1632" s="855" t="s">
        <v>165</v>
      </c>
      <c r="C1632" s="855"/>
      <c r="D1632" s="856" t="s">
        <v>61</v>
      </c>
      <c r="E1632" s="856"/>
      <c r="F1632" s="856"/>
      <c r="G1632" s="457">
        <f>SUM(G1627:G1631)</f>
        <v>6114.8</v>
      </c>
      <c r="H1632" s="457"/>
    </row>
    <row r="1633" spans="1:8">
      <c r="A1633" s="592"/>
      <c r="B1633" s="855"/>
      <c r="C1633" s="855"/>
      <c r="D1633" s="857" t="s">
        <v>573</v>
      </c>
      <c r="E1633" s="857"/>
      <c r="F1633" s="857"/>
      <c r="G1633" s="457">
        <f>INT(15%*G1632*100)/100</f>
        <v>917.22</v>
      </c>
      <c r="H1633" s="457"/>
    </row>
    <row r="1634" spans="1:8">
      <c r="A1634" s="592"/>
      <c r="B1634" s="855"/>
      <c r="C1634" s="855"/>
      <c r="D1634" s="856" t="s">
        <v>47</v>
      </c>
      <c r="E1634" s="856"/>
      <c r="F1634" s="856"/>
      <c r="G1634" s="457">
        <f>SUM(G1632:G1633)</f>
        <v>7032.02</v>
      </c>
      <c r="H1634" s="457"/>
    </row>
    <row r="1635" spans="1:8">
      <c r="A1635" s="592"/>
    </row>
    <row r="1636" spans="1:8" ht="25.5" customHeight="1">
      <c r="A1636" s="507">
        <v>8.0299999999999994</v>
      </c>
      <c r="B1636" s="446" t="s">
        <v>393</v>
      </c>
      <c r="C1636" s="876" t="s">
        <v>1521</v>
      </c>
      <c r="D1636" s="877"/>
      <c r="E1636" s="877"/>
      <c r="F1636" s="447" t="s">
        <v>50</v>
      </c>
      <c r="G1636" s="447">
        <f>TRUNC(G1643/10,2)</f>
        <v>740.28</v>
      </c>
      <c r="H1636" s="448">
        <f>INT(G1645/10*100)/100</f>
        <v>851.32</v>
      </c>
    </row>
    <row r="1637" spans="1:8">
      <c r="A1637" s="592"/>
      <c r="B1637" s="450" t="s">
        <v>80</v>
      </c>
      <c r="C1637" s="451" t="s">
        <v>81</v>
      </c>
      <c r="D1637" s="451" t="s">
        <v>44</v>
      </c>
      <c r="E1637" s="451" t="s">
        <v>45</v>
      </c>
      <c r="F1637" s="452" t="s">
        <v>58</v>
      </c>
      <c r="G1637" s="452" t="s">
        <v>59</v>
      </c>
      <c r="H1637" s="452" t="s">
        <v>52</v>
      </c>
    </row>
    <row r="1638" spans="1:8">
      <c r="A1638" s="592"/>
      <c r="B1638" s="864" t="s">
        <v>60</v>
      </c>
      <c r="C1638" s="484" t="s">
        <v>69</v>
      </c>
      <c r="D1638" s="488">
        <v>1.25</v>
      </c>
      <c r="E1638" s="451" t="s">
        <v>46</v>
      </c>
      <c r="F1638" s="457">
        <f>F1627</f>
        <v>1200</v>
      </c>
      <c r="G1638" s="457">
        <f>TRUNC(D1638*F1638,2)</f>
        <v>1500</v>
      </c>
      <c r="H1638" s="457"/>
    </row>
    <row r="1639" spans="1:8">
      <c r="A1639" s="592"/>
      <c r="B1639" s="865"/>
      <c r="C1639" s="484" t="s">
        <v>43</v>
      </c>
      <c r="D1639" s="488">
        <v>2.5</v>
      </c>
      <c r="E1639" s="451" t="s">
        <v>46</v>
      </c>
      <c r="F1639" s="457">
        <f>F1628</f>
        <v>870</v>
      </c>
      <c r="G1639" s="457">
        <f>TRUNC(D1639*F1639,2)</f>
        <v>2175</v>
      </c>
      <c r="H1639" s="457"/>
    </row>
    <row r="1640" spans="1:8">
      <c r="A1640" s="592"/>
      <c r="B1640" s="864" t="s">
        <v>63</v>
      </c>
      <c r="C1640" s="484" t="s">
        <v>70</v>
      </c>
      <c r="D1640" s="488">
        <v>0.17</v>
      </c>
      <c r="E1640" s="451" t="s">
        <v>71</v>
      </c>
      <c r="F1640" s="457">
        <f>F1629</f>
        <v>14000</v>
      </c>
      <c r="G1640" s="457">
        <f>TRUNC(D1640*F1640,2)</f>
        <v>2380</v>
      </c>
      <c r="H1640" s="457"/>
    </row>
    <row r="1641" spans="1:8">
      <c r="A1641" s="592"/>
      <c r="B1641" s="868"/>
      <c r="C1641" s="528" t="str">
        <f>C1630</f>
        <v xml:space="preserve">Sand </v>
      </c>
      <c r="D1641" s="488">
        <v>0.23</v>
      </c>
      <c r="E1641" s="451" t="s">
        <v>68</v>
      </c>
      <c r="F1641" s="457">
        <f>F1630</f>
        <v>2200</v>
      </c>
      <c r="G1641" s="457">
        <f>TRUNC(D1641*F1641,2)</f>
        <v>506</v>
      </c>
      <c r="H1641" s="457"/>
    </row>
    <row r="1642" spans="1:8">
      <c r="A1642" s="592"/>
      <c r="B1642" s="865"/>
      <c r="C1642" s="454" t="s">
        <v>217</v>
      </c>
      <c r="D1642" s="488">
        <v>0.46</v>
      </c>
      <c r="E1642" s="456" t="s">
        <v>68</v>
      </c>
      <c r="F1642" s="457">
        <f>F1631</f>
        <v>1830</v>
      </c>
      <c r="G1642" s="457">
        <f>TRUNC(D1642*F1642,2)</f>
        <v>841.8</v>
      </c>
      <c r="H1642" s="457"/>
    </row>
    <row r="1643" spans="1:8">
      <c r="A1643" s="592"/>
      <c r="B1643" s="855" t="s">
        <v>165</v>
      </c>
      <c r="C1643" s="855"/>
      <c r="D1643" s="856" t="s">
        <v>61</v>
      </c>
      <c r="E1643" s="856"/>
      <c r="F1643" s="856"/>
      <c r="G1643" s="457">
        <f>SUM(G1638:G1642)</f>
        <v>7402.8</v>
      </c>
      <c r="H1643" s="457"/>
    </row>
    <row r="1644" spans="1:8">
      <c r="A1644" s="592"/>
      <c r="B1644" s="855"/>
      <c r="C1644" s="855"/>
      <c r="D1644" s="857" t="s">
        <v>573</v>
      </c>
      <c r="E1644" s="857"/>
      <c r="F1644" s="857"/>
      <c r="G1644" s="457">
        <f>INT(15%*G1643*100)/100</f>
        <v>1110.42</v>
      </c>
      <c r="H1644" s="457"/>
    </row>
    <row r="1645" spans="1:8">
      <c r="A1645" s="592"/>
      <c r="B1645" s="855"/>
      <c r="C1645" s="855"/>
      <c r="D1645" s="856" t="s">
        <v>47</v>
      </c>
      <c r="E1645" s="856"/>
      <c r="F1645" s="856"/>
      <c r="G1645" s="457">
        <f>SUM(G1643:G1644)</f>
        <v>8513.2200000000012</v>
      </c>
      <c r="H1645" s="457"/>
    </row>
    <row r="1646" spans="1:8">
      <c r="A1646" s="592"/>
      <c r="C1646" s="444"/>
      <c r="F1646" s="462"/>
      <c r="G1646" s="460"/>
      <c r="H1646" s="460"/>
    </row>
    <row r="1647" spans="1:8">
      <c r="A1647" s="592"/>
      <c r="C1647" s="444"/>
      <c r="F1647" s="462"/>
      <c r="G1647" s="460"/>
      <c r="H1647" s="460"/>
    </row>
    <row r="1648" spans="1:8" s="495" customFormat="1" ht="25.5" customHeight="1">
      <c r="A1648" s="507">
        <v>8.0399999999999991</v>
      </c>
      <c r="B1648" s="446" t="s">
        <v>394</v>
      </c>
      <c r="C1648" s="888" t="s">
        <v>1522</v>
      </c>
      <c r="D1648" s="889"/>
      <c r="E1648" s="889"/>
      <c r="F1648" s="447" t="s">
        <v>50</v>
      </c>
      <c r="G1648" s="447">
        <f>TRUNC(G1655/10,2)</f>
        <v>974.24</v>
      </c>
      <c r="H1648" s="448">
        <f>INT(G1657/10*100)/100</f>
        <v>1120.3699999999999</v>
      </c>
    </row>
    <row r="1649" spans="1:8">
      <c r="A1649" s="592"/>
      <c r="B1649" s="450" t="s">
        <v>80</v>
      </c>
      <c r="C1649" s="451" t="s">
        <v>81</v>
      </c>
      <c r="D1649" s="451" t="s">
        <v>44</v>
      </c>
      <c r="E1649" s="451" t="s">
        <v>45</v>
      </c>
      <c r="F1649" s="452" t="s">
        <v>58</v>
      </c>
      <c r="G1649" s="452" t="s">
        <v>59</v>
      </c>
      <c r="H1649" s="452" t="s">
        <v>52</v>
      </c>
    </row>
    <row r="1650" spans="1:8">
      <c r="A1650" s="592"/>
      <c r="B1650" s="864" t="s">
        <v>60</v>
      </c>
      <c r="C1650" s="484" t="s">
        <v>69</v>
      </c>
      <c r="D1650" s="488">
        <v>1.25</v>
      </c>
      <c r="E1650" s="451" t="s">
        <v>46</v>
      </c>
      <c r="F1650" s="457">
        <f>F1638</f>
        <v>1200</v>
      </c>
      <c r="G1650" s="457">
        <f>TRUNC(D1650*F1650,2)</f>
        <v>1500</v>
      </c>
      <c r="H1650" s="457"/>
    </row>
    <row r="1651" spans="1:8">
      <c r="A1651" s="592"/>
      <c r="B1651" s="865"/>
      <c r="C1651" s="484" t="s">
        <v>43</v>
      </c>
      <c r="D1651" s="488">
        <v>3</v>
      </c>
      <c r="E1651" s="451" t="s">
        <v>46</v>
      </c>
      <c r="F1651" s="457">
        <f>F1639</f>
        <v>870</v>
      </c>
      <c r="G1651" s="457">
        <f>TRUNC(D1651*F1651,2)</f>
        <v>2610</v>
      </c>
      <c r="H1651" s="457"/>
    </row>
    <row r="1652" spans="1:8">
      <c r="A1652" s="592"/>
      <c r="B1652" s="864" t="s">
        <v>63</v>
      </c>
      <c r="C1652" s="484" t="s">
        <v>70</v>
      </c>
      <c r="D1652" s="488">
        <v>0.26</v>
      </c>
      <c r="E1652" s="451" t="s">
        <v>71</v>
      </c>
      <c r="F1652" s="457">
        <f>F1640</f>
        <v>14000</v>
      </c>
      <c r="G1652" s="457">
        <f>TRUNC(D1652*F1652,2)</f>
        <v>3640</v>
      </c>
      <c r="H1652" s="457"/>
    </row>
    <row r="1653" spans="1:8">
      <c r="A1653" s="592"/>
      <c r="B1653" s="868"/>
      <c r="C1653" s="528" t="str">
        <f>C1641</f>
        <v xml:space="preserve">Sand </v>
      </c>
      <c r="D1653" s="488">
        <v>0.34</v>
      </c>
      <c r="E1653" s="451" t="s">
        <v>68</v>
      </c>
      <c r="F1653" s="457">
        <f>F1641</f>
        <v>2200</v>
      </c>
      <c r="G1653" s="457">
        <f>TRUNC(D1653*F1653,2)</f>
        <v>748</v>
      </c>
      <c r="H1653" s="457"/>
    </row>
    <row r="1654" spans="1:8">
      <c r="A1654" s="592"/>
      <c r="B1654" s="865"/>
      <c r="C1654" s="454" t="s">
        <v>217</v>
      </c>
      <c r="D1654" s="488">
        <v>0.68</v>
      </c>
      <c r="E1654" s="456" t="s">
        <v>68</v>
      </c>
      <c r="F1654" s="457">
        <f>F1642</f>
        <v>1830</v>
      </c>
      <c r="G1654" s="457">
        <f>TRUNC(D1654*F1654,2)</f>
        <v>1244.4000000000001</v>
      </c>
      <c r="H1654" s="457"/>
    </row>
    <row r="1655" spans="1:8">
      <c r="A1655" s="592"/>
      <c r="B1655" s="855" t="s">
        <v>165</v>
      </c>
      <c r="C1655" s="855"/>
      <c r="D1655" s="856" t="s">
        <v>61</v>
      </c>
      <c r="E1655" s="856"/>
      <c r="F1655" s="856"/>
      <c r="G1655" s="457">
        <f>SUM(G1650:G1654)</f>
        <v>9742.4</v>
      </c>
      <c r="H1655" s="457"/>
    </row>
    <row r="1656" spans="1:8">
      <c r="A1656" s="592"/>
      <c r="B1656" s="855"/>
      <c r="C1656" s="855"/>
      <c r="D1656" s="857" t="s">
        <v>573</v>
      </c>
      <c r="E1656" s="857"/>
      <c r="F1656" s="857"/>
      <c r="G1656" s="457">
        <f>INT(15%*G1655*100)/100</f>
        <v>1461.36</v>
      </c>
      <c r="H1656" s="457"/>
    </row>
    <row r="1657" spans="1:8">
      <c r="A1657" s="592"/>
      <c r="B1657" s="855"/>
      <c r="C1657" s="855"/>
      <c r="D1657" s="856" t="s">
        <v>47</v>
      </c>
      <c r="E1657" s="856"/>
      <c r="F1657" s="856"/>
      <c r="G1657" s="457">
        <f>SUM(G1655:G1656)</f>
        <v>11203.76</v>
      </c>
      <c r="H1657" s="457"/>
    </row>
    <row r="1658" spans="1:8">
      <c r="A1658" s="592"/>
      <c r="B1658" s="587"/>
      <c r="C1658" s="594"/>
      <c r="D1658" s="476"/>
      <c r="E1658" s="476"/>
      <c r="F1658" s="584"/>
      <c r="G1658" s="477"/>
      <c r="H1658" s="460"/>
    </row>
    <row r="1659" spans="1:8">
      <c r="A1659" s="592"/>
      <c r="C1659" s="444"/>
      <c r="F1659" s="462"/>
      <c r="G1659" s="460"/>
      <c r="H1659" s="460"/>
    </row>
    <row r="1660" spans="1:8" ht="43.8" customHeight="1">
      <c r="A1660" s="507">
        <v>8.0500000000000007</v>
      </c>
      <c r="B1660" s="446" t="s">
        <v>395</v>
      </c>
      <c r="C1660" s="876" t="s">
        <v>32</v>
      </c>
      <c r="D1660" s="877"/>
      <c r="E1660" s="877"/>
      <c r="F1660" s="447" t="s">
        <v>50</v>
      </c>
      <c r="G1660" s="447">
        <f>TRUNC(G1673/10,2)</f>
        <v>2467.2800000000002</v>
      </c>
      <c r="H1660" s="448">
        <f>INT(G1675/10*100)/100</f>
        <v>2837.37</v>
      </c>
    </row>
    <row r="1661" spans="1:8">
      <c r="A1661" s="592"/>
      <c r="B1661" s="450" t="s">
        <v>80</v>
      </c>
      <c r="C1661" s="451" t="s">
        <v>81</v>
      </c>
      <c r="D1661" s="451" t="s">
        <v>44</v>
      </c>
      <c r="E1661" s="451" t="s">
        <v>45</v>
      </c>
      <c r="F1661" s="452" t="s">
        <v>58</v>
      </c>
      <c r="G1661" s="452" t="s">
        <v>59</v>
      </c>
      <c r="H1661" s="452" t="s">
        <v>52</v>
      </c>
    </row>
    <row r="1662" spans="1:8">
      <c r="A1662" s="592"/>
      <c r="B1662" s="864" t="s">
        <v>60</v>
      </c>
      <c r="C1662" s="484" t="s">
        <v>69</v>
      </c>
      <c r="D1662" s="488">
        <v>2.5</v>
      </c>
      <c r="E1662" s="451" t="s">
        <v>46</v>
      </c>
      <c r="F1662" s="457">
        <f>F1650</f>
        <v>1200</v>
      </c>
      <c r="G1662" s="457">
        <f t="shared" ref="G1662:G1672" si="101">TRUNC(D1662*F1662,2)</f>
        <v>3000</v>
      </c>
      <c r="H1662" s="457"/>
    </row>
    <row r="1663" spans="1:8">
      <c r="A1663" s="592"/>
      <c r="B1663" s="865"/>
      <c r="C1663" s="484" t="s">
        <v>43</v>
      </c>
      <c r="D1663" s="488">
        <v>16</v>
      </c>
      <c r="E1663" s="451" t="s">
        <v>46</v>
      </c>
      <c r="F1663" s="457">
        <f>F1651</f>
        <v>870</v>
      </c>
      <c r="G1663" s="457">
        <f t="shared" si="101"/>
        <v>13920</v>
      </c>
      <c r="H1663" s="457"/>
    </row>
    <row r="1664" spans="1:8">
      <c r="A1664" s="592"/>
      <c r="B1664" s="864" t="s">
        <v>63</v>
      </c>
      <c r="C1664" s="484" t="s">
        <v>70</v>
      </c>
      <c r="D1664" s="488">
        <v>6.5000000000000002E-2</v>
      </c>
      <c r="E1664" s="451" t="s">
        <v>71</v>
      </c>
      <c r="F1664" s="457">
        <f>F1652</f>
        <v>14000</v>
      </c>
      <c r="G1664" s="457">
        <f t="shared" si="101"/>
        <v>910</v>
      </c>
      <c r="H1664" s="457"/>
    </row>
    <row r="1665" spans="1:8">
      <c r="A1665" s="592"/>
      <c r="B1665" s="868"/>
      <c r="C1665" s="528" t="str">
        <f>C1653</f>
        <v xml:space="preserve">Sand </v>
      </c>
      <c r="D1665" s="488">
        <v>8.7999999999999995E-2</v>
      </c>
      <c r="E1665" s="451" t="s">
        <v>68</v>
      </c>
      <c r="F1665" s="457">
        <f>F1653</f>
        <v>2200</v>
      </c>
      <c r="G1665" s="457">
        <f t="shared" si="101"/>
        <v>193.6</v>
      </c>
      <c r="H1665" s="457"/>
    </row>
    <row r="1666" spans="1:8">
      <c r="A1666" s="592"/>
      <c r="B1666" s="868"/>
      <c r="C1666" s="454" t="s">
        <v>216</v>
      </c>
      <c r="D1666" s="488">
        <v>0.17599999999999999</v>
      </c>
      <c r="E1666" s="456" t="s">
        <v>68</v>
      </c>
      <c r="F1666" s="457">
        <f>'Basic Rate'!F14</f>
        <v>1830</v>
      </c>
      <c r="G1666" s="457">
        <f t="shared" si="101"/>
        <v>322.08</v>
      </c>
      <c r="H1666" s="457"/>
    </row>
    <row r="1667" spans="1:8">
      <c r="A1667" s="592"/>
      <c r="B1667" s="868"/>
      <c r="C1667" s="484" t="s">
        <v>104</v>
      </c>
      <c r="D1667" s="488">
        <v>6.0999999999999999E-2</v>
      </c>
      <c r="E1667" s="451" t="s">
        <v>71</v>
      </c>
      <c r="F1667" s="457">
        <f>'Basic Rate'!F220</f>
        <v>26400</v>
      </c>
      <c r="G1667" s="457">
        <f t="shared" si="101"/>
        <v>1610.4</v>
      </c>
      <c r="H1667" s="457"/>
    </row>
    <row r="1668" spans="1:8">
      <c r="A1668" s="592"/>
      <c r="B1668" s="868"/>
      <c r="C1668" s="454" t="s">
        <v>152</v>
      </c>
      <c r="D1668" s="488">
        <v>6.0999999999999999E-2</v>
      </c>
      <c r="E1668" s="451" t="s">
        <v>68</v>
      </c>
      <c r="F1668" s="457">
        <f>'Basic Rate'!F114</f>
        <v>65500</v>
      </c>
      <c r="G1668" s="457">
        <f t="shared" si="101"/>
        <v>3995.5</v>
      </c>
      <c r="H1668" s="457"/>
    </row>
    <row r="1669" spans="1:8">
      <c r="A1669" s="592"/>
      <c r="B1669" s="868"/>
      <c r="C1669" s="454" t="s">
        <v>705</v>
      </c>
      <c r="D1669" s="488">
        <v>0.36499999999999999</v>
      </c>
      <c r="E1669" s="451" t="s">
        <v>74</v>
      </c>
      <c r="F1669" s="457">
        <f>'Basic Rate'!F144</f>
        <v>191</v>
      </c>
      <c r="G1669" s="457">
        <f t="shared" si="101"/>
        <v>69.709999999999994</v>
      </c>
      <c r="H1669" s="457"/>
    </row>
    <row r="1670" spans="1:8">
      <c r="A1670" s="592"/>
      <c r="B1670" s="868"/>
      <c r="C1670" s="454" t="s">
        <v>105</v>
      </c>
      <c r="D1670" s="488">
        <v>0.11799999999999999</v>
      </c>
      <c r="E1670" s="451" t="s">
        <v>74</v>
      </c>
      <c r="F1670" s="457">
        <f>'Basic Rate'!F113</f>
        <v>578</v>
      </c>
      <c r="G1670" s="457">
        <f t="shared" si="101"/>
        <v>68.2</v>
      </c>
      <c r="H1670" s="457"/>
    </row>
    <row r="1671" spans="1:8">
      <c r="A1671" s="592"/>
      <c r="B1671" s="868"/>
      <c r="C1671" s="484" t="s">
        <v>106</v>
      </c>
      <c r="D1671" s="488">
        <v>0.53800000000000003</v>
      </c>
      <c r="E1671" s="451" t="s">
        <v>107</v>
      </c>
      <c r="F1671" s="457">
        <f>'Basic Rate'!F197</f>
        <v>140</v>
      </c>
      <c r="G1671" s="457">
        <f t="shared" si="101"/>
        <v>75.319999999999993</v>
      </c>
      <c r="H1671" s="457"/>
    </row>
    <row r="1672" spans="1:8">
      <c r="A1672" s="592"/>
      <c r="B1672" s="865"/>
      <c r="C1672" s="454" t="s">
        <v>1060</v>
      </c>
      <c r="D1672" s="488">
        <v>2</v>
      </c>
      <c r="E1672" s="455" t="s">
        <v>46</v>
      </c>
      <c r="F1672" s="457">
        <f>'Basic Rate'!F34</f>
        <v>254</v>
      </c>
      <c r="G1672" s="457">
        <f t="shared" si="101"/>
        <v>508</v>
      </c>
      <c r="H1672" s="457" t="s">
        <v>109</v>
      </c>
    </row>
    <row r="1673" spans="1:8">
      <c r="A1673" s="592"/>
      <c r="B1673" s="855" t="s">
        <v>165</v>
      </c>
      <c r="C1673" s="855"/>
      <c r="D1673" s="856" t="s">
        <v>61</v>
      </c>
      <c r="E1673" s="856"/>
      <c r="F1673" s="856"/>
      <c r="G1673" s="457">
        <f>SUM(G1662:G1672)</f>
        <v>24672.81</v>
      </c>
      <c r="H1673" s="457"/>
    </row>
    <row r="1674" spans="1:8">
      <c r="A1674" s="592"/>
      <c r="B1674" s="855"/>
      <c r="C1674" s="855"/>
      <c r="D1674" s="857" t="s">
        <v>573</v>
      </c>
      <c r="E1674" s="857"/>
      <c r="F1674" s="857"/>
      <c r="G1674" s="457">
        <f>INT(15%*G1673*100)/100</f>
        <v>3700.92</v>
      </c>
      <c r="H1674" s="457"/>
    </row>
    <row r="1675" spans="1:8">
      <c r="A1675" s="592"/>
      <c r="B1675" s="855"/>
      <c r="C1675" s="855"/>
      <c r="D1675" s="856" t="s">
        <v>47</v>
      </c>
      <c r="E1675" s="856"/>
      <c r="F1675" s="856"/>
      <c r="G1675" s="457">
        <f>SUM(G1673:G1674)</f>
        <v>28373.730000000003</v>
      </c>
      <c r="H1675" s="457"/>
    </row>
    <row r="1676" spans="1:8">
      <c r="A1676" s="592"/>
      <c r="C1676" s="444"/>
      <c r="F1676" s="462"/>
      <c r="G1676" s="460"/>
      <c r="H1676" s="460"/>
    </row>
    <row r="1677" spans="1:8" ht="43.8" customHeight="1">
      <c r="A1677" s="507">
        <v>8.06</v>
      </c>
      <c r="B1677" s="446" t="s">
        <v>397</v>
      </c>
      <c r="C1677" s="876" t="s">
        <v>396</v>
      </c>
      <c r="D1677" s="877"/>
      <c r="E1677" s="877"/>
      <c r="F1677" s="447" t="s">
        <v>50</v>
      </c>
      <c r="G1677" s="447">
        <f>TRUNC(G1689/10,2)</f>
        <v>4318.82</v>
      </c>
      <c r="H1677" s="448">
        <f>INT(G1691/10*100)/100</f>
        <v>4966.6400000000003</v>
      </c>
    </row>
    <row r="1678" spans="1:8">
      <c r="A1678" s="592"/>
      <c r="B1678" s="450" t="s">
        <v>80</v>
      </c>
      <c r="C1678" s="451" t="s">
        <v>81</v>
      </c>
      <c r="D1678" s="451" t="s">
        <v>44</v>
      </c>
      <c r="E1678" s="451" t="s">
        <v>45</v>
      </c>
      <c r="F1678" s="452" t="s">
        <v>58</v>
      </c>
      <c r="G1678" s="452" t="s">
        <v>59</v>
      </c>
      <c r="H1678" s="452" t="s">
        <v>52</v>
      </c>
    </row>
    <row r="1679" spans="1:8">
      <c r="A1679" s="592"/>
      <c r="B1679" s="864" t="s">
        <v>60</v>
      </c>
      <c r="C1679" s="484" t="s">
        <v>69</v>
      </c>
      <c r="D1679" s="455">
        <v>3.5</v>
      </c>
      <c r="E1679" s="451" t="s">
        <v>46</v>
      </c>
      <c r="F1679" s="457">
        <f>'LABOUR 2082083'!F5</f>
        <v>1200</v>
      </c>
      <c r="G1679" s="457">
        <f t="shared" ref="G1679:G1688" si="102">TRUNC(D1679*F1679,2)</f>
        <v>4200</v>
      </c>
      <c r="H1679" s="457"/>
    </row>
    <row r="1680" spans="1:8">
      <c r="A1680" s="592"/>
      <c r="B1680" s="865"/>
      <c r="C1680" s="484" t="s">
        <v>43</v>
      </c>
      <c r="D1680" s="455">
        <v>36</v>
      </c>
      <c r="E1680" s="451" t="s">
        <v>46</v>
      </c>
      <c r="F1680" s="457">
        <f>'LABOUR 2082083'!F3</f>
        <v>870</v>
      </c>
      <c r="G1680" s="457">
        <f t="shared" si="102"/>
        <v>31320</v>
      </c>
      <c r="H1680" s="457"/>
    </row>
    <row r="1681" spans="1:8">
      <c r="A1681" s="592"/>
      <c r="B1681" s="864" t="s">
        <v>63</v>
      </c>
      <c r="C1681" s="484" t="s">
        <v>70</v>
      </c>
      <c r="D1681" s="455">
        <v>0.121</v>
      </c>
      <c r="E1681" s="451" t="s">
        <v>71</v>
      </c>
      <c r="F1681" s="457">
        <f>F1664</f>
        <v>14000</v>
      </c>
      <c r="G1681" s="457">
        <f t="shared" si="102"/>
        <v>1694</v>
      </c>
      <c r="H1681" s="457"/>
    </row>
    <row r="1682" spans="1:8">
      <c r="A1682" s="592"/>
      <c r="B1682" s="868"/>
      <c r="C1682" s="528" t="str">
        <f>'Basic Rate'!B174</f>
        <v xml:space="preserve">Sand  river washed </v>
      </c>
      <c r="D1682" s="455">
        <v>0.16500000000000001</v>
      </c>
      <c r="E1682" s="451" t="s">
        <v>68</v>
      </c>
      <c r="F1682" s="457">
        <f>F1665</f>
        <v>2200</v>
      </c>
      <c r="G1682" s="457">
        <f t="shared" si="102"/>
        <v>363</v>
      </c>
      <c r="H1682" s="457"/>
    </row>
    <row r="1683" spans="1:8">
      <c r="A1683" s="592"/>
      <c r="B1683" s="868"/>
      <c r="C1683" s="484" t="s">
        <v>104</v>
      </c>
      <c r="D1683" s="455">
        <v>6.9000000000000006E-2</v>
      </c>
      <c r="E1683" s="451" t="s">
        <v>71</v>
      </c>
      <c r="F1683" s="457">
        <f t="shared" ref="F1683:F1688" si="103">F1667</f>
        <v>26400</v>
      </c>
      <c r="G1683" s="457">
        <f t="shared" si="102"/>
        <v>1821.6</v>
      </c>
      <c r="H1683" s="457"/>
    </row>
    <row r="1684" spans="1:8">
      <c r="A1684" s="592"/>
      <c r="B1684" s="868"/>
      <c r="C1684" s="454" t="s">
        <v>152</v>
      </c>
      <c r="D1684" s="455">
        <v>4.7E-2</v>
      </c>
      <c r="E1684" s="451" t="s">
        <v>68</v>
      </c>
      <c r="F1684" s="457">
        <f t="shared" si="103"/>
        <v>65500</v>
      </c>
      <c r="G1684" s="457">
        <f t="shared" si="102"/>
        <v>3078.5</v>
      </c>
      <c r="H1684" s="457"/>
    </row>
    <row r="1685" spans="1:8">
      <c r="A1685" s="592"/>
      <c r="B1685" s="868"/>
      <c r="C1685" s="454" t="s">
        <v>705</v>
      </c>
      <c r="D1685" s="455">
        <v>0.34</v>
      </c>
      <c r="E1685" s="451" t="s">
        <v>74</v>
      </c>
      <c r="F1685" s="457">
        <f t="shared" si="103"/>
        <v>191</v>
      </c>
      <c r="G1685" s="457">
        <f t="shared" si="102"/>
        <v>64.94</v>
      </c>
      <c r="H1685" s="457"/>
    </row>
    <row r="1686" spans="1:8">
      <c r="A1686" s="592"/>
      <c r="B1686" s="868"/>
      <c r="C1686" s="454" t="s">
        <v>105</v>
      </c>
      <c r="D1686" s="455">
        <v>0.11799999999999999</v>
      </c>
      <c r="E1686" s="451" t="s">
        <v>74</v>
      </c>
      <c r="F1686" s="457">
        <f t="shared" si="103"/>
        <v>578</v>
      </c>
      <c r="G1686" s="457">
        <f t="shared" si="102"/>
        <v>68.2</v>
      </c>
      <c r="H1686" s="457"/>
    </row>
    <row r="1687" spans="1:8">
      <c r="A1687" s="592"/>
      <c r="B1687" s="868"/>
      <c r="C1687" s="484" t="s">
        <v>106</v>
      </c>
      <c r="D1687" s="455">
        <v>0.5</v>
      </c>
      <c r="E1687" s="451" t="s">
        <v>107</v>
      </c>
      <c r="F1687" s="457">
        <f t="shared" si="103"/>
        <v>140</v>
      </c>
      <c r="G1687" s="457">
        <f t="shared" si="102"/>
        <v>70</v>
      </c>
      <c r="H1687" s="457"/>
    </row>
    <row r="1688" spans="1:8">
      <c r="A1688" s="592"/>
      <c r="B1688" s="865"/>
      <c r="C1688" s="454" t="s">
        <v>108</v>
      </c>
      <c r="D1688" s="455">
        <v>2</v>
      </c>
      <c r="E1688" s="455" t="s">
        <v>46</v>
      </c>
      <c r="F1688" s="457">
        <f t="shared" si="103"/>
        <v>254</v>
      </c>
      <c r="G1688" s="457">
        <f t="shared" si="102"/>
        <v>508</v>
      </c>
      <c r="H1688" s="457" t="s">
        <v>166</v>
      </c>
    </row>
    <row r="1689" spans="1:8">
      <c r="A1689" s="592"/>
      <c r="B1689" s="855" t="s">
        <v>165</v>
      </c>
      <c r="C1689" s="855"/>
      <c r="D1689" s="856" t="s">
        <v>61</v>
      </c>
      <c r="E1689" s="856"/>
      <c r="F1689" s="856"/>
      <c r="G1689" s="457">
        <f>SUM(G1679:G1688)</f>
        <v>43188.24</v>
      </c>
      <c r="H1689" s="457"/>
    </row>
    <row r="1690" spans="1:8">
      <c r="A1690" s="592"/>
      <c r="B1690" s="855"/>
      <c r="C1690" s="855"/>
      <c r="D1690" s="857" t="s">
        <v>573</v>
      </c>
      <c r="E1690" s="857"/>
      <c r="F1690" s="857"/>
      <c r="G1690" s="457">
        <f>INT(15%*G1689*100)/100</f>
        <v>6478.23</v>
      </c>
      <c r="H1690" s="457"/>
    </row>
    <row r="1691" spans="1:8">
      <c r="A1691" s="592"/>
      <c r="B1691" s="855"/>
      <c r="C1691" s="855"/>
      <c r="D1691" s="856" t="s">
        <v>47</v>
      </c>
      <c r="E1691" s="856"/>
      <c r="F1691" s="856"/>
      <c r="G1691" s="457">
        <f>SUM(G1689:G1690)</f>
        <v>49666.47</v>
      </c>
      <c r="H1691" s="457"/>
    </row>
    <row r="1692" spans="1:8">
      <c r="A1692" s="592"/>
      <c r="C1692" s="459"/>
      <c r="F1692" s="462"/>
      <c r="G1692" s="460"/>
      <c r="H1692" s="460"/>
    </row>
    <row r="1693" spans="1:8">
      <c r="A1693" s="592"/>
      <c r="C1693" s="444"/>
      <c r="F1693" s="462"/>
      <c r="G1693" s="460"/>
      <c r="H1693" s="460"/>
    </row>
    <row r="1694" spans="1:8" ht="38.25" customHeight="1">
      <c r="A1694" s="507">
        <v>8.07</v>
      </c>
      <c r="B1694" s="446" t="s">
        <v>398</v>
      </c>
      <c r="C1694" s="876" t="s">
        <v>33</v>
      </c>
      <c r="D1694" s="877"/>
      <c r="E1694" s="877"/>
      <c r="F1694" s="447" t="s">
        <v>50</v>
      </c>
      <c r="G1694" s="447">
        <f>TRUNC(G1706/10,2)</f>
        <v>4410.16</v>
      </c>
      <c r="H1694" s="448">
        <f>INT(G1708/10*100)/100</f>
        <v>5071.6899999999996</v>
      </c>
    </row>
    <row r="1695" spans="1:8">
      <c r="A1695" s="592"/>
      <c r="B1695" s="450" t="s">
        <v>80</v>
      </c>
      <c r="C1695" s="451" t="s">
        <v>81</v>
      </c>
      <c r="D1695" s="451" t="s">
        <v>44</v>
      </c>
      <c r="E1695" s="451" t="s">
        <v>45</v>
      </c>
      <c r="F1695" s="452" t="s">
        <v>58</v>
      </c>
      <c r="G1695" s="452" t="s">
        <v>59</v>
      </c>
      <c r="H1695" s="452" t="s">
        <v>52</v>
      </c>
    </row>
    <row r="1696" spans="1:8">
      <c r="A1696" s="592"/>
      <c r="B1696" s="864" t="s">
        <v>60</v>
      </c>
      <c r="C1696" s="484" t="s">
        <v>69</v>
      </c>
      <c r="D1696" s="455">
        <v>3.5</v>
      </c>
      <c r="E1696" s="451" t="s">
        <v>46</v>
      </c>
      <c r="F1696" s="457">
        <f>F1679</f>
        <v>1200</v>
      </c>
      <c r="G1696" s="457">
        <f t="shared" ref="G1696:G1705" si="104">TRUNC(D1696*F1696,2)</f>
        <v>4200</v>
      </c>
      <c r="H1696" s="457"/>
    </row>
    <row r="1697" spans="1:8">
      <c r="A1697" s="592"/>
      <c r="B1697" s="865"/>
      <c r="C1697" s="484" t="s">
        <v>43</v>
      </c>
      <c r="D1697" s="455">
        <v>36</v>
      </c>
      <c r="E1697" s="451" t="s">
        <v>46</v>
      </c>
      <c r="F1697" s="457">
        <f t="shared" ref="F1697:F1705" si="105">F1680</f>
        <v>870</v>
      </c>
      <c r="G1697" s="457">
        <f t="shared" si="104"/>
        <v>31320</v>
      </c>
      <c r="H1697" s="457"/>
    </row>
    <row r="1698" spans="1:8">
      <c r="A1698" s="592"/>
      <c r="B1698" s="864" t="s">
        <v>63</v>
      </c>
      <c r="C1698" s="484" t="s">
        <v>70</v>
      </c>
      <c r="D1698" s="455">
        <v>8.8999999999999996E-2</v>
      </c>
      <c r="E1698" s="451" t="s">
        <v>71</v>
      </c>
      <c r="F1698" s="457">
        <f t="shared" si="105"/>
        <v>14000</v>
      </c>
      <c r="G1698" s="457">
        <f t="shared" si="104"/>
        <v>1246</v>
      </c>
      <c r="H1698" s="457"/>
    </row>
    <row r="1699" spans="1:8">
      <c r="A1699" s="592"/>
      <c r="B1699" s="868"/>
      <c r="C1699" s="528" t="str">
        <f>C1682</f>
        <v xml:space="preserve">Sand  river washed </v>
      </c>
      <c r="D1699" s="455">
        <v>0.122</v>
      </c>
      <c r="E1699" s="451" t="s">
        <v>68</v>
      </c>
      <c r="F1699" s="457">
        <f t="shared" si="105"/>
        <v>2200</v>
      </c>
      <c r="G1699" s="457">
        <f t="shared" si="104"/>
        <v>268.39999999999998</v>
      </c>
      <c r="H1699" s="457"/>
    </row>
    <row r="1700" spans="1:8">
      <c r="A1700" s="592"/>
      <c r="B1700" s="868"/>
      <c r="C1700" s="484" t="s">
        <v>104</v>
      </c>
      <c r="D1700" s="455">
        <v>8.8999999999999996E-2</v>
      </c>
      <c r="E1700" s="451" t="s">
        <v>71</v>
      </c>
      <c r="F1700" s="457">
        <f t="shared" si="105"/>
        <v>26400</v>
      </c>
      <c r="G1700" s="457">
        <f t="shared" si="104"/>
        <v>2349.6</v>
      </c>
      <c r="H1700" s="457"/>
    </row>
    <row r="1701" spans="1:8">
      <c r="A1701" s="592"/>
      <c r="B1701" s="868"/>
      <c r="C1701" s="454" t="s">
        <v>152</v>
      </c>
      <c r="D1701" s="455">
        <v>6.0999999999999999E-2</v>
      </c>
      <c r="E1701" s="451" t="s">
        <v>68</v>
      </c>
      <c r="F1701" s="457">
        <f>F1684</f>
        <v>65500</v>
      </c>
      <c r="G1701" s="457">
        <f t="shared" si="104"/>
        <v>3995.5</v>
      </c>
      <c r="H1701" s="457"/>
    </row>
    <row r="1702" spans="1:8">
      <c r="A1702" s="592"/>
      <c r="B1702" s="868"/>
      <c r="C1702" s="454" t="s">
        <v>705</v>
      </c>
      <c r="D1702" s="455">
        <v>0.37</v>
      </c>
      <c r="E1702" s="451" t="s">
        <v>74</v>
      </c>
      <c r="F1702" s="457">
        <f t="shared" si="105"/>
        <v>191</v>
      </c>
      <c r="G1702" s="457">
        <f t="shared" si="104"/>
        <v>70.67</v>
      </c>
      <c r="H1702" s="457"/>
    </row>
    <row r="1703" spans="1:8">
      <c r="A1703" s="592"/>
      <c r="B1703" s="868"/>
      <c r="C1703" s="454" t="s">
        <v>105</v>
      </c>
      <c r="D1703" s="455">
        <v>0.11799999999999999</v>
      </c>
      <c r="E1703" s="451" t="s">
        <v>74</v>
      </c>
      <c r="F1703" s="457">
        <f>F1686</f>
        <v>578</v>
      </c>
      <c r="G1703" s="457">
        <f t="shared" si="104"/>
        <v>68.2</v>
      </c>
      <c r="H1703" s="457"/>
    </row>
    <row r="1704" spans="1:8">
      <c r="A1704" s="592"/>
      <c r="B1704" s="868"/>
      <c r="C1704" s="484" t="s">
        <v>106</v>
      </c>
      <c r="D1704" s="455">
        <v>0.53800000000000003</v>
      </c>
      <c r="E1704" s="451" t="s">
        <v>107</v>
      </c>
      <c r="F1704" s="457">
        <f t="shared" si="105"/>
        <v>140</v>
      </c>
      <c r="G1704" s="457">
        <f t="shared" si="104"/>
        <v>75.319999999999993</v>
      </c>
      <c r="H1704" s="457"/>
    </row>
    <row r="1705" spans="1:8">
      <c r="A1705" s="592"/>
      <c r="B1705" s="865"/>
      <c r="C1705" s="454" t="s">
        <v>108</v>
      </c>
      <c r="D1705" s="455">
        <v>2</v>
      </c>
      <c r="E1705" s="455" t="s">
        <v>46</v>
      </c>
      <c r="F1705" s="457">
        <f t="shared" si="105"/>
        <v>254</v>
      </c>
      <c r="G1705" s="457">
        <f t="shared" si="104"/>
        <v>508</v>
      </c>
      <c r="H1705" s="457" t="s">
        <v>166</v>
      </c>
    </row>
    <row r="1706" spans="1:8">
      <c r="A1706" s="592"/>
      <c r="B1706" s="855" t="s">
        <v>165</v>
      </c>
      <c r="C1706" s="855"/>
      <c r="D1706" s="856" t="s">
        <v>61</v>
      </c>
      <c r="E1706" s="856"/>
      <c r="F1706" s="856"/>
      <c r="G1706" s="457">
        <f>SUM(G1696:G1705)</f>
        <v>44101.689999999995</v>
      </c>
      <c r="H1706" s="457"/>
    </row>
    <row r="1707" spans="1:8">
      <c r="A1707" s="592"/>
      <c r="B1707" s="855"/>
      <c r="C1707" s="855"/>
      <c r="D1707" s="857" t="s">
        <v>573</v>
      </c>
      <c r="E1707" s="857"/>
      <c r="F1707" s="857"/>
      <c r="G1707" s="457">
        <f>INT(15%*G1706*100)/100</f>
        <v>6615.25</v>
      </c>
      <c r="H1707" s="457"/>
    </row>
    <row r="1708" spans="1:8">
      <c r="A1708" s="592"/>
      <c r="B1708" s="855"/>
      <c r="C1708" s="855"/>
      <c r="D1708" s="856" t="s">
        <v>47</v>
      </c>
      <c r="E1708" s="856"/>
      <c r="F1708" s="856"/>
      <c r="G1708" s="457">
        <f>SUM(G1706:G1707)</f>
        <v>50716.939999999995</v>
      </c>
      <c r="H1708" s="457"/>
    </row>
    <row r="1709" spans="1:8">
      <c r="A1709" s="592"/>
      <c r="C1709" s="459"/>
      <c r="F1709" s="462"/>
      <c r="G1709" s="460"/>
      <c r="H1709" s="460"/>
    </row>
    <row r="1710" spans="1:8">
      <c r="A1710" s="592"/>
      <c r="C1710" s="444"/>
      <c r="F1710" s="462"/>
      <c r="G1710" s="460"/>
      <c r="H1710" s="460"/>
    </row>
    <row r="1711" spans="1:8" ht="34.799999999999997" customHeight="1">
      <c r="A1711" s="507">
        <v>8.08</v>
      </c>
      <c r="B1711" s="446" t="s">
        <v>399</v>
      </c>
      <c r="C1711" s="876" t="s">
        <v>1151</v>
      </c>
      <c r="D1711" s="877"/>
      <c r="E1711" s="877"/>
      <c r="F1711" s="447" t="s">
        <v>50</v>
      </c>
      <c r="G1711" s="447">
        <f>TRUNC(G1722/10,2)</f>
        <v>3476.51</v>
      </c>
      <c r="H1711" s="448">
        <f>INT(G1724/10*100)/100</f>
        <v>3997.99</v>
      </c>
    </row>
    <row r="1712" spans="1:8">
      <c r="A1712" s="592"/>
      <c r="B1712" s="450" t="s">
        <v>80</v>
      </c>
      <c r="C1712" s="451" t="s">
        <v>81</v>
      </c>
      <c r="D1712" s="451" t="s">
        <v>44</v>
      </c>
      <c r="E1712" s="451" t="s">
        <v>45</v>
      </c>
      <c r="F1712" s="452" t="s">
        <v>58</v>
      </c>
      <c r="G1712" s="452" t="s">
        <v>59</v>
      </c>
      <c r="H1712" s="452" t="s">
        <v>52</v>
      </c>
    </row>
    <row r="1713" spans="1:8">
      <c r="A1713" s="592"/>
      <c r="B1713" s="864" t="s">
        <v>60</v>
      </c>
      <c r="C1713" s="484" t="s">
        <v>69</v>
      </c>
      <c r="D1713" s="455">
        <v>2</v>
      </c>
      <c r="E1713" s="451" t="s">
        <v>46</v>
      </c>
      <c r="F1713" s="457">
        <f>F1696</f>
        <v>1200</v>
      </c>
      <c r="G1713" s="457">
        <f t="shared" ref="G1713:G1721" si="106">TRUNC(D1713*F1713,2)</f>
        <v>2400</v>
      </c>
      <c r="H1713" s="457"/>
    </row>
    <row r="1714" spans="1:8">
      <c r="A1714" s="592"/>
      <c r="B1714" s="865"/>
      <c r="C1714" s="484" t="s">
        <v>43</v>
      </c>
      <c r="D1714" s="455">
        <v>12.6</v>
      </c>
      <c r="E1714" s="451" t="s">
        <v>46</v>
      </c>
      <c r="F1714" s="457">
        <f>F1697</f>
        <v>870</v>
      </c>
      <c r="G1714" s="457">
        <f t="shared" si="106"/>
        <v>10962</v>
      </c>
      <c r="H1714" s="457"/>
    </row>
    <row r="1715" spans="1:8">
      <c r="A1715" s="592"/>
      <c r="B1715" s="864" t="s">
        <v>63</v>
      </c>
      <c r="C1715" s="484" t="s">
        <v>1152</v>
      </c>
      <c r="D1715" s="455">
        <v>11</v>
      </c>
      <c r="E1715" s="451" t="s">
        <v>50</v>
      </c>
      <c r="F1715" s="457">
        <f>'Basic Rate'!$F$199</f>
        <v>1733</v>
      </c>
      <c r="G1715" s="457">
        <f t="shared" si="106"/>
        <v>19063</v>
      </c>
      <c r="H1715" s="457"/>
    </row>
    <row r="1716" spans="1:8">
      <c r="A1716" s="592"/>
      <c r="B1716" s="868"/>
      <c r="C1716" s="484" t="s">
        <v>70</v>
      </c>
      <c r="D1716" s="455">
        <v>8.1000000000000003E-2</v>
      </c>
      <c r="E1716" s="451" t="s">
        <v>71</v>
      </c>
      <c r="F1716" s="457">
        <f>F1698</f>
        <v>14000</v>
      </c>
      <c r="G1716" s="457">
        <f t="shared" si="106"/>
        <v>1134</v>
      </c>
      <c r="H1716" s="457"/>
    </row>
    <row r="1717" spans="1:8">
      <c r="A1717" s="592"/>
      <c r="B1717" s="868"/>
      <c r="C1717" s="528" t="str">
        <f>C1699</f>
        <v xml:space="preserve">Sand  river washed </v>
      </c>
      <c r="D1717" s="455">
        <v>0.22</v>
      </c>
      <c r="E1717" s="451" t="s">
        <v>68</v>
      </c>
      <c r="F1717" s="457">
        <f>F1699</f>
        <v>2200</v>
      </c>
      <c r="G1717" s="457">
        <f t="shared" si="106"/>
        <v>484</v>
      </c>
      <c r="H1717" s="457"/>
    </row>
    <row r="1718" spans="1:8">
      <c r="A1718" s="592"/>
      <c r="B1718" s="868"/>
      <c r="C1718" s="454" t="s">
        <v>705</v>
      </c>
      <c r="D1718" s="455">
        <v>0.37</v>
      </c>
      <c r="E1718" s="451" t="s">
        <v>74</v>
      </c>
      <c r="F1718" s="457">
        <f>F1702</f>
        <v>191</v>
      </c>
      <c r="G1718" s="457">
        <f t="shared" si="106"/>
        <v>70.67</v>
      </c>
      <c r="H1718" s="457"/>
    </row>
    <row r="1719" spans="1:8">
      <c r="A1719" s="592"/>
      <c r="B1719" s="868"/>
      <c r="C1719" s="454" t="s">
        <v>105</v>
      </c>
      <c r="D1719" s="455">
        <v>0.11799999999999999</v>
      </c>
      <c r="E1719" s="451" t="s">
        <v>74</v>
      </c>
      <c r="F1719" s="457">
        <f>F1703</f>
        <v>578</v>
      </c>
      <c r="G1719" s="457">
        <f t="shared" si="106"/>
        <v>68.2</v>
      </c>
      <c r="H1719" s="457"/>
    </row>
    <row r="1720" spans="1:8">
      <c r="A1720" s="592"/>
      <c r="B1720" s="868"/>
      <c r="C1720" s="484" t="s">
        <v>106</v>
      </c>
      <c r="D1720" s="455">
        <v>0.53800000000000003</v>
      </c>
      <c r="E1720" s="451" t="s">
        <v>107</v>
      </c>
      <c r="F1720" s="457">
        <f>F1704</f>
        <v>140</v>
      </c>
      <c r="G1720" s="457">
        <f t="shared" si="106"/>
        <v>75.319999999999993</v>
      </c>
      <c r="H1720" s="457"/>
    </row>
    <row r="1721" spans="1:8">
      <c r="A1721" s="592"/>
      <c r="B1721" s="865"/>
      <c r="C1721" s="454" t="s">
        <v>108</v>
      </c>
      <c r="D1721" s="455">
        <v>2</v>
      </c>
      <c r="E1721" s="455" t="s">
        <v>46</v>
      </c>
      <c r="F1721" s="457">
        <f>'Basic Rate'!F34</f>
        <v>254</v>
      </c>
      <c r="G1721" s="457">
        <f t="shared" si="106"/>
        <v>508</v>
      </c>
      <c r="H1721" s="457" t="s">
        <v>167</v>
      </c>
    </row>
    <row r="1722" spans="1:8">
      <c r="A1722" s="592"/>
      <c r="B1722" s="855" t="s">
        <v>165</v>
      </c>
      <c r="C1722" s="855"/>
      <c r="D1722" s="856" t="s">
        <v>61</v>
      </c>
      <c r="E1722" s="856"/>
      <c r="F1722" s="856"/>
      <c r="G1722" s="457">
        <f>SUM(G1713:G1721)</f>
        <v>34765.189999999995</v>
      </c>
      <c r="H1722" s="457"/>
    </row>
    <row r="1723" spans="1:8">
      <c r="A1723" s="592"/>
      <c r="B1723" s="855"/>
      <c r="C1723" s="855"/>
      <c r="D1723" s="857" t="s">
        <v>573</v>
      </c>
      <c r="E1723" s="857"/>
      <c r="F1723" s="857"/>
      <c r="G1723" s="457">
        <f>INT(15%*G1722*100)/100</f>
        <v>5214.7700000000004</v>
      </c>
      <c r="H1723" s="457"/>
    </row>
    <row r="1724" spans="1:8">
      <c r="A1724" s="592"/>
      <c r="B1724" s="855"/>
      <c r="C1724" s="855"/>
      <c r="D1724" s="856" t="s">
        <v>47</v>
      </c>
      <c r="E1724" s="856"/>
      <c r="F1724" s="856"/>
      <c r="G1724" s="457">
        <f>SUM(G1722:G1723)</f>
        <v>39979.959999999992</v>
      </c>
      <c r="H1724" s="457"/>
    </row>
    <row r="1725" spans="1:8">
      <c r="A1725" s="592"/>
      <c r="C1725" s="459"/>
      <c r="F1725" s="462"/>
      <c r="G1725" s="460"/>
      <c r="H1725" s="460"/>
    </row>
    <row r="1726" spans="1:8">
      <c r="A1726" s="592"/>
      <c r="C1726" s="444"/>
      <c r="F1726" s="462"/>
      <c r="G1726" s="460"/>
      <c r="H1726" s="460"/>
    </row>
    <row r="1727" spans="1:8" ht="36.75" customHeight="1">
      <c r="A1727" s="507">
        <v>8.09</v>
      </c>
      <c r="B1727" s="446" t="s">
        <v>168</v>
      </c>
      <c r="C1727" s="888" t="s">
        <v>1074</v>
      </c>
      <c r="D1727" s="889"/>
      <c r="E1727" s="890"/>
      <c r="F1727" s="447" t="s">
        <v>50</v>
      </c>
      <c r="G1727" s="447">
        <f>TRUNC(G1739/10,2)</f>
        <v>4691.87</v>
      </c>
      <c r="H1727" s="448">
        <f>TRUNC(G1741/10,2)</f>
        <v>5395.66</v>
      </c>
    </row>
    <row r="1728" spans="1:8">
      <c r="A1728" s="592"/>
      <c r="B1728" s="450" t="s">
        <v>80</v>
      </c>
      <c r="C1728" s="451" t="s">
        <v>81</v>
      </c>
      <c r="D1728" s="451" t="s">
        <v>44</v>
      </c>
      <c r="E1728" s="451" t="s">
        <v>45</v>
      </c>
      <c r="F1728" s="452" t="s">
        <v>58</v>
      </c>
      <c r="G1728" s="452" t="s">
        <v>59</v>
      </c>
      <c r="H1728" s="452" t="s">
        <v>52</v>
      </c>
    </row>
    <row r="1729" spans="1:8">
      <c r="A1729" s="592"/>
      <c r="B1729" s="864" t="s">
        <v>60</v>
      </c>
      <c r="C1729" s="484" t="s">
        <v>69</v>
      </c>
      <c r="D1729" s="550">
        <v>2</v>
      </c>
      <c r="E1729" s="451" t="s">
        <v>46</v>
      </c>
      <c r="F1729" s="457">
        <f>F1713</f>
        <v>1200</v>
      </c>
      <c r="G1729" s="457">
        <f t="shared" ref="G1729:G1738" si="107">TRUNC(D1729*F1729,2)</f>
        <v>2400</v>
      </c>
      <c r="H1729" s="457"/>
    </row>
    <row r="1730" spans="1:8">
      <c r="A1730" s="592"/>
      <c r="B1730" s="868"/>
      <c r="C1730" s="484" t="s">
        <v>43</v>
      </c>
      <c r="D1730" s="550">
        <v>8</v>
      </c>
      <c r="E1730" s="451" t="s">
        <v>46</v>
      </c>
      <c r="F1730" s="457">
        <f>F1714</f>
        <v>870</v>
      </c>
      <c r="G1730" s="457">
        <f>TRUNC(D1730*F1730,2)</f>
        <v>6960</v>
      </c>
      <c r="H1730" s="457"/>
    </row>
    <row r="1731" spans="1:8" ht="12" customHeight="1">
      <c r="A1731" s="592"/>
      <c r="B1731" s="865"/>
      <c r="C1731" s="484" t="s">
        <v>1057</v>
      </c>
      <c r="D1731" s="550">
        <v>13.5</v>
      </c>
      <c r="E1731" s="451" t="s">
        <v>46</v>
      </c>
      <c r="F1731" s="457">
        <f>F1730</f>
        <v>870</v>
      </c>
      <c r="G1731" s="457">
        <f>TRUNC(D1731*F1731,2)</f>
        <v>11745</v>
      </c>
      <c r="H1731" s="457"/>
    </row>
    <row r="1732" spans="1:8">
      <c r="A1732" s="592"/>
      <c r="B1732" s="864" t="s">
        <v>63</v>
      </c>
      <c r="C1732" s="454" t="s">
        <v>1075</v>
      </c>
      <c r="D1732" s="550">
        <v>11</v>
      </c>
      <c r="E1732" s="451" t="s">
        <v>50</v>
      </c>
      <c r="F1732" s="457">
        <f>'Basic Rate'!D117</f>
        <v>2079</v>
      </c>
      <c r="G1732" s="457">
        <f t="shared" si="107"/>
        <v>22869</v>
      </c>
      <c r="H1732" s="457"/>
    </row>
    <row r="1733" spans="1:8">
      <c r="A1733" s="592"/>
      <c r="B1733" s="868"/>
      <c r="C1733" s="484" t="s">
        <v>70</v>
      </c>
      <c r="D1733" s="600">
        <v>0.13</v>
      </c>
      <c r="E1733" s="451" t="s">
        <v>71</v>
      </c>
      <c r="F1733" s="457">
        <f>'Basic Rate'!F35</f>
        <v>14000</v>
      </c>
      <c r="G1733" s="457">
        <f t="shared" si="107"/>
        <v>1820</v>
      </c>
      <c r="H1733" s="457"/>
    </row>
    <row r="1734" spans="1:8">
      <c r="A1734" s="592"/>
      <c r="B1734" s="868"/>
      <c r="C1734" s="528" t="str">
        <f>C1717</f>
        <v xml:space="preserve">Sand  river washed </v>
      </c>
      <c r="D1734" s="550">
        <v>0.183</v>
      </c>
      <c r="E1734" s="451" t="s">
        <v>68</v>
      </c>
      <c r="F1734" s="457">
        <f>'Basic Rate'!F173</f>
        <v>2200</v>
      </c>
      <c r="G1734" s="457">
        <f t="shared" si="107"/>
        <v>402.6</v>
      </c>
      <c r="H1734" s="457"/>
    </row>
    <row r="1735" spans="1:8">
      <c r="A1735" s="592"/>
      <c r="B1735" s="868"/>
      <c r="C1735" s="454" t="s">
        <v>705</v>
      </c>
      <c r="D1735" s="550">
        <v>0.37</v>
      </c>
      <c r="E1735" s="451" t="s">
        <v>74</v>
      </c>
      <c r="F1735" s="457">
        <f>'Basic Rate'!F144</f>
        <v>191</v>
      </c>
      <c r="G1735" s="457">
        <f t="shared" si="107"/>
        <v>70.67</v>
      </c>
      <c r="H1735" s="457"/>
    </row>
    <row r="1736" spans="1:8">
      <c r="A1736" s="592"/>
      <c r="B1736" s="868"/>
      <c r="C1736" s="454" t="s">
        <v>105</v>
      </c>
      <c r="D1736" s="550">
        <v>0.11799999999999999</v>
      </c>
      <c r="E1736" s="451" t="s">
        <v>74</v>
      </c>
      <c r="F1736" s="457">
        <f>'Basic Rate'!F113</f>
        <v>578</v>
      </c>
      <c r="G1736" s="457">
        <f t="shared" si="107"/>
        <v>68.2</v>
      </c>
      <c r="H1736" s="457"/>
    </row>
    <row r="1737" spans="1:8">
      <c r="A1737" s="592"/>
      <c r="B1737" s="868"/>
      <c r="C1737" s="484" t="str">
        <f>'Basic Rate'!B198</f>
        <v>Turpentine oil floor finishing</v>
      </c>
      <c r="D1737" s="550">
        <v>0.53800000000000003</v>
      </c>
      <c r="E1737" s="451" t="s">
        <v>107</v>
      </c>
      <c r="F1737" s="457">
        <f>'Basic Rate'!F198</f>
        <v>140</v>
      </c>
      <c r="G1737" s="457">
        <f t="shared" si="107"/>
        <v>75.319999999999993</v>
      </c>
      <c r="H1737" s="457"/>
    </row>
    <row r="1738" spans="1:8">
      <c r="A1738" s="592"/>
      <c r="B1738" s="865"/>
      <c r="C1738" s="454" t="str">
        <f>'Basic Rate'!B34</f>
        <v>Carborundam Stone(Sharpenning Stone)</v>
      </c>
      <c r="D1738" s="550">
        <v>2</v>
      </c>
      <c r="E1738" s="455" t="s">
        <v>46</v>
      </c>
      <c r="F1738" s="457">
        <f>'Basic Rate'!F34</f>
        <v>254</v>
      </c>
      <c r="G1738" s="457">
        <f t="shared" si="107"/>
        <v>508</v>
      </c>
      <c r="H1738" s="457" t="s">
        <v>109</v>
      </c>
    </row>
    <row r="1739" spans="1:8">
      <c r="A1739" s="592"/>
      <c r="B1739" s="855" t="s">
        <v>165</v>
      </c>
      <c r="C1739" s="855"/>
      <c r="D1739" s="856" t="s">
        <v>61</v>
      </c>
      <c r="E1739" s="856"/>
      <c r="F1739" s="856"/>
      <c r="G1739" s="457">
        <f>SUM(G1729:G1738)</f>
        <v>46918.789999999994</v>
      </c>
      <c r="H1739" s="457"/>
    </row>
    <row r="1740" spans="1:8">
      <c r="A1740" s="592"/>
      <c r="B1740" s="855"/>
      <c r="C1740" s="855"/>
      <c r="D1740" s="857" t="s">
        <v>573</v>
      </c>
      <c r="E1740" s="857"/>
      <c r="F1740" s="857"/>
      <c r="G1740" s="457">
        <f>INT(15%*G1739*100)/100</f>
        <v>7037.81</v>
      </c>
      <c r="H1740" s="457"/>
    </row>
    <row r="1741" spans="1:8">
      <c r="A1741" s="592"/>
      <c r="B1741" s="855"/>
      <c r="C1741" s="855"/>
      <c r="D1741" s="856" t="s">
        <v>47</v>
      </c>
      <c r="E1741" s="856"/>
      <c r="F1741" s="856"/>
      <c r="G1741" s="457">
        <f>SUM(G1739:G1740)</f>
        <v>53956.599999999991</v>
      </c>
      <c r="H1741" s="457"/>
    </row>
    <row r="1742" spans="1:8" ht="12" customHeight="1">
      <c r="A1742" s="592"/>
      <c r="B1742" s="587"/>
      <c r="C1742" s="594"/>
      <c r="D1742" s="476"/>
      <c r="E1742" s="476"/>
      <c r="F1742" s="584"/>
      <c r="G1742" s="477"/>
      <c r="H1742" s="477"/>
    </row>
    <row r="1743" spans="1:8">
      <c r="A1743" s="592"/>
      <c r="B1743" s="596"/>
      <c r="C1743" s="597"/>
      <c r="D1743" s="464"/>
      <c r="E1743" s="464"/>
      <c r="F1743" s="500"/>
      <c r="G1743" s="466"/>
      <c r="H1743" s="466"/>
    </row>
    <row r="1744" spans="1:8" ht="36" customHeight="1">
      <c r="A1744" s="507">
        <v>8.1</v>
      </c>
      <c r="B1744" s="446" t="s">
        <v>400</v>
      </c>
      <c r="C1744" s="876" t="s">
        <v>222</v>
      </c>
      <c r="D1744" s="877"/>
      <c r="E1744" s="877"/>
      <c r="F1744" s="447" t="s">
        <v>50</v>
      </c>
      <c r="G1744" s="447">
        <f>TRUNC(G1752/10,2)</f>
        <v>3978.16</v>
      </c>
      <c r="H1744" s="448">
        <f>TRUNC(G1754/10,2)</f>
        <v>4574.88</v>
      </c>
    </row>
    <row r="1745" spans="1:8">
      <c r="A1745" s="592"/>
      <c r="B1745" s="450" t="s">
        <v>80</v>
      </c>
      <c r="C1745" s="451" t="s">
        <v>81</v>
      </c>
      <c r="D1745" s="451" t="s">
        <v>44</v>
      </c>
      <c r="E1745" s="451" t="s">
        <v>45</v>
      </c>
      <c r="F1745" s="452" t="s">
        <v>58</v>
      </c>
      <c r="G1745" s="452" t="s">
        <v>59</v>
      </c>
      <c r="H1745" s="452" t="s">
        <v>52</v>
      </c>
    </row>
    <row r="1746" spans="1:8">
      <c r="A1746" s="592"/>
      <c r="B1746" s="887" t="s">
        <v>60</v>
      </c>
      <c r="C1746" s="484" t="s">
        <v>69</v>
      </c>
      <c r="D1746" s="488">
        <v>13</v>
      </c>
      <c r="E1746" s="451" t="s">
        <v>46</v>
      </c>
      <c r="F1746" s="457">
        <f>F1729</f>
        <v>1200</v>
      </c>
      <c r="G1746" s="457">
        <f t="shared" ref="G1746:G1751" si="108">TRUNC(D1746*F1746,2)</f>
        <v>15600</v>
      </c>
      <c r="H1746" s="457"/>
    </row>
    <row r="1747" spans="1:8" ht="12.75" customHeight="1">
      <c r="A1747" s="592"/>
      <c r="B1747" s="887"/>
      <c r="C1747" s="484" t="s">
        <v>43</v>
      </c>
      <c r="D1747" s="488">
        <v>4.5</v>
      </c>
      <c r="E1747" s="451" t="s">
        <v>46</v>
      </c>
      <c r="F1747" s="457">
        <f>F1730</f>
        <v>870</v>
      </c>
      <c r="G1747" s="457">
        <f t="shared" si="108"/>
        <v>3915</v>
      </c>
      <c r="H1747" s="457"/>
    </row>
    <row r="1748" spans="1:8">
      <c r="A1748" s="592"/>
      <c r="B1748" s="887" t="s">
        <v>63</v>
      </c>
      <c r="C1748" s="490" t="s">
        <v>220</v>
      </c>
      <c r="D1748" s="488">
        <v>11</v>
      </c>
      <c r="E1748" s="451" t="s">
        <v>50</v>
      </c>
      <c r="F1748" s="457">
        <f>'Basic Rate'!F159</f>
        <v>1733</v>
      </c>
      <c r="G1748" s="457">
        <f t="shared" si="108"/>
        <v>19063</v>
      </c>
      <c r="H1748" s="457"/>
    </row>
    <row r="1749" spans="1:8" ht="12.75" customHeight="1">
      <c r="A1749" s="592"/>
      <c r="B1749" s="887"/>
      <c r="C1749" s="484" t="s">
        <v>70</v>
      </c>
      <c r="D1749" s="488">
        <v>5.6000000000000001E-2</v>
      </c>
      <c r="E1749" s="451" t="s">
        <v>71</v>
      </c>
      <c r="F1749" s="457">
        <f>F1733</f>
        <v>14000</v>
      </c>
      <c r="G1749" s="457">
        <f t="shared" si="108"/>
        <v>784</v>
      </c>
      <c r="H1749" s="457"/>
    </row>
    <row r="1750" spans="1:8" ht="12.75" customHeight="1">
      <c r="A1750" s="592"/>
      <c r="B1750" s="887"/>
      <c r="C1750" s="528" t="str">
        <f>C1734</f>
        <v xml:space="preserve">Sand  river washed </v>
      </c>
      <c r="D1750" s="488">
        <v>0.152</v>
      </c>
      <c r="E1750" s="451" t="s">
        <v>68</v>
      </c>
      <c r="F1750" s="457">
        <f>F1734</f>
        <v>2200</v>
      </c>
      <c r="G1750" s="457">
        <f t="shared" si="108"/>
        <v>334.4</v>
      </c>
      <c r="H1750" s="457"/>
    </row>
    <row r="1751" spans="1:8" ht="12.75" customHeight="1">
      <c r="A1751" s="592"/>
      <c r="B1751" s="887"/>
      <c r="C1751" s="484" t="s">
        <v>104</v>
      </c>
      <c r="D1751" s="488">
        <v>3.2280000000000002</v>
      </c>
      <c r="E1751" s="456" t="s">
        <v>74</v>
      </c>
      <c r="F1751" s="457">
        <f>'Basic Rate'!F220/1000</f>
        <v>26.4</v>
      </c>
      <c r="G1751" s="457">
        <f t="shared" si="108"/>
        <v>85.21</v>
      </c>
      <c r="H1751" s="457"/>
    </row>
    <row r="1752" spans="1:8">
      <c r="A1752" s="592"/>
      <c r="B1752" s="855" t="s">
        <v>165</v>
      </c>
      <c r="C1752" s="855"/>
      <c r="D1752" s="856" t="s">
        <v>61</v>
      </c>
      <c r="E1752" s="856"/>
      <c r="F1752" s="856"/>
      <c r="G1752" s="457">
        <f>SUM(G1746:G1751)</f>
        <v>39781.61</v>
      </c>
      <c r="H1752" s="457"/>
    </row>
    <row r="1753" spans="1:8">
      <c r="A1753" s="592"/>
      <c r="B1753" s="855"/>
      <c r="C1753" s="855"/>
      <c r="D1753" s="857" t="s">
        <v>573</v>
      </c>
      <c r="E1753" s="857"/>
      <c r="F1753" s="857"/>
      <c r="G1753" s="457">
        <f>INT(15%*G1752*100)/100</f>
        <v>5967.24</v>
      </c>
      <c r="H1753" s="457"/>
    </row>
    <row r="1754" spans="1:8">
      <c r="A1754" s="592"/>
      <c r="B1754" s="855"/>
      <c r="C1754" s="855"/>
      <c r="D1754" s="856" t="s">
        <v>47</v>
      </c>
      <c r="E1754" s="856"/>
      <c r="F1754" s="856"/>
      <c r="G1754" s="457">
        <f>SUM(G1752:G1753)</f>
        <v>45748.85</v>
      </c>
      <c r="H1754" s="457"/>
    </row>
    <row r="1755" spans="1:8">
      <c r="A1755" s="592"/>
      <c r="B1755" s="532"/>
      <c r="C1755" s="601"/>
      <c r="D1755" s="498"/>
      <c r="E1755" s="498"/>
      <c r="F1755" s="451"/>
      <c r="G1755" s="457"/>
      <c r="H1755" s="457"/>
    </row>
    <row r="1756" spans="1:8" ht="24.75" customHeight="1">
      <c r="A1756" s="507">
        <v>8.11</v>
      </c>
      <c r="B1756" s="446" t="s">
        <v>400</v>
      </c>
      <c r="C1756" s="876" t="s">
        <v>219</v>
      </c>
      <c r="D1756" s="877"/>
      <c r="E1756" s="877"/>
      <c r="F1756" s="447" t="s">
        <v>50</v>
      </c>
      <c r="G1756" s="447" t="e">
        <f>TRUNC(G1764/10,2)</f>
        <v>#VALUE!</v>
      </c>
      <c r="H1756" s="448" t="e">
        <f>TRUNC(G1766/10,2)</f>
        <v>#VALUE!</v>
      </c>
    </row>
    <row r="1757" spans="1:8">
      <c r="A1757" s="592"/>
      <c r="B1757" s="450" t="s">
        <v>80</v>
      </c>
      <c r="C1757" s="451" t="s">
        <v>81</v>
      </c>
      <c r="D1757" s="451" t="s">
        <v>44</v>
      </c>
      <c r="E1757" s="451" t="s">
        <v>45</v>
      </c>
      <c r="F1757" s="452" t="s">
        <v>58</v>
      </c>
      <c r="G1757" s="452" t="s">
        <v>59</v>
      </c>
      <c r="H1757" s="452" t="s">
        <v>52</v>
      </c>
    </row>
    <row r="1758" spans="1:8">
      <c r="A1758" s="592"/>
      <c r="B1758" s="887" t="s">
        <v>60</v>
      </c>
      <c r="C1758" s="484" t="s">
        <v>69</v>
      </c>
      <c r="D1758" s="455">
        <v>13</v>
      </c>
      <c r="E1758" s="451" t="s">
        <v>46</v>
      </c>
      <c r="F1758" s="457">
        <f>F1746</f>
        <v>1200</v>
      </c>
      <c r="G1758" s="457">
        <f t="shared" ref="G1758:G1763" si="109">TRUNC(D1758*F1758,2)</f>
        <v>15600</v>
      </c>
      <c r="H1758" s="457"/>
    </row>
    <row r="1759" spans="1:8" ht="12.75" customHeight="1">
      <c r="A1759" s="592"/>
      <c r="B1759" s="887"/>
      <c r="C1759" s="484" t="s">
        <v>43</v>
      </c>
      <c r="D1759" s="455">
        <v>4.5</v>
      </c>
      <c r="E1759" s="451" t="s">
        <v>46</v>
      </c>
      <c r="F1759" s="457">
        <f>F1747</f>
        <v>870</v>
      </c>
      <c r="G1759" s="457">
        <f t="shared" si="109"/>
        <v>3915</v>
      </c>
      <c r="H1759" s="457"/>
    </row>
    <row r="1760" spans="1:8">
      <c r="A1760" s="592"/>
      <c r="B1760" s="887" t="s">
        <v>63</v>
      </c>
      <c r="C1760" s="490" t="s">
        <v>221</v>
      </c>
      <c r="D1760" s="455">
        <v>11</v>
      </c>
      <c r="E1760" s="451" t="s">
        <v>50</v>
      </c>
      <c r="F1760" s="457" t="str">
        <f>'Basic Rate'!F180</f>
        <v>.</v>
      </c>
      <c r="G1760" s="457" t="e">
        <f>TRUNC(D1760*F1760,2)</f>
        <v>#VALUE!</v>
      </c>
      <c r="H1760" s="457"/>
    </row>
    <row r="1761" spans="1:8" ht="12.75" customHeight="1">
      <c r="A1761" s="592"/>
      <c r="B1761" s="887"/>
      <c r="C1761" s="484" t="s">
        <v>70</v>
      </c>
      <c r="D1761" s="455">
        <v>5.6000000000000001E-2</v>
      </c>
      <c r="E1761" s="451" t="s">
        <v>71</v>
      </c>
      <c r="F1761" s="457">
        <f>F1749</f>
        <v>14000</v>
      </c>
      <c r="G1761" s="457">
        <f t="shared" si="109"/>
        <v>784</v>
      </c>
      <c r="H1761" s="457"/>
    </row>
    <row r="1762" spans="1:8" ht="12.75" customHeight="1">
      <c r="A1762" s="592"/>
      <c r="B1762" s="887"/>
      <c r="C1762" s="528" t="str">
        <f>C1750</f>
        <v xml:space="preserve">Sand  river washed </v>
      </c>
      <c r="D1762" s="455">
        <v>0.152</v>
      </c>
      <c r="E1762" s="451" t="s">
        <v>68</v>
      </c>
      <c r="F1762" s="457">
        <f>F1750</f>
        <v>2200</v>
      </c>
      <c r="G1762" s="457">
        <f t="shared" si="109"/>
        <v>334.4</v>
      </c>
      <c r="H1762" s="457"/>
    </row>
    <row r="1763" spans="1:8" ht="12.75" customHeight="1">
      <c r="A1763" s="592"/>
      <c r="B1763" s="887"/>
      <c r="C1763" s="484" t="s">
        <v>104</v>
      </c>
      <c r="D1763" s="455">
        <v>3.2280000000000002</v>
      </c>
      <c r="E1763" s="456" t="s">
        <v>74</v>
      </c>
      <c r="F1763" s="457">
        <f>F1751</f>
        <v>26.4</v>
      </c>
      <c r="G1763" s="457">
        <f t="shared" si="109"/>
        <v>85.21</v>
      </c>
      <c r="H1763" s="457"/>
    </row>
    <row r="1764" spans="1:8">
      <c r="A1764" s="592"/>
      <c r="B1764" s="855" t="s">
        <v>165</v>
      </c>
      <c r="C1764" s="855"/>
      <c r="D1764" s="856" t="s">
        <v>61</v>
      </c>
      <c r="E1764" s="856"/>
      <c r="F1764" s="856"/>
      <c r="G1764" s="457" t="e">
        <f>SUM(G1758:G1763)</f>
        <v>#VALUE!</v>
      </c>
      <c r="H1764" s="457"/>
    </row>
    <row r="1765" spans="1:8">
      <c r="A1765" s="592"/>
      <c r="B1765" s="855"/>
      <c r="C1765" s="855"/>
      <c r="D1765" s="857" t="s">
        <v>573</v>
      </c>
      <c r="E1765" s="857"/>
      <c r="F1765" s="857"/>
      <c r="G1765" s="457" t="e">
        <f>INT(15%*G1764*100)/100</f>
        <v>#VALUE!</v>
      </c>
      <c r="H1765" s="457"/>
    </row>
    <row r="1766" spans="1:8">
      <c r="A1766" s="592"/>
      <c r="B1766" s="855"/>
      <c r="C1766" s="855"/>
      <c r="D1766" s="856" t="s">
        <v>47</v>
      </c>
      <c r="E1766" s="856"/>
      <c r="F1766" s="856"/>
      <c r="G1766" s="457" t="e">
        <f>SUM(G1764:G1765)</f>
        <v>#VALUE!</v>
      </c>
      <c r="H1766" s="457"/>
    </row>
    <row r="1767" spans="1:8">
      <c r="A1767" s="592"/>
      <c r="B1767" s="458"/>
      <c r="C1767" s="458"/>
      <c r="F1767" s="462"/>
      <c r="G1767" s="460"/>
      <c r="H1767" s="460"/>
    </row>
    <row r="1768" spans="1:8">
      <c r="A1768" s="592"/>
      <c r="C1768" s="444"/>
      <c r="F1768" s="462"/>
      <c r="G1768" s="460"/>
      <c r="H1768" s="460"/>
    </row>
    <row r="1769" spans="1:8" ht="24.75" customHeight="1">
      <c r="A1769" s="507">
        <v>8.1199999999999992</v>
      </c>
      <c r="B1769" s="446" t="s">
        <v>401</v>
      </c>
      <c r="C1769" s="876" t="s">
        <v>170</v>
      </c>
      <c r="D1769" s="877"/>
      <c r="E1769" s="877"/>
      <c r="F1769" s="447" t="s">
        <v>50</v>
      </c>
      <c r="G1769" s="447">
        <f>TRUNC(G1776/10,2)</f>
        <v>1440.33</v>
      </c>
      <c r="H1769" s="448">
        <f>TRUNC(G1778/10,2)</f>
        <v>1656.37</v>
      </c>
    </row>
    <row r="1770" spans="1:8">
      <c r="A1770" s="592"/>
      <c r="B1770" s="450" t="s">
        <v>80</v>
      </c>
      <c r="C1770" s="451" t="s">
        <v>81</v>
      </c>
      <c r="D1770" s="451" t="s">
        <v>44</v>
      </c>
      <c r="E1770" s="451" t="s">
        <v>45</v>
      </c>
      <c r="F1770" s="452" t="s">
        <v>58</v>
      </c>
      <c r="G1770" s="452" t="s">
        <v>59</v>
      </c>
      <c r="H1770" s="452" t="s">
        <v>52</v>
      </c>
    </row>
    <row r="1771" spans="1:8">
      <c r="A1771" s="592"/>
      <c r="B1771" s="864" t="s">
        <v>60</v>
      </c>
      <c r="C1771" s="484" t="s">
        <v>69</v>
      </c>
      <c r="D1771" s="488">
        <v>2.25</v>
      </c>
      <c r="E1771" s="451" t="s">
        <v>46</v>
      </c>
      <c r="F1771" s="457">
        <f>F1758</f>
        <v>1200</v>
      </c>
      <c r="G1771" s="457">
        <f>TRUNC(D1771*F1771,2)</f>
        <v>2700</v>
      </c>
      <c r="H1771" s="457"/>
    </row>
    <row r="1772" spans="1:8">
      <c r="A1772" s="592"/>
      <c r="B1772" s="865"/>
      <c r="C1772" s="484" t="s">
        <v>43</v>
      </c>
      <c r="D1772" s="488">
        <v>3.25</v>
      </c>
      <c r="E1772" s="451" t="s">
        <v>46</v>
      </c>
      <c r="F1772" s="457">
        <f>F1759</f>
        <v>870</v>
      </c>
      <c r="G1772" s="457">
        <f>TRUNC(D1772*F1772,2)</f>
        <v>2827.5</v>
      </c>
      <c r="H1772" s="457"/>
    </row>
    <row r="1773" spans="1:8">
      <c r="A1773" s="592"/>
      <c r="B1773" s="864" t="s">
        <v>63</v>
      </c>
      <c r="C1773" s="484" t="s">
        <v>709</v>
      </c>
      <c r="D1773" s="488">
        <v>560</v>
      </c>
      <c r="E1773" s="451" t="s">
        <v>46</v>
      </c>
      <c r="F1773" s="457">
        <f>'Basic Rate'!F33</f>
        <v>13</v>
      </c>
      <c r="G1773" s="457">
        <f>TRUNC(D1773*F1773,2)</f>
        <v>7280</v>
      </c>
      <c r="H1773" s="457"/>
    </row>
    <row r="1774" spans="1:8">
      <c r="A1774" s="592"/>
      <c r="B1774" s="868"/>
      <c r="C1774" s="484" t="s">
        <v>70</v>
      </c>
      <c r="D1774" s="488">
        <v>7.8E-2</v>
      </c>
      <c r="E1774" s="451" t="s">
        <v>71</v>
      </c>
      <c r="F1774" s="457">
        <f>F1761</f>
        <v>14000</v>
      </c>
      <c r="G1774" s="457">
        <f>TRUNC(D1774*F1774,2)</f>
        <v>1092</v>
      </c>
      <c r="H1774" s="457"/>
    </row>
    <row r="1775" spans="1:8">
      <c r="A1775" s="592"/>
      <c r="B1775" s="865"/>
      <c r="C1775" s="528" t="str">
        <f>C1762</f>
        <v xml:space="preserve">Sand  river washed </v>
      </c>
      <c r="D1775" s="488">
        <v>0.22900000000000001</v>
      </c>
      <c r="E1775" s="451" t="s">
        <v>68</v>
      </c>
      <c r="F1775" s="457">
        <f>F1762</f>
        <v>2200</v>
      </c>
      <c r="G1775" s="457">
        <f>TRUNC(D1775*F1775,2)</f>
        <v>503.8</v>
      </c>
      <c r="H1775" s="457"/>
    </row>
    <row r="1776" spans="1:8">
      <c r="A1776" s="592"/>
      <c r="B1776" s="855" t="s">
        <v>165</v>
      </c>
      <c r="C1776" s="855"/>
      <c r="D1776" s="856" t="s">
        <v>61</v>
      </c>
      <c r="E1776" s="856"/>
      <c r="F1776" s="856"/>
      <c r="G1776" s="457">
        <f>SUM(G1771:G1775)</f>
        <v>14403.3</v>
      </c>
      <c r="H1776" s="457"/>
    </row>
    <row r="1777" spans="1:8">
      <c r="A1777" s="592"/>
      <c r="B1777" s="855"/>
      <c r="C1777" s="855"/>
      <c r="D1777" s="857" t="s">
        <v>573</v>
      </c>
      <c r="E1777" s="857"/>
      <c r="F1777" s="857"/>
      <c r="G1777" s="457">
        <f>INT(15%*G1776*100)/100</f>
        <v>2160.4899999999998</v>
      </c>
      <c r="H1777" s="457"/>
    </row>
    <row r="1778" spans="1:8">
      <c r="A1778" s="592"/>
      <c r="B1778" s="855"/>
      <c r="C1778" s="855"/>
      <c r="D1778" s="856" t="s">
        <v>47</v>
      </c>
      <c r="E1778" s="856"/>
      <c r="F1778" s="856"/>
      <c r="G1778" s="457">
        <f>SUM(G1776:G1777)</f>
        <v>16563.79</v>
      </c>
      <c r="H1778" s="457"/>
    </row>
    <row r="1779" spans="1:8">
      <c r="A1779" s="592"/>
      <c r="F1779" s="474"/>
      <c r="G1779" s="474"/>
      <c r="H1779" s="474"/>
    </row>
    <row r="1780" spans="1:8">
      <c r="A1780" s="592"/>
      <c r="F1780" s="474"/>
      <c r="G1780" s="474"/>
      <c r="H1780" s="474"/>
    </row>
    <row r="1781" spans="1:8" ht="26.25" customHeight="1">
      <c r="A1781" s="507">
        <v>8.1300000000000008</v>
      </c>
      <c r="B1781" s="446" t="s">
        <v>402</v>
      </c>
      <c r="C1781" s="876" t="s">
        <v>403</v>
      </c>
      <c r="D1781" s="877"/>
      <c r="E1781" s="877"/>
      <c r="F1781" s="447" t="s">
        <v>50</v>
      </c>
      <c r="G1781" s="447">
        <f>TRUNC(G1788/10,2)</f>
        <v>1280.82</v>
      </c>
      <c r="H1781" s="448">
        <f>TRUNC(G1790/10,2)</f>
        <v>1472.94</v>
      </c>
    </row>
    <row r="1782" spans="1:8">
      <c r="A1782" s="592"/>
      <c r="B1782" s="450" t="s">
        <v>80</v>
      </c>
      <c r="C1782" s="451" t="s">
        <v>81</v>
      </c>
      <c r="D1782" s="451" t="s">
        <v>44</v>
      </c>
      <c r="E1782" s="451" t="s">
        <v>45</v>
      </c>
      <c r="F1782" s="452" t="s">
        <v>58</v>
      </c>
      <c r="G1782" s="452" t="s">
        <v>59</v>
      </c>
      <c r="H1782" s="452" t="s">
        <v>52</v>
      </c>
    </row>
    <row r="1783" spans="1:8">
      <c r="A1783" s="592"/>
      <c r="B1783" s="864" t="s">
        <v>60</v>
      </c>
      <c r="C1783" s="484" t="s">
        <v>69</v>
      </c>
      <c r="D1783" s="488">
        <v>1.1000000000000001</v>
      </c>
      <c r="E1783" s="451" t="s">
        <v>46</v>
      </c>
      <c r="F1783" s="457">
        <f>F1771</f>
        <v>1200</v>
      </c>
      <c r="G1783" s="457">
        <f>TRUNC(D1783*F1783,2)</f>
        <v>1320</v>
      </c>
      <c r="H1783" s="457"/>
    </row>
    <row r="1784" spans="1:8">
      <c r="A1784" s="592"/>
      <c r="B1784" s="865"/>
      <c r="C1784" s="484" t="s">
        <v>43</v>
      </c>
      <c r="D1784" s="488">
        <v>1.8</v>
      </c>
      <c r="E1784" s="451" t="s">
        <v>46</v>
      </c>
      <c r="F1784" s="457">
        <f>F1772</f>
        <v>870</v>
      </c>
      <c r="G1784" s="457">
        <f>TRUNC(D1784*F1784,2)</f>
        <v>1566</v>
      </c>
      <c r="H1784" s="457"/>
    </row>
    <row r="1785" spans="1:8">
      <c r="A1785" s="592"/>
      <c r="B1785" s="864" t="s">
        <v>63</v>
      </c>
      <c r="C1785" s="484" t="s">
        <v>709</v>
      </c>
      <c r="D1785" s="488">
        <v>560</v>
      </c>
      <c r="E1785" s="451" t="s">
        <v>46</v>
      </c>
      <c r="F1785" s="457">
        <f>F1773</f>
        <v>13</v>
      </c>
      <c r="G1785" s="457">
        <f>TRUNC(D1785*F1785,2)</f>
        <v>7280</v>
      </c>
      <c r="H1785" s="457"/>
    </row>
    <row r="1786" spans="1:8">
      <c r="A1786" s="592"/>
      <c r="B1786" s="868"/>
      <c r="C1786" s="484" t="s">
        <v>70</v>
      </c>
      <c r="D1786" s="488">
        <v>0.121</v>
      </c>
      <c r="E1786" s="451" t="s">
        <v>71</v>
      </c>
      <c r="F1786" s="457">
        <f>F1774</f>
        <v>14000</v>
      </c>
      <c r="G1786" s="457">
        <f>TRUNC(D1786*F1786,2)</f>
        <v>1694</v>
      </c>
      <c r="H1786" s="457"/>
    </row>
    <row r="1787" spans="1:8">
      <c r="A1787" s="592"/>
      <c r="B1787" s="865"/>
      <c r="C1787" s="528" t="str">
        <f>C1775</f>
        <v xml:space="preserve">Sand  river washed </v>
      </c>
      <c r="D1787" s="488">
        <v>0.43099999999999999</v>
      </c>
      <c r="E1787" s="451" t="s">
        <v>68</v>
      </c>
      <c r="F1787" s="457">
        <f>F1775</f>
        <v>2200</v>
      </c>
      <c r="G1787" s="457">
        <f>TRUNC(D1787*F1787,2)</f>
        <v>948.2</v>
      </c>
      <c r="H1787" s="457"/>
    </row>
    <row r="1788" spans="1:8">
      <c r="A1788" s="592"/>
      <c r="B1788" s="855" t="s">
        <v>165</v>
      </c>
      <c r="C1788" s="855"/>
      <c r="D1788" s="856" t="s">
        <v>61</v>
      </c>
      <c r="E1788" s="856"/>
      <c r="F1788" s="856"/>
      <c r="G1788" s="457">
        <f>SUM(G1783:G1787)</f>
        <v>12808.2</v>
      </c>
      <c r="H1788" s="457"/>
    </row>
    <row r="1789" spans="1:8">
      <c r="A1789" s="592"/>
      <c r="B1789" s="855"/>
      <c r="C1789" s="855"/>
      <c r="D1789" s="857" t="s">
        <v>573</v>
      </c>
      <c r="E1789" s="857"/>
      <c r="F1789" s="857"/>
      <c r="G1789" s="457">
        <f>INT(15%*G1788*100)/100</f>
        <v>1921.23</v>
      </c>
      <c r="H1789" s="457"/>
    </row>
    <row r="1790" spans="1:8">
      <c r="A1790" s="592"/>
      <c r="B1790" s="855"/>
      <c r="C1790" s="855"/>
      <c r="D1790" s="856" t="s">
        <v>47</v>
      </c>
      <c r="E1790" s="856"/>
      <c r="F1790" s="856"/>
      <c r="G1790" s="457">
        <f>SUM(G1788:G1789)</f>
        <v>14729.43</v>
      </c>
      <c r="H1790" s="457"/>
    </row>
    <row r="1791" spans="1:8">
      <c r="A1791" s="592"/>
      <c r="F1791" s="474"/>
      <c r="G1791" s="474"/>
      <c r="H1791" s="474"/>
    </row>
    <row r="1792" spans="1:8">
      <c r="A1792" s="592"/>
      <c r="F1792" s="474"/>
      <c r="G1792" s="474"/>
      <c r="H1792" s="474"/>
    </row>
    <row r="1793" spans="1:9" ht="27.6">
      <c r="A1793" s="507">
        <v>8.14</v>
      </c>
      <c r="B1793" s="446" t="s">
        <v>404</v>
      </c>
      <c r="C1793" s="876" t="s">
        <v>169</v>
      </c>
      <c r="D1793" s="877"/>
      <c r="E1793" s="877"/>
      <c r="F1793" s="447" t="s">
        <v>50</v>
      </c>
      <c r="G1793" s="447">
        <f>TRUNC(G1799/10,2)</f>
        <v>769.25</v>
      </c>
      <c r="H1793" s="448">
        <f>TRUNC(G1801/10,2)</f>
        <v>884.63</v>
      </c>
      <c r="I1793" s="496">
        <f>G1801/10</f>
        <v>884.63699999999994</v>
      </c>
    </row>
    <row r="1794" spans="1:9" ht="12.75" customHeight="1">
      <c r="A1794" s="592"/>
      <c r="B1794" s="450" t="s">
        <v>80</v>
      </c>
      <c r="C1794" s="451" t="s">
        <v>81</v>
      </c>
      <c r="D1794" s="451" t="s">
        <v>44</v>
      </c>
      <c r="E1794" s="451" t="s">
        <v>45</v>
      </c>
      <c r="F1794" s="452" t="s">
        <v>58</v>
      </c>
      <c r="G1794" s="452" t="s">
        <v>59</v>
      </c>
      <c r="H1794" s="452" t="s">
        <v>52</v>
      </c>
    </row>
    <row r="1795" spans="1:9">
      <c r="A1795" s="592"/>
      <c r="B1795" s="864" t="s">
        <v>60</v>
      </c>
      <c r="C1795" s="484" t="s">
        <v>69</v>
      </c>
      <c r="D1795" s="488">
        <v>0.5</v>
      </c>
      <c r="E1795" s="451" t="s">
        <v>46</v>
      </c>
      <c r="F1795" s="457">
        <f>F1783</f>
        <v>1200</v>
      </c>
      <c r="G1795" s="457">
        <f>TRUNC(D1795*F1795,2)</f>
        <v>600</v>
      </c>
      <c r="H1795" s="457"/>
    </row>
    <row r="1796" spans="1:9">
      <c r="A1796" s="592"/>
      <c r="B1796" s="865"/>
      <c r="C1796" s="484" t="s">
        <v>43</v>
      </c>
      <c r="D1796" s="488">
        <v>1</v>
      </c>
      <c r="E1796" s="451" t="s">
        <v>46</v>
      </c>
      <c r="F1796" s="457">
        <f>F1784</f>
        <v>870</v>
      </c>
      <c r="G1796" s="457">
        <f>TRUNC(D1796*F1796,2)</f>
        <v>870</v>
      </c>
      <c r="H1796" s="457"/>
    </row>
    <row r="1797" spans="1:9">
      <c r="A1797" s="592"/>
      <c r="B1797" s="864" t="s">
        <v>63</v>
      </c>
      <c r="C1797" s="484" t="s">
        <v>709</v>
      </c>
      <c r="D1797" s="488">
        <f>35.85*10</f>
        <v>358.5</v>
      </c>
      <c r="E1797" s="451" t="s">
        <v>46</v>
      </c>
      <c r="F1797" s="457">
        <f>F1785</f>
        <v>13</v>
      </c>
      <c r="G1797" s="457">
        <f>TRUNC(D1797*F1797,2)</f>
        <v>4660.5</v>
      </c>
      <c r="H1797" s="457"/>
    </row>
    <row r="1798" spans="1:9">
      <c r="A1798" s="592"/>
      <c r="B1798" s="865"/>
      <c r="C1798" s="528" t="str">
        <f>C1787</f>
        <v xml:space="preserve">Sand  river washed </v>
      </c>
      <c r="D1798" s="488">
        <v>0.71</v>
      </c>
      <c r="E1798" s="451" t="s">
        <v>68</v>
      </c>
      <c r="F1798" s="457">
        <f>F1787</f>
        <v>2200</v>
      </c>
      <c r="G1798" s="457">
        <f>TRUNC(D1798*F1798,2)</f>
        <v>1562</v>
      </c>
      <c r="H1798" s="457"/>
    </row>
    <row r="1799" spans="1:9">
      <c r="A1799" s="592"/>
      <c r="B1799" s="855" t="s">
        <v>165</v>
      </c>
      <c r="C1799" s="855"/>
      <c r="D1799" s="856" t="s">
        <v>61</v>
      </c>
      <c r="E1799" s="856"/>
      <c r="F1799" s="856"/>
      <c r="G1799" s="457">
        <f>SUM(G1795:G1798)</f>
        <v>7692.5</v>
      </c>
      <c r="H1799" s="457"/>
    </row>
    <row r="1800" spans="1:9">
      <c r="A1800" s="592"/>
      <c r="B1800" s="855"/>
      <c r="C1800" s="855"/>
      <c r="D1800" s="857" t="s">
        <v>573</v>
      </c>
      <c r="E1800" s="857"/>
      <c r="F1800" s="857"/>
      <c r="G1800" s="457">
        <f>INT(15%*G1799*100)/100</f>
        <v>1153.8699999999999</v>
      </c>
      <c r="H1800" s="457"/>
    </row>
    <row r="1801" spans="1:9">
      <c r="A1801" s="592"/>
      <c r="B1801" s="855"/>
      <c r="C1801" s="855"/>
      <c r="D1801" s="856" t="s">
        <v>47</v>
      </c>
      <c r="E1801" s="856"/>
      <c r="F1801" s="856"/>
      <c r="G1801" s="457">
        <f>SUM(G1799:G1800)</f>
        <v>8846.369999999999</v>
      </c>
      <c r="H1801" s="457"/>
    </row>
    <row r="1802" spans="1:9">
      <c r="A1802" s="592"/>
      <c r="C1802" s="444"/>
      <c r="F1802" s="462"/>
      <c r="G1802" s="460"/>
      <c r="H1802" s="460"/>
    </row>
    <row r="1803" spans="1:9">
      <c r="A1803" s="592"/>
      <c r="C1803" s="602"/>
      <c r="F1803" s="462"/>
      <c r="G1803" s="460"/>
      <c r="H1803" s="460"/>
    </row>
    <row r="1804" spans="1:9" ht="27.6">
      <c r="A1804" s="507">
        <v>8.15</v>
      </c>
      <c r="B1804" s="446" t="s">
        <v>404</v>
      </c>
      <c r="C1804" s="876" t="s">
        <v>256</v>
      </c>
      <c r="D1804" s="877"/>
      <c r="E1804" s="877"/>
      <c r="F1804" s="447" t="s">
        <v>50</v>
      </c>
      <c r="G1804" s="447">
        <f>TRUNC(G1810/10,2)</f>
        <v>536.22</v>
      </c>
      <c r="H1804" s="448">
        <f>TRUNC(G1812/10,2)</f>
        <v>616.65</v>
      </c>
    </row>
    <row r="1805" spans="1:9" ht="12.75" customHeight="1">
      <c r="A1805" s="592"/>
      <c r="B1805" s="450" t="s">
        <v>80</v>
      </c>
      <c r="C1805" s="451" t="s">
        <v>81</v>
      </c>
      <c r="D1805" s="451" t="s">
        <v>44</v>
      </c>
      <c r="E1805" s="451" t="s">
        <v>45</v>
      </c>
      <c r="F1805" s="452" t="s">
        <v>58</v>
      </c>
      <c r="G1805" s="452" t="s">
        <v>59</v>
      </c>
      <c r="H1805" s="452" t="s">
        <v>52</v>
      </c>
    </row>
    <row r="1806" spans="1:9">
      <c r="A1806" s="592"/>
      <c r="B1806" s="864" t="s">
        <v>60</v>
      </c>
      <c r="C1806" s="484" t="s">
        <v>69</v>
      </c>
      <c r="D1806" s="488">
        <v>0.5</v>
      </c>
      <c r="E1806" s="451" t="s">
        <v>46</v>
      </c>
      <c r="F1806" s="457">
        <f>F1795</f>
        <v>1200</v>
      </c>
      <c r="G1806" s="457">
        <f>TRUNC(D1806*F1806,2)</f>
        <v>600</v>
      </c>
      <c r="H1806" s="457"/>
    </row>
    <row r="1807" spans="1:9">
      <c r="A1807" s="592"/>
      <c r="B1807" s="865"/>
      <c r="C1807" s="484" t="s">
        <v>43</v>
      </c>
      <c r="D1807" s="488">
        <v>1</v>
      </c>
      <c r="E1807" s="451" t="s">
        <v>46</v>
      </c>
      <c r="F1807" s="457">
        <f>F1796</f>
        <v>870</v>
      </c>
      <c r="G1807" s="457">
        <f>TRUNC(D1807*F1807,2)</f>
        <v>870</v>
      </c>
      <c r="H1807" s="457"/>
    </row>
    <row r="1808" spans="1:9">
      <c r="A1808" s="592"/>
      <c r="B1808" s="864" t="s">
        <v>63</v>
      </c>
      <c r="C1808" s="484" t="s">
        <v>1523</v>
      </c>
      <c r="D1808" s="488">
        <f>D1797</f>
        <v>358.5</v>
      </c>
      <c r="E1808" s="451" t="s">
        <v>46</v>
      </c>
      <c r="F1808" s="457">
        <f>F1797/2</f>
        <v>6.5</v>
      </c>
      <c r="G1808" s="457">
        <f>TRUNC(D1808*F1808,2)</f>
        <v>2330.25</v>
      </c>
      <c r="H1808" s="457" t="s">
        <v>610</v>
      </c>
    </row>
    <row r="1809" spans="1:8">
      <c r="A1809" s="592"/>
      <c r="B1809" s="865"/>
      <c r="C1809" s="528" t="str">
        <f>C1798</f>
        <v xml:space="preserve">Sand  river washed </v>
      </c>
      <c r="D1809" s="488">
        <v>0.71</v>
      </c>
      <c r="E1809" s="451" t="s">
        <v>68</v>
      </c>
      <c r="F1809" s="457">
        <f>F1798</f>
        <v>2200</v>
      </c>
      <c r="G1809" s="457">
        <f>TRUNC(D1809*F1809,2)</f>
        <v>1562</v>
      </c>
      <c r="H1809" s="457"/>
    </row>
    <row r="1810" spans="1:8">
      <c r="A1810" s="592"/>
      <c r="B1810" s="855" t="s">
        <v>165</v>
      </c>
      <c r="C1810" s="855"/>
      <c r="D1810" s="856" t="s">
        <v>61</v>
      </c>
      <c r="E1810" s="856"/>
      <c r="F1810" s="856"/>
      <c r="G1810" s="457">
        <f>SUM(G1806:G1809)</f>
        <v>5362.25</v>
      </c>
      <c r="H1810" s="457"/>
    </row>
    <row r="1811" spans="1:8">
      <c r="A1811" s="592"/>
      <c r="B1811" s="855"/>
      <c r="C1811" s="855"/>
      <c r="D1811" s="857" t="s">
        <v>573</v>
      </c>
      <c r="E1811" s="857"/>
      <c r="F1811" s="857"/>
      <c r="G1811" s="457">
        <f>INT(15%*G1810*100)/100</f>
        <v>804.33</v>
      </c>
      <c r="H1811" s="457"/>
    </row>
    <row r="1812" spans="1:8">
      <c r="A1812" s="592"/>
      <c r="B1812" s="855"/>
      <c r="C1812" s="855"/>
      <c r="D1812" s="856" t="s">
        <v>47</v>
      </c>
      <c r="E1812" s="856"/>
      <c r="F1812" s="856"/>
      <c r="G1812" s="457">
        <f>SUM(G1810:G1811)</f>
        <v>6166.58</v>
      </c>
      <c r="H1812" s="457"/>
    </row>
    <row r="1813" spans="1:8">
      <c r="A1813" s="592"/>
      <c r="B1813" s="494"/>
      <c r="C1813" s="494"/>
      <c r="D1813" s="476"/>
      <c r="E1813" s="476"/>
      <c r="F1813" s="476"/>
      <c r="G1813" s="477"/>
      <c r="H1813" s="477"/>
    </row>
    <row r="1814" spans="1:8">
      <c r="A1814" s="592"/>
      <c r="B1814" s="494"/>
      <c r="C1814" s="494"/>
      <c r="D1814" s="476"/>
      <c r="E1814" s="476"/>
      <c r="F1814" s="575"/>
      <c r="G1814" s="477"/>
      <c r="H1814" s="477"/>
    </row>
    <row r="1815" spans="1:8" ht="27.6">
      <c r="A1815" s="507">
        <v>8.16</v>
      </c>
      <c r="B1815" s="446" t="s">
        <v>405</v>
      </c>
      <c r="C1815" s="876" t="s">
        <v>1153</v>
      </c>
      <c r="D1815" s="877"/>
      <c r="E1815" s="877"/>
      <c r="F1815" s="447" t="s">
        <v>50</v>
      </c>
      <c r="G1815" s="447">
        <f>TRUNC(G1821/10,2)</f>
        <v>1286.95</v>
      </c>
      <c r="H1815" s="448">
        <f>TRUNC(G1823/10,2)</f>
        <v>1479.99</v>
      </c>
    </row>
    <row r="1816" spans="1:8">
      <c r="A1816" s="592"/>
      <c r="B1816" s="450" t="s">
        <v>80</v>
      </c>
      <c r="C1816" s="451" t="s">
        <v>81</v>
      </c>
      <c r="D1816" s="451" t="s">
        <v>44</v>
      </c>
      <c r="E1816" s="451" t="s">
        <v>45</v>
      </c>
      <c r="F1816" s="452" t="s">
        <v>58</v>
      </c>
      <c r="G1816" s="452" t="s">
        <v>59</v>
      </c>
      <c r="H1816" s="452" t="s">
        <v>52</v>
      </c>
    </row>
    <row r="1817" spans="1:8">
      <c r="A1817" s="592"/>
      <c r="B1817" s="864" t="s">
        <v>60</v>
      </c>
      <c r="C1817" s="484" t="s">
        <v>69</v>
      </c>
      <c r="D1817" s="488">
        <v>1</v>
      </c>
      <c r="E1817" s="451" t="s">
        <v>46</v>
      </c>
      <c r="F1817" s="457">
        <f>F1806</f>
        <v>1200</v>
      </c>
      <c r="G1817" s="457">
        <f>TRUNC(D1817*F1817,2)</f>
        <v>1200</v>
      </c>
      <c r="H1817" s="457"/>
    </row>
    <row r="1818" spans="1:8">
      <c r="A1818" s="592"/>
      <c r="B1818" s="865"/>
      <c r="C1818" s="484" t="s">
        <v>43</v>
      </c>
      <c r="D1818" s="488">
        <v>3.25</v>
      </c>
      <c r="E1818" s="451" t="s">
        <v>46</v>
      </c>
      <c r="F1818" s="457">
        <f>F1807</f>
        <v>870</v>
      </c>
      <c r="G1818" s="457">
        <f>TRUNC(D1818*F1818,2)</f>
        <v>2827.5</v>
      </c>
      <c r="H1818" s="457"/>
    </row>
    <row r="1819" spans="1:8">
      <c r="A1819" s="592"/>
      <c r="B1819" s="864" t="s">
        <v>63</v>
      </c>
      <c r="C1819" s="484" t="s">
        <v>709</v>
      </c>
      <c r="D1819" s="488">
        <v>560</v>
      </c>
      <c r="E1819" s="451" t="s">
        <v>46</v>
      </c>
      <c r="F1819" s="457">
        <f>F1797</f>
        <v>13</v>
      </c>
      <c r="G1819" s="457">
        <f>TRUNC(D1819*F1819,2)</f>
        <v>7280</v>
      </c>
      <c r="H1819" s="457"/>
    </row>
    <row r="1820" spans="1:8">
      <c r="A1820" s="592"/>
      <c r="B1820" s="865"/>
      <c r="C1820" s="528" t="str">
        <f>C1809</f>
        <v xml:space="preserve">Sand  river washed </v>
      </c>
      <c r="D1820" s="488">
        <v>0.71</v>
      </c>
      <c r="E1820" s="451" t="s">
        <v>68</v>
      </c>
      <c r="F1820" s="457">
        <f>F1809</f>
        <v>2200</v>
      </c>
      <c r="G1820" s="457">
        <f>TRUNC(D1820*F1820,2)</f>
        <v>1562</v>
      </c>
      <c r="H1820" s="457"/>
    </row>
    <row r="1821" spans="1:8">
      <c r="A1821" s="592"/>
      <c r="B1821" s="855" t="s">
        <v>165</v>
      </c>
      <c r="C1821" s="855"/>
      <c r="D1821" s="856" t="s">
        <v>61</v>
      </c>
      <c r="E1821" s="856"/>
      <c r="F1821" s="856"/>
      <c r="G1821" s="457">
        <f>SUM(G1817:G1820)</f>
        <v>12869.5</v>
      </c>
      <c r="H1821" s="457"/>
    </row>
    <row r="1822" spans="1:8">
      <c r="A1822" s="592"/>
      <c r="B1822" s="855"/>
      <c r="C1822" s="855"/>
      <c r="D1822" s="857" t="s">
        <v>573</v>
      </c>
      <c r="E1822" s="857"/>
      <c r="F1822" s="857"/>
      <c r="G1822" s="457">
        <f>INT(15%*G1821*100)/100</f>
        <v>1930.42</v>
      </c>
      <c r="H1822" s="457"/>
    </row>
    <row r="1823" spans="1:8">
      <c r="A1823" s="592"/>
      <c r="B1823" s="855"/>
      <c r="C1823" s="855"/>
      <c r="D1823" s="856" t="s">
        <v>47</v>
      </c>
      <c r="E1823" s="856"/>
      <c r="F1823" s="856"/>
      <c r="G1823" s="457">
        <f>SUM(G1821:G1822)</f>
        <v>14799.92</v>
      </c>
      <c r="H1823" s="457"/>
    </row>
    <row r="1824" spans="1:8">
      <c r="A1824" s="592"/>
      <c r="B1824" s="458" t="s">
        <v>258</v>
      </c>
      <c r="C1824" s="602" t="s">
        <v>611</v>
      </c>
      <c r="F1824" s="509"/>
      <c r="G1824" s="460"/>
      <c r="H1824" s="460"/>
    </row>
    <row r="1825" spans="1:8">
      <c r="A1825" s="592"/>
      <c r="C1825" s="444"/>
      <c r="F1825" s="462"/>
      <c r="G1825" s="460"/>
      <c r="H1825" s="460"/>
    </row>
    <row r="1826" spans="1:8" ht="27.6">
      <c r="A1826" s="507">
        <v>8.17</v>
      </c>
      <c r="B1826" s="446" t="s">
        <v>405</v>
      </c>
      <c r="C1826" s="876" t="s">
        <v>257</v>
      </c>
      <c r="D1826" s="877"/>
      <c r="E1826" s="877"/>
      <c r="F1826" s="447" t="s">
        <v>50</v>
      </c>
      <c r="G1826" s="447">
        <f>TRUNC(G1832/10,2)</f>
        <v>916.45</v>
      </c>
      <c r="H1826" s="448">
        <f>TRUNC(G1834/10,2)</f>
        <v>1053.9100000000001</v>
      </c>
    </row>
    <row r="1827" spans="1:8">
      <c r="A1827" s="592"/>
      <c r="B1827" s="450" t="s">
        <v>80</v>
      </c>
      <c r="C1827" s="451" t="s">
        <v>81</v>
      </c>
      <c r="D1827" s="451" t="s">
        <v>44</v>
      </c>
      <c r="E1827" s="451" t="s">
        <v>45</v>
      </c>
      <c r="F1827" s="452" t="s">
        <v>58</v>
      </c>
      <c r="G1827" s="452" t="s">
        <v>59</v>
      </c>
      <c r="H1827" s="452" t="s">
        <v>52</v>
      </c>
    </row>
    <row r="1828" spans="1:8">
      <c r="A1828" s="592"/>
      <c r="B1828" s="864" t="s">
        <v>60</v>
      </c>
      <c r="C1828" s="484" t="s">
        <v>69</v>
      </c>
      <c r="D1828" s="488">
        <v>1</v>
      </c>
      <c r="E1828" s="451" t="s">
        <v>46</v>
      </c>
      <c r="F1828" s="457">
        <f>F1817</f>
        <v>1200</v>
      </c>
      <c r="G1828" s="457">
        <f>TRUNC(D1828*F1828,2)</f>
        <v>1200</v>
      </c>
      <c r="H1828" s="457"/>
    </row>
    <row r="1829" spans="1:8">
      <c r="A1829" s="592"/>
      <c r="B1829" s="865"/>
      <c r="C1829" s="484" t="s">
        <v>43</v>
      </c>
      <c r="D1829" s="488">
        <v>3.25</v>
      </c>
      <c r="E1829" s="451" t="s">
        <v>46</v>
      </c>
      <c r="F1829" s="457">
        <f>F1818</f>
        <v>870</v>
      </c>
      <c r="G1829" s="457">
        <f>TRUNC(D1829*F1829,2)</f>
        <v>2827.5</v>
      </c>
      <c r="H1829" s="457"/>
    </row>
    <row r="1830" spans="1:8">
      <c r="A1830" s="592"/>
      <c r="B1830" s="864" t="s">
        <v>63</v>
      </c>
      <c r="C1830" s="484" t="s">
        <v>1523</v>
      </c>
      <c r="D1830" s="488">
        <v>550</v>
      </c>
      <c r="E1830" s="451" t="s">
        <v>46</v>
      </c>
      <c r="F1830" s="457">
        <f>F1808</f>
        <v>6.5</v>
      </c>
      <c r="G1830" s="457">
        <f>TRUNC(D1830*F1830,2)</f>
        <v>3575</v>
      </c>
      <c r="H1830" s="457" t="s">
        <v>610</v>
      </c>
    </row>
    <row r="1831" spans="1:8">
      <c r="A1831" s="592"/>
      <c r="B1831" s="865"/>
      <c r="C1831" s="528" t="str">
        <f>C1820</f>
        <v xml:space="preserve">Sand  river washed </v>
      </c>
      <c r="D1831" s="488">
        <v>0.71</v>
      </c>
      <c r="E1831" s="451" t="s">
        <v>68</v>
      </c>
      <c r="F1831" s="457">
        <f>F1820</f>
        <v>2200</v>
      </c>
      <c r="G1831" s="457">
        <f>TRUNC(D1831*F1831,2)</f>
        <v>1562</v>
      </c>
      <c r="H1831" s="457"/>
    </row>
    <row r="1832" spans="1:8">
      <c r="A1832" s="592"/>
      <c r="B1832" s="855" t="s">
        <v>165</v>
      </c>
      <c r="C1832" s="855"/>
      <c r="D1832" s="856" t="s">
        <v>61</v>
      </c>
      <c r="E1832" s="856"/>
      <c r="F1832" s="856"/>
      <c r="G1832" s="457">
        <f>SUM(G1828:G1831)</f>
        <v>9164.5</v>
      </c>
      <c r="H1832" s="457"/>
    </row>
    <row r="1833" spans="1:8">
      <c r="A1833" s="592"/>
      <c r="B1833" s="855"/>
      <c r="C1833" s="855"/>
      <c r="D1833" s="857" t="s">
        <v>573</v>
      </c>
      <c r="E1833" s="857"/>
      <c r="F1833" s="857"/>
      <c r="G1833" s="457">
        <f>INT(15%*G1832*100)/100</f>
        <v>1374.67</v>
      </c>
      <c r="H1833" s="457"/>
    </row>
    <row r="1834" spans="1:8">
      <c r="A1834" s="592"/>
      <c r="B1834" s="855"/>
      <c r="C1834" s="855"/>
      <c r="D1834" s="856" t="s">
        <v>47</v>
      </c>
      <c r="E1834" s="856"/>
      <c r="F1834" s="856"/>
      <c r="G1834" s="457">
        <f>SUM(G1832:G1833)</f>
        <v>10539.17</v>
      </c>
      <c r="H1834" s="457"/>
    </row>
    <row r="1835" spans="1:8">
      <c r="A1835" s="592"/>
      <c r="B1835" s="458"/>
      <c r="C1835" s="458"/>
      <c r="F1835" s="509"/>
      <c r="G1835" s="460"/>
      <c r="H1835" s="460"/>
    </row>
    <row r="1836" spans="1:8" ht="17.55" customHeight="1">
      <c r="A1836" s="507">
        <v>8.18</v>
      </c>
      <c r="B1836" s="446" t="s">
        <v>406</v>
      </c>
      <c r="C1836" s="888" t="s">
        <v>184</v>
      </c>
      <c r="D1836" s="889"/>
      <c r="E1836" s="890"/>
      <c r="F1836" s="447" t="s">
        <v>68</v>
      </c>
      <c r="G1836" s="447">
        <f>G1842</f>
        <v>7908</v>
      </c>
      <c r="H1836" s="448">
        <f>G1844</f>
        <v>9094.2000000000007</v>
      </c>
    </row>
    <row r="1837" spans="1:8">
      <c r="B1837" s="450" t="s">
        <v>80</v>
      </c>
      <c r="C1837" s="451" t="s">
        <v>81</v>
      </c>
      <c r="D1837" s="451" t="s">
        <v>44</v>
      </c>
      <c r="E1837" s="451" t="s">
        <v>45</v>
      </c>
      <c r="F1837" s="452" t="s">
        <v>58</v>
      </c>
      <c r="G1837" s="452" t="s">
        <v>59</v>
      </c>
      <c r="H1837" s="452" t="s">
        <v>52</v>
      </c>
    </row>
    <row r="1838" spans="1:8">
      <c r="B1838" s="864" t="s">
        <v>60</v>
      </c>
      <c r="C1838" s="454" t="s">
        <v>69</v>
      </c>
      <c r="D1838" s="488">
        <v>1</v>
      </c>
      <c r="E1838" s="451" t="s">
        <v>46</v>
      </c>
      <c r="F1838" s="457">
        <f>F1828</f>
        <v>1200</v>
      </c>
      <c r="G1838" s="457">
        <f>TRUNC(D1838*F1838,2)</f>
        <v>1200</v>
      </c>
      <c r="H1838" s="452"/>
    </row>
    <row r="1839" spans="1:8">
      <c r="B1839" s="865"/>
      <c r="C1839" s="484" t="s">
        <v>43</v>
      </c>
      <c r="D1839" s="488">
        <v>3.5</v>
      </c>
      <c r="E1839" s="451" t="s">
        <v>46</v>
      </c>
      <c r="F1839" s="457">
        <f>F1829</f>
        <v>870</v>
      </c>
      <c r="G1839" s="457">
        <f>TRUNC(D1839*F1839,2)</f>
        <v>3045</v>
      </c>
      <c r="H1839" s="457"/>
    </row>
    <row r="1840" spans="1:8">
      <c r="B1840" s="864" t="s">
        <v>63</v>
      </c>
      <c r="C1840" s="484" t="s">
        <v>153</v>
      </c>
      <c r="D1840" s="488">
        <v>1.1000000000000001</v>
      </c>
      <c r="E1840" s="451" t="s">
        <v>68</v>
      </c>
      <c r="F1840" s="457">
        <f>'Basic Rate'!F189</f>
        <v>1910</v>
      </c>
      <c r="G1840" s="457">
        <f>TRUNC(D1840*F1840,2)</f>
        <v>2101</v>
      </c>
      <c r="H1840" s="457"/>
    </row>
    <row r="1841" spans="1:8">
      <c r="B1841" s="865"/>
      <c r="C1841" s="484" t="s">
        <v>183</v>
      </c>
      <c r="D1841" s="488">
        <v>0.71</v>
      </c>
      <c r="E1841" s="451" t="s">
        <v>68</v>
      </c>
      <c r="F1841" s="457">
        <f>F1831</f>
        <v>2200</v>
      </c>
      <c r="G1841" s="457">
        <f>TRUNC(D1841*F1841,2)</f>
        <v>1562</v>
      </c>
      <c r="H1841" s="457"/>
    </row>
    <row r="1842" spans="1:8">
      <c r="B1842" s="855" t="s">
        <v>156</v>
      </c>
      <c r="C1842" s="855"/>
      <c r="D1842" s="856" t="s">
        <v>61</v>
      </c>
      <c r="E1842" s="856"/>
      <c r="F1842" s="856"/>
      <c r="G1842" s="457">
        <f>SUM(G1838:G1841)</f>
        <v>7908</v>
      </c>
      <c r="H1842" s="457"/>
    </row>
    <row r="1843" spans="1:8">
      <c r="B1843" s="855"/>
      <c r="C1843" s="855"/>
      <c r="D1843" s="857" t="s">
        <v>573</v>
      </c>
      <c r="E1843" s="857"/>
      <c r="F1843" s="857"/>
      <c r="G1843" s="457">
        <f>INT(15%*G1842*100)/100</f>
        <v>1186.2</v>
      </c>
      <c r="H1843" s="457"/>
    </row>
    <row r="1844" spans="1:8">
      <c r="B1844" s="855"/>
      <c r="C1844" s="855"/>
      <c r="D1844" s="856" t="s">
        <v>47</v>
      </c>
      <c r="E1844" s="856"/>
      <c r="F1844" s="856"/>
      <c r="G1844" s="457">
        <f>SUM(G1842:G1843)</f>
        <v>9094.2000000000007</v>
      </c>
      <c r="H1844" s="457"/>
    </row>
    <row r="1845" spans="1:8">
      <c r="A1845" s="592"/>
      <c r="C1845" s="444"/>
      <c r="F1845" s="462"/>
      <c r="G1845" s="460"/>
      <c r="H1845" s="460"/>
    </row>
    <row r="1846" spans="1:8" ht="37.799999999999997" customHeight="1">
      <c r="A1846" s="507">
        <v>8.19</v>
      </c>
      <c r="B1846" s="446" t="s">
        <v>407</v>
      </c>
      <c r="C1846" s="876" t="s">
        <v>192</v>
      </c>
      <c r="D1846" s="877"/>
      <c r="E1846" s="877"/>
      <c r="F1846" s="447" t="s">
        <v>50</v>
      </c>
      <c r="G1846" s="447">
        <f>TRUNC(G1853/10,2)</f>
        <v>1353</v>
      </c>
      <c r="H1846" s="448">
        <f>TRUNC(G1855/10,2)</f>
        <v>1555.95</v>
      </c>
    </row>
    <row r="1847" spans="1:8">
      <c r="B1847" s="450" t="s">
        <v>80</v>
      </c>
      <c r="C1847" s="451" t="s">
        <v>81</v>
      </c>
      <c r="D1847" s="451" t="s">
        <v>44</v>
      </c>
      <c r="E1847" s="451" t="s">
        <v>45</v>
      </c>
      <c r="F1847" s="452" t="s">
        <v>58</v>
      </c>
      <c r="G1847" s="452" t="s">
        <v>59</v>
      </c>
      <c r="H1847" s="452" t="s">
        <v>52</v>
      </c>
    </row>
    <row r="1848" spans="1:8">
      <c r="B1848" s="864" t="s">
        <v>60</v>
      </c>
      <c r="C1848" s="454" t="s">
        <v>69</v>
      </c>
      <c r="D1848" s="488">
        <v>2</v>
      </c>
      <c r="E1848" s="451" t="s">
        <v>46</v>
      </c>
      <c r="F1848" s="457">
        <f>F1838</f>
        <v>1200</v>
      </c>
      <c r="G1848" s="457">
        <f>TRUNC(D1848*F1848,2)</f>
        <v>2400</v>
      </c>
      <c r="H1848" s="452"/>
    </row>
    <row r="1849" spans="1:8">
      <c r="B1849" s="865"/>
      <c r="C1849" s="484" t="s">
        <v>43</v>
      </c>
      <c r="D1849" s="488">
        <v>4</v>
      </c>
      <c r="E1849" s="451" t="s">
        <v>46</v>
      </c>
      <c r="F1849" s="457">
        <f>F1839</f>
        <v>870</v>
      </c>
      <c r="G1849" s="457">
        <f>TRUNC(D1849*F1849,2)</f>
        <v>3480</v>
      </c>
      <c r="H1849" s="457"/>
    </row>
    <row r="1850" spans="1:8">
      <c r="B1850" s="864" t="s">
        <v>63</v>
      </c>
      <c r="C1850" s="484" t="s">
        <v>709</v>
      </c>
      <c r="D1850" s="488">
        <v>550</v>
      </c>
      <c r="E1850" s="451" t="s">
        <v>68</v>
      </c>
      <c r="F1850" s="457">
        <f>'Basic Rate'!F33</f>
        <v>13</v>
      </c>
      <c r="G1850" s="457">
        <f>TRUNC(D1850*F1850,2)</f>
        <v>7150</v>
      </c>
      <c r="H1850" s="457"/>
    </row>
    <row r="1851" spans="1:8">
      <c r="B1851" s="868"/>
      <c r="C1851" s="484" t="s">
        <v>193</v>
      </c>
      <c r="D1851" s="488">
        <v>0.02</v>
      </c>
      <c r="E1851" s="451" t="s">
        <v>68</v>
      </c>
      <c r="F1851" s="457">
        <f>'Basic Rate'!F35</f>
        <v>14000</v>
      </c>
      <c r="G1851" s="457">
        <f>TRUNC(D1851*F1851,2)</f>
        <v>280</v>
      </c>
      <c r="H1851" s="457"/>
    </row>
    <row r="1852" spans="1:8">
      <c r="B1852" s="865"/>
      <c r="C1852" s="528" t="str">
        <f>C1831</f>
        <v xml:space="preserve">Sand  river washed </v>
      </c>
      <c r="D1852" s="488">
        <v>0.1</v>
      </c>
      <c r="E1852" s="451" t="s">
        <v>68</v>
      </c>
      <c r="F1852" s="457">
        <f>F1841</f>
        <v>2200</v>
      </c>
      <c r="G1852" s="457">
        <f>TRUNC(D1852*F1852,2)</f>
        <v>220</v>
      </c>
      <c r="H1852" s="457"/>
    </row>
    <row r="1853" spans="1:8">
      <c r="B1853" s="855" t="s">
        <v>165</v>
      </c>
      <c r="C1853" s="855"/>
      <c r="D1853" s="856" t="s">
        <v>61</v>
      </c>
      <c r="E1853" s="856"/>
      <c r="F1853" s="856"/>
      <c r="G1853" s="457">
        <f>SUM(G1848:G1852)</f>
        <v>13530</v>
      </c>
      <c r="H1853" s="457"/>
    </row>
    <row r="1854" spans="1:8">
      <c r="B1854" s="855"/>
      <c r="C1854" s="855"/>
      <c r="D1854" s="857" t="s">
        <v>573</v>
      </c>
      <c r="E1854" s="857"/>
      <c r="F1854" s="857"/>
      <c r="G1854" s="457">
        <f>INT(15%*G1853*100)/100</f>
        <v>2029.5</v>
      </c>
      <c r="H1854" s="457"/>
    </row>
    <row r="1855" spans="1:8">
      <c r="B1855" s="855"/>
      <c r="C1855" s="855"/>
      <c r="D1855" s="856" t="s">
        <v>47</v>
      </c>
      <c r="E1855" s="856"/>
      <c r="F1855" s="856"/>
      <c r="G1855" s="457">
        <f>SUM(G1853:G1854)</f>
        <v>15559.5</v>
      </c>
      <c r="H1855" s="457"/>
    </row>
    <row r="1856" spans="1:8">
      <c r="B1856" s="458"/>
      <c r="C1856" s="458"/>
      <c r="F1856" s="459"/>
      <c r="G1856" s="460"/>
      <c r="H1856" s="460"/>
    </row>
    <row r="1857" spans="1:8">
      <c r="A1857" s="592"/>
      <c r="C1857" s="444"/>
      <c r="F1857" s="462"/>
      <c r="G1857" s="460"/>
      <c r="H1857" s="460"/>
    </row>
    <row r="1858" spans="1:8" s="495" customFormat="1" ht="27.6">
      <c r="A1858" s="507">
        <v>8.1999999999999993</v>
      </c>
      <c r="B1858" s="446" t="s">
        <v>408</v>
      </c>
      <c r="C1858" s="888" t="s">
        <v>110</v>
      </c>
      <c r="D1858" s="889"/>
      <c r="E1858" s="889"/>
      <c r="F1858" s="447" t="s">
        <v>68</v>
      </c>
      <c r="G1858" s="447">
        <f>TRUNC(G1862/10,2)</f>
        <v>3200</v>
      </c>
      <c r="H1858" s="448">
        <f>TRUNC(G1864/10,2)</f>
        <v>3680</v>
      </c>
    </row>
    <row r="1859" spans="1:8">
      <c r="A1859" s="592"/>
      <c r="B1859" s="450" t="s">
        <v>80</v>
      </c>
      <c r="C1859" s="451" t="s">
        <v>81</v>
      </c>
      <c r="D1859" s="451" t="s">
        <v>44</v>
      </c>
      <c r="E1859" s="451" t="s">
        <v>45</v>
      </c>
      <c r="F1859" s="452" t="s">
        <v>58</v>
      </c>
      <c r="G1859" s="452" t="s">
        <v>59</v>
      </c>
      <c r="H1859" s="452" t="s">
        <v>52</v>
      </c>
    </row>
    <row r="1860" spans="1:8">
      <c r="A1860" s="592"/>
      <c r="B1860" s="450" t="s">
        <v>60</v>
      </c>
      <c r="C1860" s="484" t="s">
        <v>69</v>
      </c>
      <c r="D1860" s="488">
        <v>6.5</v>
      </c>
      <c r="E1860" s="451" t="s">
        <v>46</v>
      </c>
      <c r="F1860" s="457">
        <f>F1848</f>
        <v>1200</v>
      </c>
      <c r="G1860" s="457">
        <f>TRUNC(D1860*F1860,2)</f>
        <v>7800</v>
      </c>
      <c r="H1860" s="457"/>
    </row>
    <row r="1861" spans="1:8">
      <c r="A1861" s="592"/>
      <c r="B1861" s="450" t="s">
        <v>63</v>
      </c>
      <c r="C1861" s="528" t="str">
        <f>C1852</f>
        <v xml:space="preserve">Sand  river washed </v>
      </c>
      <c r="D1861" s="488">
        <v>11</v>
      </c>
      <c r="E1861" s="451" t="s">
        <v>68</v>
      </c>
      <c r="F1861" s="457">
        <f>F1852</f>
        <v>2200</v>
      </c>
      <c r="G1861" s="457">
        <f>TRUNC(D1861*F1861,2)</f>
        <v>24200</v>
      </c>
      <c r="H1861" s="457"/>
    </row>
    <row r="1862" spans="1:8">
      <c r="A1862" s="592"/>
      <c r="B1862" s="855" t="s">
        <v>171</v>
      </c>
      <c r="C1862" s="855"/>
      <c r="D1862" s="856" t="s">
        <v>61</v>
      </c>
      <c r="E1862" s="856"/>
      <c r="F1862" s="856"/>
      <c r="G1862" s="457">
        <f>SUM(G1860:G1861)</f>
        <v>32000</v>
      </c>
      <c r="H1862" s="457"/>
    </row>
    <row r="1863" spans="1:8">
      <c r="A1863" s="592"/>
      <c r="B1863" s="855"/>
      <c r="C1863" s="855"/>
      <c r="D1863" s="857" t="s">
        <v>573</v>
      </c>
      <c r="E1863" s="857"/>
      <c r="F1863" s="857"/>
      <c r="G1863" s="457">
        <f>INT(15%*G1862*100)/100</f>
        <v>4800</v>
      </c>
      <c r="H1863" s="457"/>
    </row>
    <row r="1864" spans="1:8">
      <c r="A1864" s="592"/>
      <c r="B1864" s="855"/>
      <c r="C1864" s="855"/>
      <c r="D1864" s="856" t="s">
        <v>47</v>
      </c>
      <c r="E1864" s="856"/>
      <c r="F1864" s="856"/>
      <c r="G1864" s="457">
        <f>SUM(G1862:G1863)</f>
        <v>36800</v>
      </c>
      <c r="H1864" s="457"/>
    </row>
    <row r="1865" spans="1:8">
      <c r="A1865" s="592"/>
    </row>
    <row r="1866" spans="1:8" s="495" customFormat="1" ht="27.6">
      <c r="A1866" s="507">
        <v>8.2100000000000009</v>
      </c>
      <c r="B1866" s="446" t="s">
        <v>409</v>
      </c>
      <c r="C1866" s="888" t="s">
        <v>180</v>
      </c>
      <c r="D1866" s="889"/>
      <c r="E1866" s="889"/>
      <c r="F1866" s="447" t="s">
        <v>68</v>
      </c>
      <c r="G1866" s="447">
        <f>TRUNC(G1870/10,2)</f>
        <v>1207.1500000000001</v>
      </c>
      <c r="H1866" s="448">
        <f>TRUNC(G1872/10,2)</f>
        <v>1388.22</v>
      </c>
    </row>
    <row r="1867" spans="1:8">
      <c r="A1867" s="592"/>
      <c r="B1867" s="450" t="s">
        <v>80</v>
      </c>
      <c r="C1867" s="451" t="s">
        <v>81</v>
      </c>
      <c r="D1867" s="451" t="s">
        <v>44</v>
      </c>
      <c r="E1867" s="451" t="s">
        <v>45</v>
      </c>
      <c r="F1867" s="452" t="s">
        <v>58</v>
      </c>
      <c r="G1867" s="452" t="s">
        <v>59</v>
      </c>
      <c r="H1867" s="452" t="s">
        <v>52</v>
      </c>
    </row>
    <row r="1868" spans="1:8">
      <c r="A1868" s="592"/>
      <c r="B1868" s="450" t="s">
        <v>60</v>
      </c>
      <c r="C1868" s="484" t="s">
        <v>69</v>
      </c>
      <c r="D1868" s="456">
        <v>10</v>
      </c>
      <c r="E1868" s="451" t="s">
        <v>46</v>
      </c>
      <c r="F1868" s="457">
        <f>F1860</f>
        <v>1200</v>
      </c>
      <c r="G1868" s="457">
        <f>TRUNC(D1868*F1868,2)</f>
        <v>12000</v>
      </c>
      <c r="H1868" s="457"/>
    </row>
    <row r="1869" spans="1:8">
      <c r="A1869" s="592"/>
      <c r="B1869" s="450" t="s">
        <v>63</v>
      </c>
      <c r="C1869" s="484" t="s">
        <v>111</v>
      </c>
      <c r="D1869" s="456">
        <v>11</v>
      </c>
      <c r="E1869" s="451" t="s">
        <v>68</v>
      </c>
      <c r="F1869" s="457">
        <f>F1830</f>
        <v>6.5</v>
      </c>
      <c r="G1869" s="457">
        <f>TRUNC(D1869*F1869,2)</f>
        <v>71.5</v>
      </c>
      <c r="H1869" s="457"/>
    </row>
    <row r="1870" spans="1:8">
      <c r="A1870" s="592"/>
      <c r="B1870" s="855" t="s">
        <v>171</v>
      </c>
      <c r="C1870" s="855"/>
      <c r="D1870" s="856" t="s">
        <v>61</v>
      </c>
      <c r="E1870" s="856"/>
      <c r="F1870" s="856"/>
      <c r="G1870" s="457">
        <f>SUM(G1868:G1869)</f>
        <v>12071.5</v>
      </c>
      <c r="H1870" s="457"/>
    </row>
    <row r="1871" spans="1:8">
      <c r="A1871" s="592"/>
      <c r="B1871" s="855"/>
      <c r="C1871" s="855"/>
      <c r="D1871" s="857" t="s">
        <v>573</v>
      </c>
      <c r="E1871" s="857"/>
      <c r="F1871" s="857"/>
      <c r="G1871" s="457">
        <f>INT(15%*G1870*100)/100</f>
        <v>1810.72</v>
      </c>
      <c r="H1871" s="457"/>
    </row>
    <row r="1872" spans="1:8">
      <c r="A1872" s="592"/>
      <c r="B1872" s="855"/>
      <c r="C1872" s="855"/>
      <c r="D1872" s="856" t="s">
        <v>47</v>
      </c>
      <c r="E1872" s="856"/>
      <c r="F1872" s="856"/>
      <c r="G1872" s="457">
        <f>SUM(G1870:G1871)</f>
        <v>13882.22</v>
      </c>
      <c r="H1872" s="457"/>
    </row>
    <row r="1873" spans="1:8">
      <c r="A1873" s="592"/>
      <c r="B1873" s="458"/>
      <c r="C1873" s="458"/>
      <c r="F1873" s="459"/>
      <c r="G1873" s="460"/>
      <c r="H1873" s="460"/>
    </row>
    <row r="1874" spans="1:8">
      <c r="A1874" s="592"/>
    </row>
    <row r="1875" spans="1:8" ht="27.6">
      <c r="A1875" s="507">
        <v>8.2200000000000006</v>
      </c>
      <c r="B1875" s="446" t="s">
        <v>410</v>
      </c>
      <c r="C1875" s="876" t="s">
        <v>112</v>
      </c>
      <c r="D1875" s="877"/>
      <c r="E1875" s="877"/>
      <c r="F1875" s="447" t="s">
        <v>50</v>
      </c>
      <c r="G1875" s="447">
        <f>TRUNC(G1880/10,2)</f>
        <v>281.48</v>
      </c>
      <c r="H1875" s="448">
        <f>TRUNC(G1882/10,2)</f>
        <v>323.7</v>
      </c>
    </row>
    <row r="1876" spans="1:8">
      <c r="B1876" s="450" t="s">
        <v>80</v>
      </c>
      <c r="C1876" s="451" t="s">
        <v>81</v>
      </c>
      <c r="D1876" s="451" t="s">
        <v>44</v>
      </c>
      <c r="E1876" s="451" t="s">
        <v>45</v>
      </c>
      <c r="F1876" s="452" t="s">
        <v>58</v>
      </c>
      <c r="G1876" s="452" t="s">
        <v>59</v>
      </c>
      <c r="H1876" s="452" t="s">
        <v>52</v>
      </c>
    </row>
    <row r="1877" spans="1:8">
      <c r="B1877" s="864" t="s">
        <v>60</v>
      </c>
      <c r="C1877" s="484" t="s">
        <v>69</v>
      </c>
      <c r="D1877" s="488">
        <v>1</v>
      </c>
      <c r="E1877" s="451" t="s">
        <v>46</v>
      </c>
      <c r="F1877" s="457">
        <f>F1868</f>
        <v>1200</v>
      </c>
      <c r="G1877" s="457">
        <f>TRUNC(D1877*F1877,2)</f>
        <v>1200</v>
      </c>
      <c r="H1877" s="457"/>
    </row>
    <row r="1878" spans="1:8" ht="15" customHeight="1">
      <c r="B1878" s="865"/>
      <c r="C1878" s="484" t="s">
        <v>43</v>
      </c>
      <c r="D1878" s="488">
        <v>1</v>
      </c>
      <c r="E1878" s="451" t="s">
        <v>46</v>
      </c>
      <c r="F1878" s="457">
        <f>F1849</f>
        <v>870</v>
      </c>
      <c r="G1878" s="457">
        <f>TRUNC(D1878*F1878,2)</f>
        <v>870</v>
      </c>
      <c r="H1878" s="457"/>
    </row>
    <row r="1879" spans="1:8" ht="15" customHeight="1">
      <c r="B1879" s="450" t="s">
        <v>63</v>
      </c>
      <c r="C1879" s="484" t="s">
        <v>70</v>
      </c>
      <c r="D1879" s="488">
        <v>53.2</v>
      </c>
      <c r="E1879" s="451" t="s">
        <v>74</v>
      </c>
      <c r="F1879" s="457">
        <f>'Basic Rate'!F35/1000</f>
        <v>14</v>
      </c>
      <c r="G1879" s="457">
        <f>TRUNC(D1879*F1879,2)</f>
        <v>744.8</v>
      </c>
      <c r="H1879" s="457"/>
    </row>
    <row r="1880" spans="1:8">
      <c r="B1880" s="855" t="s">
        <v>165</v>
      </c>
      <c r="C1880" s="855"/>
      <c r="D1880" s="856" t="s">
        <v>61</v>
      </c>
      <c r="E1880" s="856"/>
      <c r="F1880" s="856"/>
      <c r="G1880" s="457">
        <f>SUM(G1877:G1879)</f>
        <v>2814.8</v>
      </c>
      <c r="H1880" s="457"/>
    </row>
    <row r="1881" spans="1:8">
      <c r="B1881" s="855"/>
      <c r="C1881" s="855"/>
      <c r="D1881" s="857" t="s">
        <v>573</v>
      </c>
      <c r="E1881" s="857"/>
      <c r="F1881" s="857"/>
      <c r="G1881" s="457">
        <f>INT(15%*G1880*100)/100</f>
        <v>422.22</v>
      </c>
      <c r="H1881" s="457"/>
    </row>
    <row r="1882" spans="1:8">
      <c r="B1882" s="855"/>
      <c r="C1882" s="855"/>
      <c r="D1882" s="856" t="s">
        <v>47</v>
      </c>
      <c r="E1882" s="856"/>
      <c r="F1882" s="856"/>
      <c r="G1882" s="457">
        <f>SUM(G1880:G1881)</f>
        <v>3237.0200000000004</v>
      </c>
      <c r="H1882" s="457"/>
    </row>
    <row r="1885" spans="1:8" ht="25.5" customHeight="1">
      <c r="A1885" s="507">
        <v>8.23</v>
      </c>
      <c r="B1885" s="446" t="s">
        <v>411</v>
      </c>
      <c r="C1885" s="876" t="s">
        <v>195</v>
      </c>
      <c r="D1885" s="877"/>
      <c r="E1885" s="878"/>
      <c r="F1885" s="447" t="s">
        <v>50</v>
      </c>
      <c r="G1885" s="447">
        <f>TRUNC(G1891/10,2)</f>
        <v>9768.27</v>
      </c>
      <c r="H1885" s="448">
        <f>TRUNC(G1893/10,2)</f>
        <v>11233.51</v>
      </c>
    </row>
    <row r="1886" spans="1:8">
      <c r="B1886" s="450" t="s">
        <v>80</v>
      </c>
      <c r="C1886" s="451" t="s">
        <v>81</v>
      </c>
      <c r="D1886" s="451" t="s">
        <v>44</v>
      </c>
      <c r="E1886" s="451" t="s">
        <v>45</v>
      </c>
      <c r="F1886" s="452" t="s">
        <v>58</v>
      </c>
      <c r="G1886" s="452" t="s">
        <v>59</v>
      </c>
      <c r="H1886" s="452" t="s">
        <v>52</v>
      </c>
    </row>
    <row r="1887" spans="1:8">
      <c r="B1887" s="864" t="s">
        <v>60</v>
      </c>
      <c r="C1887" s="484" t="s">
        <v>69</v>
      </c>
      <c r="D1887" s="455">
        <v>6.5</v>
      </c>
      <c r="E1887" s="451" t="s">
        <v>46</v>
      </c>
      <c r="F1887" s="457">
        <f>F1877</f>
        <v>1200</v>
      </c>
      <c r="G1887" s="457">
        <f>TRUNC(D1887*F1887,2)</f>
        <v>7800</v>
      </c>
      <c r="H1887" s="457"/>
    </row>
    <row r="1888" spans="1:8">
      <c r="B1888" s="865"/>
      <c r="C1888" s="484" t="s">
        <v>43</v>
      </c>
      <c r="D1888" s="455">
        <v>0.65</v>
      </c>
      <c r="E1888" s="451" t="s">
        <v>46</v>
      </c>
      <c r="F1888" s="457">
        <f>F1878</f>
        <v>870</v>
      </c>
      <c r="G1888" s="457">
        <f>TRUNC(D1888*F1888,2)</f>
        <v>565.5</v>
      </c>
      <c r="H1888" s="457"/>
    </row>
    <row r="1889" spans="1:8">
      <c r="B1889" s="864" t="s">
        <v>63</v>
      </c>
      <c r="C1889" s="484" t="s">
        <v>1501</v>
      </c>
      <c r="D1889" s="455">
        <v>0.42099999999999999</v>
      </c>
      <c r="E1889" s="451" t="s">
        <v>68</v>
      </c>
      <c r="F1889" s="457">
        <f>'Basic Rate'!F225</f>
        <v>211680</v>
      </c>
      <c r="G1889" s="457">
        <f>TRUNC(D1889*F1889,2)</f>
        <v>89117.28</v>
      </c>
      <c r="H1889" s="457"/>
    </row>
    <row r="1890" spans="1:8">
      <c r="B1890" s="865"/>
      <c r="C1890" s="484" t="s">
        <v>151</v>
      </c>
      <c r="D1890" s="956" t="s">
        <v>86</v>
      </c>
      <c r="E1890" s="958"/>
      <c r="F1890" s="457"/>
      <c r="G1890" s="457">
        <v>200</v>
      </c>
      <c r="H1890" s="457"/>
    </row>
    <row r="1891" spans="1:8">
      <c r="B1891" s="855" t="s">
        <v>165</v>
      </c>
      <c r="C1891" s="855"/>
      <c r="D1891" s="856" t="s">
        <v>61</v>
      </c>
      <c r="E1891" s="856"/>
      <c r="F1891" s="856"/>
      <c r="G1891" s="457">
        <f>SUM(G1887:G1890)</f>
        <v>97682.78</v>
      </c>
      <c r="H1891" s="457"/>
    </row>
    <row r="1892" spans="1:8">
      <c r="B1892" s="855"/>
      <c r="C1892" s="855"/>
      <c r="D1892" s="857" t="s">
        <v>573</v>
      </c>
      <c r="E1892" s="857"/>
      <c r="F1892" s="857"/>
      <c r="G1892" s="457">
        <f>INT(15%*G1891*100)/100</f>
        <v>14652.41</v>
      </c>
      <c r="H1892" s="457"/>
    </row>
    <row r="1893" spans="1:8">
      <c r="B1893" s="855"/>
      <c r="C1893" s="855"/>
      <c r="D1893" s="856" t="s">
        <v>47</v>
      </c>
      <c r="E1893" s="856"/>
      <c r="F1893" s="856"/>
      <c r="G1893" s="457">
        <f>SUM(G1891:G1892)</f>
        <v>112335.19</v>
      </c>
      <c r="H1893" s="457"/>
    </row>
    <row r="1896" spans="1:8" ht="27.6">
      <c r="A1896" s="507">
        <v>8.24</v>
      </c>
      <c r="B1896" s="446" t="s">
        <v>412</v>
      </c>
      <c r="C1896" s="876" t="s">
        <v>726</v>
      </c>
      <c r="D1896" s="877"/>
      <c r="E1896" s="877"/>
      <c r="F1896" s="447" t="s">
        <v>50</v>
      </c>
      <c r="G1896" s="447">
        <f>TRUNC(G1901/10,2)</f>
        <v>526.20000000000005</v>
      </c>
      <c r="H1896" s="448">
        <f>TRUNC(G1903/10,2)</f>
        <v>605.13</v>
      </c>
    </row>
    <row r="1897" spans="1:8">
      <c r="B1897" s="450" t="s">
        <v>80</v>
      </c>
      <c r="C1897" s="451" t="s">
        <v>81</v>
      </c>
      <c r="D1897" s="451" t="s">
        <v>44</v>
      </c>
      <c r="E1897" s="451" t="s">
        <v>45</v>
      </c>
      <c r="F1897" s="452" t="s">
        <v>58</v>
      </c>
      <c r="G1897" s="452" t="s">
        <v>59</v>
      </c>
      <c r="H1897" s="452" t="s">
        <v>52</v>
      </c>
    </row>
    <row r="1898" spans="1:8">
      <c r="B1898" s="864" t="s">
        <v>60</v>
      </c>
      <c r="C1898" s="484" t="s">
        <v>69</v>
      </c>
      <c r="D1898" s="488">
        <v>1</v>
      </c>
      <c r="E1898" s="451" t="s">
        <v>46</v>
      </c>
      <c r="F1898" s="457">
        <f>F1887</f>
        <v>1200</v>
      </c>
      <c r="G1898" s="457">
        <f>TRUNC(D1898*F1898,2)</f>
        <v>1200</v>
      </c>
      <c r="H1898" s="457"/>
    </row>
    <row r="1899" spans="1:8">
      <c r="B1899" s="865"/>
      <c r="C1899" s="484" t="s">
        <v>43</v>
      </c>
      <c r="D1899" s="488">
        <v>1</v>
      </c>
      <c r="E1899" s="451" t="s">
        <v>46</v>
      </c>
      <c r="F1899" s="457">
        <f>F1888</f>
        <v>870</v>
      </c>
      <c r="G1899" s="457">
        <f>TRUNC(D1899*F1899,2)</f>
        <v>870</v>
      </c>
      <c r="H1899" s="457"/>
    </row>
    <row r="1900" spans="1:8">
      <c r="B1900" s="450" t="s">
        <v>63</v>
      </c>
      <c r="C1900" s="484" t="s">
        <v>727</v>
      </c>
      <c r="D1900" s="488">
        <v>53.2</v>
      </c>
      <c r="E1900" s="451" t="s">
        <v>74</v>
      </c>
      <c r="F1900" s="457">
        <f>'Basic Rate'!F149</f>
        <v>60</v>
      </c>
      <c r="G1900" s="457">
        <f>TRUNC(D1900*F1900,2)</f>
        <v>3192</v>
      </c>
      <c r="H1900" s="457"/>
    </row>
    <row r="1901" spans="1:8">
      <c r="B1901" s="855" t="s">
        <v>165</v>
      </c>
      <c r="C1901" s="855"/>
      <c r="D1901" s="856" t="s">
        <v>61</v>
      </c>
      <c r="E1901" s="856"/>
      <c r="F1901" s="856"/>
      <c r="G1901" s="457">
        <f>SUM(G1898:G1900)</f>
        <v>5262</v>
      </c>
      <c r="H1901" s="457"/>
    </row>
    <row r="1902" spans="1:8">
      <c r="B1902" s="855"/>
      <c r="C1902" s="855"/>
      <c r="D1902" s="857" t="s">
        <v>573</v>
      </c>
      <c r="E1902" s="857"/>
      <c r="F1902" s="857"/>
      <c r="G1902" s="457">
        <f>INT(15%*G1901*100)/100</f>
        <v>789.3</v>
      </c>
      <c r="H1902" s="457"/>
    </row>
    <row r="1903" spans="1:8">
      <c r="B1903" s="855"/>
      <c r="C1903" s="855"/>
      <c r="D1903" s="856" t="s">
        <v>47</v>
      </c>
      <c r="E1903" s="856"/>
      <c r="F1903" s="856"/>
      <c r="G1903" s="457">
        <f>SUM(G1901:G1902)</f>
        <v>6051.3</v>
      </c>
      <c r="H1903" s="457"/>
    </row>
    <row r="1904" spans="1:8">
      <c r="B1904" s="494"/>
      <c r="C1904" s="494"/>
      <c r="D1904" s="476"/>
      <c r="E1904" s="476"/>
      <c r="F1904" s="584"/>
      <c r="G1904" s="477"/>
      <c r="H1904" s="477"/>
    </row>
    <row r="1906" spans="1:8" ht="24.75" customHeight="1">
      <c r="A1906" s="507">
        <v>8.25</v>
      </c>
      <c r="B1906" s="446" t="s">
        <v>414</v>
      </c>
      <c r="C1906" s="876" t="s">
        <v>413</v>
      </c>
      <c r="D1906" s="877"/>
      <c r="E1906" s="877"/>
      <c r="F1906" s="447" t="s">
        <v>50</v>
      </c>
      <c r="G1906" s="447">
        <f>TRUNC(G1913/10,2)</f>
        <v>2065.98</v>
      </c>
      <c r="H1906" s="448">
        <f>TRUNC(G1915/10,2)</f>
        <v>2375.88</v>
      </c>
    </row>
    <row r="1907" spans="1:8">
      <c r="A1907" s="592"/>
      <c r="B1907" s="450" t="s">
        <v>80</v>
      </c>
      <c r="C1907" s="451" t="s">
        <v>81</v>
      </c>
      <c r="D1907" s="451" t="s">
        <v>44</v>
      </c>
      <c r="E1907" s="451" t="s">
        <v>45</v>
      </c>
      <c r="F1907" s="452" t="s">
        <v>58</v>
      </c>
      <c r="G1907" s="452" t="s">
        <v>59</v>
      </c>
      <c r="H1907" s="452" t="s">
        <v>52</v>
      </c>
    </row>
    <row r="1908" spans="1:8">
      <c r="A1908" s="592"/>
      <c r="B1908" s="887" t="s">
        <v>60</v>
      </c>
      <c r="C1908" s="484" t="s">
        <v>69</v>
      </c>
      <c r="D1908" s="488">
        <v>13</v>
      </c>
      <c r="E1908" s="451" t="s">
        <v>46</v>
      </c>
      <c r="F1908" s="457">
        <f>F1898</f>
        <v>1200</v>
      </c>
      <c r="G1908" s="457">
        <f>TRUNC(D1908*F1908,2)</f>
        <v>15600</v>
      </c>
      <c r="H1908" s="457"/>
    </row>
    <row r="1909" spans="1:8" ht="12.75" customHeight="1">
      <c r="A1909" s="592"/>
      <c r="B1909" s="887"/>
      <c r="C1909" s="484" t="s">
        <v>43</v>
      </c>
      <c r="D1909" s="488">
        <v>4.5</v>
      </c>
      <c r="E1909" s="451" t="s">
        <v>46</v>
      </c>
      <c r="F1909" s="457">
        <f>F1899</f>
        <v>870</v>
      </c>
      <c r="G1909" s="457">
        <f>TRUNC(D1909*F1909,2)</f>
        <v>3915</v>
      </c>
      <c r="H1909" s="457"/>
    </row>
    <row r="1910" spans="1:8">
      <c r="A1910" s="592"/>
      <c r="B1910" s="887" t="s">
        <v>63</v>
      </c>
      <c r="C1910" s="490" t="s">
        <v>821</v>
      </c>
      <c r="D1910" s="488">
        <v>11</v>
      </c>
      <c r="E1910" s="451" t="s">
        <v>50</v>
      </c>
      <c r="F1910" s="457">
        <f>'Basic Rate'!F57</f>
        <v>2.407</v>
      </c>
      <c r="G1910" s="457">
        <f>TRUNC(D1910*F1910,2)</f>
        <v>26.47</v>
      </c>
      <c r="H1910" s="457"/>
    </row>
    <row r="1911" spans="1:8" ht="12.75" customHeight="1">
      <c r="A1911" s="592"/>
      <c r="B1911" s="887"/>
      <c r="C1911" s="484" t="s">
        <v>70</v>
      </c>
      <c r="D1911" s="488">
        <v>5.6000000000000001E-2</v>
      </c>
      <c r="E1911" s="451" t="s">
        <v>71</v>
      </c>
      <c r="F1911" s="457">
        <f>'Basic Rate'!F35</f>
        <v>14000</v>
      </c>
      <c r="G1911" s="457">
        <f>TRUNC(D1911*F1911,2)</f>
        <v>784</v>
      </c>
      <c r="H1911" s="457"/>
    </row>
    <row r="1912" spans="1:8" ht="12.75" customHeight="1">
      <c r="A1912" s="592"/>
      <c r="B1912" s="887"/>
      <c r="C1912" s="528" t="str">
        <f>C1852</f>
        <v xml:space="preserve">Sand  river washed </v>
      </c>
      <c r="D1912" s="488">
        <v>0.152</v>
      </c>
      <c r="E1912" s="451" t="s">
        <v>68</v>
      </c>
      <c r="F1912" s="457">
        <f>F1861</f>
        <v>2200</v>
      </c>
      <c r="G1912" s="457">
        <f>TRUNC(D1912*F1912,2)</f>
        <v>334.4</v>
      </c>
      <c r="H1912" s="457"/>
    </row>
    <row r="1913" spans="1:8">
      <c r="A1913" s="592"/>
      <c r="B1913" s="855" t="s">
        <v>165</v>
      </c>
      <c r="C1913" s="855"/>
      <c r="D1913" s="856" t="s">
        <v>61</v>
      </c>
      <c r="E1913" s="856"/>
      <c r="F1913" s="856"/>
      <c r="G1913" s="457">
        <f>SUM(G1908:G1912)</f>
        <v>20659.870000000003</v>
      </c>
      <c r="H1913" s="457"/>
    </row>
    <row r="1914" spans="1:8">
      <c r="A1914" s="592"/>
      <c r="B1914" s="855"/>
      <c r="C1914" s="855"/>
      <c r="D1914" s="857" t="s">
        <v>573</v>
      </c>
      <c r="E1914" s="857"/>
      <c r="F1914" s="857"/>
      <c r="G1914" s="457">
        <f>INT(15%*G1913*100)/100</f>
        <v>3098.98</v>
      </c>
      <c r="H1914" s="457"/>
    </row>
    <row r="1915" spans="1:8">
      <c r="A1915" s="592"/>
      <c r="B1915" s="855"/>
      <c r="C1915" s="855"/>
      <c r="D1915" s="856" t="s">
        <v>47</v>
      </c>
      <c r="E1915" s="856"/>
      <c r="F1915" s="856"/>
      <c r="G1915" s="457">
        <f>SUM(G1913:G1914)</f>
        <v>23758.850000000002</v>
      </c>
      <c r="H1915" s="457"/>
    </row>
    <row r="1918" spans="1:8" ht="36.75" customHeight="1">
      <c r="A1918" s="507">
        <v>8.26</v>
      </c>
      <c r="B1918" s="446" t="s">
        <v>415</v>
      </c>
      <c r="C1918" s="888" t="s">
        <v>1058</v>
      </c>
      <c r="D1918" s="889"/>
      <c r="E1918" s="890"/>
      <c r="F1918" s="447" t="s">
        <v>50</v>
      </c>
      <c r="G1918" s="447">
        <f>TRUNC(G1930/10,2)</f>
        <v>2404.9699999999998</v>
      </c>
      <c r="H1918" s="448">
        <f>TRUNC(G1932/10,2)</f>
        <v>2765.72</v>
      </c>
    </row>
    <row r="1919" spans="1:8">
      <c r="A1919" s="592"/>
      <c r="B1919" s="450" t="s">
        <v>80</v>
      </c>
      <c r="C1919" s="451" t="s">
        <v>81</v>
      </c>
      <c r="D1919" s="451" t="s">
        <v>44</v>
      </c>
      <c r="E1919" s="451" t="s">
        <v>45</v>
      </c>
      <c r="F1919" s="452" t="s">
        <v>58</v>
      </c>
      <c r="G1919" s="452" t="s">
        <v>59</v>
      </c>
      <c r="H1919" s="452" t="s">
        <v>52</v>
      </c>
    </row>
    <row r="1920" spans="1:8">
      <c r="A1920" s="592"/>
      <c r="B1920" s="864" t="s">
        <v>60</v>
      </c>
      <c r="C1920" s="484" t="s">
        <v>69</v>
      </c>
      <c r="D1920" s="488">
        <v>2</v>
      </c>
      <c r="E1920" s="451" t="s">
        <v>46</v>
      </c>
      <c r="F1920" s="457">
        <f>F1908</f>
        <v>1200</v>
      </c>
      <c r="G1920" s="457">
        <f t="shared" ref="G1920:G1929" si="110">TRUNC(D1920*F1920,2)</f>
        <v>2400</v>
      </c>
      <c r="H1920" s="457"/>
    </row>
    <row r="1921" spans="1:8">
      <c r="A1921" s="592"/>
      <c r="B1921" s="865"/>
      <c r="C1921" s="484" t="s">
        <v>43</v>
      </c>
      <c r="D1921" s="488">
        <v>8</v>
      </c>
      <c r="E1921" s="451" t="s">
        <v>46</v>
      </c>
      <c r="F1921" s="457">
        <f>F1909</f>
        <v>870</v>
      </c>
      <c r="G1921" s="457">
        <f>TRUNC(D1921*F1921,2)</f>
        <v>6960</v>
      </c>
      <c r="H1921" s="457"/>
    </row>
    <row r="1922" spans="1:8">
      <c r="A1922" s="592"/>
      <c r="B1922" s="864" t="s">
        <v>63</v>
      </c>
      <c r="C1922" s="454" t="s">
        <v>1059</v>
      </c>
      <c r="D1922" s="488">
        <v>11</v>
      </c>
      <c r="E1922" s="451" t="s">
        <v>50</v>
      </c>
      <c r="F1922" s="457">
        <f>'Basic Rate'!$F$90</f>
        <v>0</v>
      </c>
      <c r="G1922" s="457">
        <f t="shared" si="110"/>
        <v>0</v>
      </c>
      <c r="H1922" s="457"/>
    </row>
    <row r="1923" spans="1:8">
      <c r="A1923" s="592"/>
      <c r="B1923" s="868"/>
      <c r="C1923" s="484" t="s">
        <v>70</v>
      </c>
      <c r="D1923" s="600">
        <v>0.13</v>
      </c>
      <c r="E1923" s="451" t="s">
        <v>71</v>
      </c>
      <c r="F1923" s="457">
        <f>F1911</f>
        <v>14000</v>
      </c>
      <c r="G1923" s="457">
        <f t="shared" si="110"/>
        <v>1820</v>
      </c>
      <c r="H1923" s="457"/>
    </row>
    <row r="1924" spans="1:8">
      <c r="A1924" s="592"/>
      <c r="B1924" s="868"/>
      <c r="C1924" s="528" t="str">
        <f>C1912</f>
        <v xml:space="preserve">Sand  river washed </v>
      </c>
      <c r="D1924" s="550">
        <v>0.183</v>
      </c>
      <c r="E1924" s="451" t="s">
        <v>68</v>
      </c>
      <c r="F1924" s="457">
        <f>'Basic Rate'!F173</f>
        <v>2200</v>
      </c>
      <c r="G1924" s="457">
        <f>TRUNC(D1924*F1924,2)</f>
        <v>402.6</v>
      </c>
      <c r="H1924" s="457"/>
    </row>
    <row r="1925" spans="1:8">
      <c r="A1925" s="592"/>
      <c r="B1925" s="868"/>
      <c r="C1925" s="454" t="s">
        <v>705</v>
      </c>
      <c r="D1925" s="488">
        <v>0.37</v>
      </c>
      <c r="E1925" s="451" t="s">
        <v>74</v>
      </c>
      <c r="F1925" s="457">
        <f>'Basic Rate'!F144</f>
        <v>191</v>
      </c>
      <c r="G1925" s="457">
        <f t="shared" si="110"/>
        <v>70.67</v>
      </c>
      <c r="H1925" s="457"/>
    </row>
    <row r="1926" spans="1:8">
      <c r="A1926" s="592"/>
      <c r="B1926" s="868"/>
      <c r="C1926" s="454" t="s">
        <v>105</v>
      </c>
      <c r="D1926" s="488">
        <v>0.11799999999999999</v>
      </c>
      <c r="E1926" s="451" t="s">
        <v>74</v>
      </c>
      <c r="F1926" s="457">
        <f>'Basic Rate'!F113</f>
        <v>578</v>
      </c>
      <c r="G1926" s="457">
        <f t="shared" si="110"/>
        <v>68.2</v>
      </c>
      <c r="H1926" s="457"/>
    </row>
    <row r="1927" spans="1:8">
      <c r="A1927" s="592"/>
      <c r="B1927" s="868"/>
      <c r="C1927" s="484" t="s">
        <v>106</v>
      </c>
      <c r="D1927" s="488">
        <v>0.53800000000000003</v>
      </c>
      <c r="E1927" s="451" t="s">
        <v>107</v>
      </c>
      <c r="F1927" s="457">
        <f>'Basic Rate'!F197</f>
        <v>140</v>
      </c>
      <c r="G1927" s="457">
        <f t="shared" si="110"/>
        <v>75.319999999999993</v>
      </c>
      <c r="H1927" s="457"/>
    </row>
    <row r="1928" spans="1:8">
      <c r="A1928" s="592"/>
      <c r="B1928" s="865"/>
      <c r="C1928" s="454" t="s">
        <v>108</v>
      </c>
      <c r="D1928" s="488">
        <v>2</v>
      </c>
      <c r="E1928" s="455" t="s">
        <v>46</v>
      </c>
      <c r="F1928" s="457">
        <f>'Basic Rate'!F34</f>
        <v>254</v>
      </c>
      <c r="G1928" s="457">
        <f t="shared" si="110"/>
        <v>508</v>
      </c>
      <c r="H1928" s="457" t="s">
        <v>109</v>
      </c>
    </row>
    <row r="1929" spans="1:8">
      <c r="A1929" s="592"/>
      <c r="B1929" s="529" t="s">
        <v>313</v>
      </c>
      <c r="C1929" s="484" t="s">
        <v>43</v>
      </c>
      <c r="D1929" s="488">
        <v>13.5</v>
      </c>
      <c r="E1929" s="455" t="s">
        <v>46</v>
      </c>
      <c r="F1929" s="457">
        <f>F1921</f>
        <v>870</v>
      </c>
      <c r="G1929" s="457">
        <f t="shared" si="110"/>
        <v>11745</v>
      </c>
      <c r="H1929" s="457"/>
    </row>
    <row r="1930" spans="1:8">
      <c r="A1930" s="592"/>
      <c r="B1930" s="855" t="s">
        <v>165</v>
      </c>
      <c r="C1930" s="855"/>
      <c r="D1930" s="856" t="s">
        <v>61</v>
      </c>
      <c r="E1930" s="856"/>
      <c r="F1930" s="856"/>
      <c r="G1930" s="457">
        <f>SUM(G1920:G1929)</f>
        <v>24049.79</v>
      </c>
      <c r="H1930" s="457"/>
    </row>
    <row r="1931" spans="1:8">
      <c r="A1931" s="592"/>
      <c r="B1931" s="855"/>
      <c r="C1931" s="855"/>
      <c r="D1931" s="857" t="s">
        <v>573</v>
      </c>
      <c r="E1931" s="857"/>
      <c r="F1931" s="857"/>
      <c r="G1931" s="457">
        <f>INT(15%*G1930*100)/100</f>
        <v>3607.46</v>
      </c>
      <c r="H1931" s="457"/>
    </row>
    <row r="1932" spans="1:8">
      <c r="A1932" s="592"/>
      <c r="B1932" s="855"/>
      <c r="C1932" s="855"/>
      <c r="D1932" s="856" t="s">
        <v>47</v>
      </c>
      <c r="E1932" s="856"/>
      <c r="F1932" s="856"/>
      <c r="G1932" s="457">
        <f>SUM(G1930:G1931)</f>
        <v>27657.25</v>
      </c>
      <c r="H1932" s="457"/>
    </row>
    <row r="1933" spans="1:8">
      <c r="A1933" s="592"/>
      <c r="B1933" s="532"/>
      <c r="C1933" s="601"/>
      <c r="D1933" s="498"/>
      <c r="E1933" s="498"/>
      <c r="F1933" s="451"/>
      <c r="G1933" s="457"/>
      <c r="H1933" s="457"/>
    </row>
    <row r="1934" spans="1:8" ht="30.75" customHeight="1">
      <c r="A1934" s="507">
        <v>8.27</v>
      </c>
      <c r="B1934" s="446"/>
      <c r="C1934" s="876" t="s">
        <v>1063</v>
      </c>
      <c r="D1934" s="877"/>
      <c r="E1934" s="877"/>
      <c r="F1934" s="447" t="s">
        <v>50</v>
      </c>
      <c r="G1934" s="447">
        <f>TRUNC(G1942/10,2)</f>
        <v>2220.35</v>
      </c>
      <c r="H1934" s="448">
        <f>TRUNC(G1944/10,2)</f>
        <v>2553.4</v>
      </c>
    </row>
    <row r="1935" spans="1:8">
      <c r="A1935" s="592"/>
      <c r="B1935" s="450" t="s">
        <v>80</v>
      </c>
      <c r="C1935" s="451" t="s">
        <v>81</v>
      </c>
      <c r="D1935" s="451" t="s">
        <v>44</v>
      </c>
      <c r="E1935" s="451" t="s">
        <v>45</v>
      </c>
      <c r="F1935" s="452" t="s">
        <v>58</v>
      </c>
      <c r="G1935" s="452" t="s">
        <v>59</v>
      </c>
      <c r="H1935" s="452" t="s">
        <v>52</v>
      </c>
    </row>
    <row r="1936" spans="1:8">
      <c r="A1936" s="592"/>
      <c r="B1936" s="864" t="s">
        <v>60</v>
      </c>
      <c r="C1936" s="484" t="s">
        <v>69</v>
      </c>
      <c r="D1936" s="488">
        <v>1</v>
      </c>
      <c r="E1936" s="451" t="s">
        <v>46</v>
      </c>
      <c r="F1936" s="457">
        <f>F1920</f>
        <v>1200</v>
      </c>
      <c r="G1936" s="457">
        <f t="shared" ref="G1936:G1941" si="111">TRUNC(D1936*F1936,2)</f>
        <v>1200</v>
      </c>
      <c r="H1936" s="457"/>
    </row>
    <row r="1937" spans="1:8" ht="12" customHeight="1">
      <c r="A1937" s="592"/>
      <c r="B1937" s="868"/>
      <c r="C1937" s="484" t="s">
        <v>43</v>
      </c>
      <c r="D1937" s="488">
        <v>3</v>
      </c>
      <c r="E1937" s="451" t="s">
        <v>46</v>
      </c>
      <c r="F1937" s="457">
        <f>F1921</f>
        <v>870</v>
      </c>
      <c r="G1937" s="457">
        <f t="shared" si="111"/>
        <v>2610</v>
      </c>
      <c r="H1937" s="457"/>
    </row>
    <row r="1938" spans="1:8" ht="12" customHeight="1">
      <c r="A1938" s="592"/>
      <c r="B1938" s="868"/>
      <c r="C1938" s="484" t="s">
        <v>43</v>
      </c>
      <c r="D1938" s="488">
        <v>7</v>
      </c>
      <c r="E1938" s="451" t="s">
        <v>46</v>
      </c>
      <c r="F1938" s="457">
        <f>F1937</f>
        <v>870</v>
      </c>
      <c r="G1938" s="457">
        <f t="shared" si="111"/>
        <v>6090</v>
      </c>
      <c r="H1938" s="457"/>
    </row>
    <row r="1939" spans="1:8">
      <c r="A1939" s="592"/>
      <c r="B1939" s="864" t="s">
        <v>63</v>
      </c>
      <c r="C1939" s="454" t="s">
        <v>966</v>
      </c>
      <c r="D1939" s="488">
        <v>11</v>
      </c>
      <c r="E1939" s="451" t="s">
        <v>50</v>
      </c>
      <c r="F1939" s="457">
        <f>'Basic Rate'!D102</f>
        <v>973.45132743362831</v>
      </c>
      <c r="G1939" s="457">
        <f t="shared" si="111"/>
        <v>10707.96</v>
      </c>
      <c r="H1939" s="457"/>
    </row>
    <row r="1940" spans="1:8">
      <c r="A1940" s="592"/>
      <c r="B1940" s="868"/>
      <c r="C1940" s="454" t="str">
        <f>'Basic Rate'!B191</f>
        <v>Stone dust</v>
      </c>
      <c r="D1940" s="488">
        <v>0.55000000000000004</v>
      </c>
      <c r="E1940" s="451" t="s">
        <v>50</v>
      </c>
      <c r="F1940" s="457">
        <f>'Basic Rate'!F191*0.05</f>
        <v>61</v>
      </c>
      <c r="G1940" s="457">
        <f t="shared" si="111"/>
        <v>33.549999999999997</v>
      </c>
      <c r="H1940" s="457"/>
    </row>
    <row r="1941" spans="1:8">
      <c r="A1941" s="592"/>
      <c r="B1941" s="868"/>
      <c r="C1941" s="528" t="s">
        <v>793</v>
      </c>
      <c r="D1941" s="488">
        <v>0.71</v>
      </c>
      <c r="E1941" s="451" t="s">
        <v>68</v>
      </c>
      <c r="F1941" s="457">
        <f>'Basic Rate'!F173</f>
        <v>2200</v>
      </c>
      <c r="G1941" s="457">
        <f t="shared" si="111"/>
        <v>1562</v>
      </c>
      <c r="H1941" s="457"/>
    </row>
    <row r="1942" spans="1:8">
      <c r="A1942" s="592"/>
      <c r="B1942" s="855" t="s">
        <v>165</v>
      </c>
      <c r="C1942" s="855"/>
      <c r="D1942" s="856" t="s">
        <v>61</v>
      </c>
      <c r="E1942" s="856"/>
      <c r="F1942" s="856"/>
      <c r="G1942" s="457">
        <f>SUM(G1936:G1941)</f>
        <v>22203.51</v>
      </c>
      <c r="H1942" s="457"/>
    </row>
    <row r="1943" spans="1:8">
      <c r="A1943" s="592"/>
      <c r="B1943" s="855"/>
      <c r="C1943" s="855"/>
      <c r="D1943" s="857" t="s">
        <v>573</v>
      </c>
      <c r="E1943" s="857"/>
      <c r="F1943" s="857"/>
      <c r="G1943" s="457">
        <f>INT(15%*G1942*100)/100</f>
        <v>3330.52</v>
      </c>
      <c r="H1943" s="457"/>
    </row>
    <row r="1944" spans="1:8">
      <c r="A1944" s="592"/>
      <c r="B1944" s="855"/>
      <c r="C1944" s="855"/>
      <c r="D1944" s="856" t="s">
        <v>47</v>
      </c>
      <c r="E1944" s="856"/>
      <c r="F1944" s="856"/>
      <c r="G1944" s="457">
        <f>SUM(G1942:G1943)</f>
        <v>25534.03</v>
      </c>
      <c r="H1944" s="457"/>
    </row>
    <row r="1945" spans="1:8">
      <c r="A1945" s="592"/>
      <c r="B1945" s="458"/>
      <c r="C1945" s="458"/>
      <c r="F1945" s="459"/>
      <c r="G1945" s="460"/>
      <c r="H1945" s="460"/>
    </row>
    <row r="1946" spans="1:8" s="495" customFormat="1" ht="30.75" customHeight="1">
      <c r="A1946" s="507">
        <v>8.2799999999999994</v>
      </c>
      <c r="B1946" s="446"/>
      <c r="C1946" s="886" t="s">
        <v>1064</v>
      </c>
      <c r="D1946" s="886"/>
      <c r="E1946" s="886"/>
      <c r="F1946" s="447" t="s">
        <v>50</v>
      </c>
      <c r="G1946" s="447">
        <f>TRUNC(G1954/10,2)</f>
        <v>2366.36</v>
      </c>
      <c r="H1946" s="448">
        <f>TRUNC(G1956/10,2)</f>
        <v>2721.32</v>
      </c>
    </row>
    <row r="1947" spans="1:8">
      <c r="A1947" s="592"/>
      <c r="B1947" s="450" t="s">
        <v>80</v>
      </c>
      <c r="C1947" s="451" t="s">
        <v>81</v>
      </c>
      <c r="D1947" s="451" t="s">
        <v>44</v>
      </c>
      <c r="E1947" s="451" t="s">
        <v>45</v>
      </c>
      <c r="F1947" s="452" t="s">
        <v>58</v>
      </c>
      <c r="G1947" s="452" t="s">
        <v>59</v>
      </c>
      <c r="H1947" s="452" t="s">
        <v>52</v>
      </c>
    </row>
    <row r="1948" spans="1:8">
      <c r="A1948" s="592"/>
      <c r="B1948" s="864" t="s">
        <v>60</v>
      </c>
      <c r="C1948" s="484" t="s">
        <v>69</v>
      </c>
      <c r="D1948" s="488">
        <v>1</v>
      </c>
      <c r="E1948" s="451" t="s">
        <v>46</v>
      </c>
      <c r="F1948" s="457">
        <f>F1936</f>
        <v>1200</v>
      </c>
      <c r="G1948" s="457">
        <f t="shared" ref="G1948:G1953" si="112">TRUNC(D1948*F1948,2)</f>
        <v>1200</v>
      </c>
      <c r="H1948" s="457"/>
    </row>
    <row r="1949" spans="1:8" ht="12" customHeight="1">
      <c r="A1949" s="592"/>
      <c r="B1949" s="868"/>
      <c r="C1949" s="484" t="s">
        <v>43</v>
      </c>
      <c r="D1949" s="488">
        <v>3</v>
      </c>
      <c r="E1949" s="451" t="s">
        <v>46</v>
      </c>
      <c r="F1949" s="457">
        <f>F1937</f>
        <v>870</v>
      </c>
      <c r="G1949" s="457">
        <f t="shared" si="112"/>
        <v>2610</v>
      </c>
      <c r="H1949" s="457"/>
    </row>
    <row r="1950" spans="1:8" ht="12" customHeight="1">
      <c r="A1950" s="592"/>
      <c r="B1950" s="868"/>
      <c r="C1950" s="484" t="s">
        <v>43</v>
      </c>
      <c r="D1950" s="488">
        <v>7</v>
      </c>
      <c r="E1950" s="451" t="s">
        <v>46</v>
      </c>
      <c r="F1950" s="457">
        <f>F1949</f>
        <v>870</v>
      </c>
      <c r="G1950" s="457">
        <f t="shared" si="112"/>
        <v>6090</v>
      </c>
      <c r="H1950" s="457"/>
    </row>
    <row r="1951" spans="1:8">
      <c r="A1951" s="592"/>
      <c r="B1951" s="864" t="s">
        <v>63</v>
      </c>
      <c r="C1951" s="454" t="s">
        <v>966</v>
      </c>
      <c r="D1951" s="488">
        <v>11</v>
      </c>
      <c r="E1951" s="451" t="s">
        <v>50</v>
      </c>
      <c r="F1951" s="457">
        <f>'Basic Rate'!F103</f>
        <v>1106.1946902654868</v>
      </c>
      <c r="G1951" s="457">
        <f t="shared" si="112"/>
        <v>12168.14</v>
      </c>
      <c r="H1951" s="457"/>
    </row>
    <row r="1952" spans="1:8">
      <c r="A1952" s="592"/>
      <c r="B1952" s="868"/>
      <c r="C1952" s="454" t="str">
        <f>C1940</f>
        <v>Stone dust</v>
      </c>
      <c r="D1952" s="488">
        <v>0.55000000000000004</v>
      </c>
      <c r="E1952" s="451" t="s">
        <v>50</v>
      </c>
      <c r="F1952" s="457">
        <f>F1940</f>
        <v>61</v>
      </c>
      <c r="G1952" s="457">
        <f t="shared" si="112"/>
        <v>33.549999999999997</v>
      </c>
      <c r="H1952" s="457"/>
    </row>
    <row r="1953" spans="1:8">
      <c r="A1953" s="592"/>
      <c r="B1953" s="868"/>
      <c r="C1953" s="528" t="s">
        <v>793</v>
      </c>
      <c r="D1953" s="488">
        <v>0.71</v>
      </c>
      <c r="E1953" s="451" t="s">
        <v>68</v>
      </c>
      <c r="F1953" s="457">
        <f>F1964</f>
        <v>2200</v>
      </c>
      <c r="G1953" s="457">
        <f t="shared" si="112"/>
        <v>1562</v>
      </c>
      <c r="H1953" s="457"/>
    </row>
    <row r="1954" spans="1:8">
      <c r="A1954" s="592"/>
      <c r="B1954" s="855" t="s">
        <v>165</v>
      </c>
      <c r="C1954" s="855"/>
      <c r="D1954" s="856" t="s">
        <v>61</v>
      </c>
      <c r="E1954" s="856"/>
      <c r="F1954" s="856"/>
      <c r="G1954" s="457">
        <f>SUM(G1948:G1953)</f>
        <v>23663.69</v>
      </c>
      <c r="H1954" s="457"/>
    </row>
    <row r="1955" spans="1:8">
      <c r="A1955" s="592"/>
      <c r="B1955" s="855"/>
      <c r="C1955" s="855"/>
      <c r="D1955" s="857" t="s">
        <v>573</v>
      </c>
      <c r="E1955" s="857"/>
      <c r="F1955" s="857"/>
      <c r="G1955" s="457">
        <f>INT(15%*G1954*100)/100</f>
        <v>3549.55</v>
      </c>
      <c r="H1955" s="457"/>
    </row>
    <row r="1956" spans="1:8">
      <c r="A1956" s="592"/>
      <c r="B1956" s="855"/>
      <c r="C1956" s="855"/>
      <c r="D1956" s="856" t="s">
        <v>47</v>
      </c>
      <c r="E1956" s="856"/>
      <c r="F1956" s="856"/>
      <c r="G1956" s="457">
        <f>SUM(G1954:G1955)</f>
        <v>27213.239999999998</v>
      </c>
      <c r="H1956" s="457"/>
    </row>
    <row r="1957" spans="1:8" s="495" customFormat="1" ht="30.75" customHeight="1">
      <c r="A1957" s="507">
        <v>8.2899999999999991</v>
      </c>
      <c r="B1957" s="446"/>
      <c r="C1957" s="888" t="s">
        <v>1082</v>
      </c>
      <c r="D1957" s="889"/>
      <c r="E1957" s="889"/>
      <c r="F1957" s="447" t="s">
        <v>50</v>
      </c>
      <c r="G1957" s="447">
        <f>TRUNC(G1965/10,2)</f>
        <v>2561.0500000000002</v>
      </c>
      <c r="H1957" s="448">
        <f>TRUNC(G1967/10,2)</f>
        <v>2945.21</v>
      </c>
    </row>
    <row r="1958" spans="1:8">
      <c r="A1958" s="592"/>
      <c r="B1958" s="450" t="s">
        <v>80</v>
      </c>
      <c r="C1958" s="451" t="s">
        <v>81</v>
      </c>
      <c r="D1958" s="451" t="s">
        <v>44</v>
      </c>
      <c r="E1958" s="451" t="s">
        <v>45</v>
      </c>
      <c r="F1958" s="452" t="s">
        <v>58</v>
      </c>
      <c r="G1958" s="452" t="s">
        <v>59</v>
      </c>
      <c r="H1958" s="452" t="s">
        <v>52</v>
      </c>
    </row>
    <row r="1959" spans="1:8">
      <c r="A1959" s="592"/>
      <c r="B1959" s="864" t="s">
        <v>60</v>
      </c>
      <c r="C1959" s="484" t="s">
        <v>69</v>
      </c>
      <c r="D1959" s="488">
        <v>1</v>
      </c>
      <c r="E1959" s="451" t="s">
        <v>46</v>
      </c>
      <c r="F1959" s="457">
        <f>F1948</f>
        <v>1200</v>
      </c>
      <c r="G1959" s="457">
        <f t="shared" ref="G1959:G1964" si="113">TRUNC(D1959*F1959,2)</f>
        <v>1200</v>
      </c>
      <c r="H1959" s="457"/>
    </row>
    <row r="1960" spans="1:8" ht="12" customHeight="1">
      <c r="A1960" s="592"/>
      <c r="B1960" s="868"/>
      <c r="C1960" s="484" t="s">
        <v>43</v>
      </c>
      <c r="D1960" s="488">
        <v>3</v>
      </c>
      <c r="E1960" s="451" t="s">
        <v>46</v>
      </c>
      <c r="F1960" s="457">
        <f>F1949</f>
        <v>870</v>
      </c>
      <c r="G1960" s="457">
        <f t="shared" si="113"/>
        <v>2610</v>
      </c>
      <c r="H1960" s="457"/>
    </row>
    <row r="1961" spans="1:8" ht="12" customHeight="1">
      <c r="A1961" s="592"/>
      <c r="B1961" s="868"/>
      <c r="C1961" s="484" t="s">
        <v>43</v>
      </c>
      <c r="D1961" s="488">
        <v>7</v>
      </c>
      <c r="E1961" s="451" t="s">
        <v>46</v>
      </c>
      <c r="F1961" s="457">
        <f>F1960</f>
        <v>870</v>
      </c>
      <c r="G1961" s="457">
        <f t="shared" si="113"/>
        <v>6090</v>
      </c>
      <c r="H1961" s="457"/>
    </row>
    <row r="1962" spans="1:8">
      <c r="A1962" s="592"/>
      <c r="B1962" s="864" t="s">
        <v>63</v>
      </c>
      <c r="C1962" s="454" t="s">
        <v>966</v>
      </c>
      <c r="D1962" s="488">
        <v>11</v>
      </c>
      <c r="E1962" s="451" t="s">
        <v>50</v>
      </c>
      <c r="F1962" s="457">
        <f>'Basic Rate'!D104</f>
        <v>1283.1858407079646</v>
      </c>
      <c r="G1962" s="457">
        <f t="shared" si="113"/>
        <v>14115.04</v>
      </c>
      <c r="H1962" s="457"/>
    </row>
    <row r="1963" spans="1:8">
      <c r="A1963" s="592"/>
      <c r="B1963" s="868"/>
      <c r="C1963" s="454" t="str">
        <f>C1952</f>
        <v>Stone dust</v>
      </c>
      <c r="D1963" s="488">
        <v>0.55000000000000004</v>
      </c>
      <c r="E1963" s="451" t="s">
        <v>50</v>
      </c>
      <c r="F1963" s="457">
        <f>F1952</f>
        <v>61</v>
      </c>
      <c r="G1963" s="457">
        <f t="shared" si="113"/>
        <v>33.549999999999997</v>
      </c>
      <c r="H1963" s="457"/>
    </row>
    <row r="1964" spans="1:8">
      <c r="A1964" s="592"/>
      <c r="B1964" s="868"/>
      <c r="C1964" s="528" t="s">
        <v>793</v>
      </c>
      <c r="D1964" s="488">
        <v>0.71</v>
      </c>
      <c r="E1964" s="451" t="s">
        <v>68</v>
      </c>
      <c r="F1964" s="457">
        <f>F1941</f>
        <v>2200</v>
      </c>
      <c r="G1964" s="457">
        <f t="shared" si="113"/>
        <v>1562</v>
      </c>
      <c r="H1964" s="457"/>
    </row>
    <row r="1965" spans="1:8">
      <c r="A1965" s="592"/>
      <c r="B1965" s="855" t="s">
        <v>165</v>
      </c>
      <c r="C1965" s="855"/>
      <c r="D1965" s="856" t="s">
        <v>61</v>
      </c>
      <c r="E1965" s="856"/>
      <c r="F1965" s="856"/>
      <c r="G1965" s="457">
        <f>SUM(G1959:G1964)</f>
        <v>25610.59</v>
      </c>
      <c r="H1965" s="457"/>
    </row>
    <row r="1966" spans="1:8">
      <c r="A1966" s="592"/>
      <c r="B1966" s="855"/>
      <c r="C1966" s="855"/>
      <c r="D1966" s="857" t="s">
        <v>573</v>
      </c>
      <c r="E1966" s="857"/>
      <c r="F1966" s="857"/>
      <c r="G1966" s="457">
        <f>INT(15%*G1965*100)/100</f>
        <v>3841.58</v>
      </c>
      <c r="H1966" s="457"/>
    </row>
    <row r="1967" spans="1:8">
      <c r="A1967" s="592"/>
      <c r="B1967" s="855"/>
      <c r="C1967" s="855"/>
      <c r="D1967" s="856" t="s">
        <v>47</v>
      </c>
      <c r="E1967" s="856"/>
      <c r="F1967" s="856"/>
      <c r="G1967" s="457">
        <f>SUM(G1965:G1966)</f>
        <v>29452.17</v>
      </c>
      <c r="H1967" s="457"/>
    </row>
    <row r="1968" spans="1:8" ht="30.75" customHeight="1">
      <c r="A1968" s="507">
        <v>8.3000000000000007</v>
      </c>
      <c r="B1968" s="446"/>
      <c r="C1968" s="876" t="s">
        <v>970</v>
      </c>
      <c r="D1968" s="877"/>
      <c r="E1968" s="877"/>
      <c r="F1968" s="447" t="s">
        <v>50</v>
      </c>
      <c r="G1968" s="447">
        <f>TRUNC(G1976/10,2)</f>
        <v>1152.25</v>
      </c>
      <c r="H1968" s="448">
        <f>TRUNC(G1978/10,2)</f>
        <v>1325.08</v>
      </c>
    </row>
    <row r="1969" spans="1:8">
      <c r="A1969" s="592"/>
      <c r="B1969" s="450" t="s">
        <v>80</v>
      </c>
      <c r="C1969" s="451" t="s">
        <v>81</v>
      </c>
      <c r="D1969" s="451" t="s">
        <v>44</v>
      </c>
      <c r="E1969" s="451" t="s">
        <v>45</v>
      </c>
      <c r="F1969" s="452" t="s">
        <v>58</v>
      </c>
      <c r="G1969" s="452" t="s">
        <v>59</v>
      </c>
      <c r="H1969" s="452" t="s">
        <v>52</v>
      </c>
    </row>
    <row r="1970" spans="1:8">
      <c r="A1970" s="592"/>
      <c r="B1970" s="864" t="s">
        <v>60</v>
      </c>
      <c r="C1970" s="484" t="s">
        <v>69</v>
      </c>
      <c r="D1970" s="488">
        <v>1</v>
      </c>
      <c r="E1970" s="451" t="s">
        <v>46</v>
      </c>
      <c r="F1970" s="457">
        <f>LOOKUP(C1970,'Basic Rate'!$B$8:$B$328,'Basic Rate'!$F$8:$F$328)</f>
        <v>1200</v>
      </c>
      <c r="G1970" s="457">
        <f t="shared" ref="G1970:G1975" si="114">TRUNC(D1970*F1970,2)</f>
        <v>1200</v>
      </c>
      <c r="H1970" s="457"/>
    </row>
    <row r="1971" spans="1:8" ht="12" customHeight="1">
      <c r="A1971" s="592"/>
      <c r="B1971" s="868"/>
      <c r="C1971" s="484" t="s">
        <v>43</v>
      </c>
      <c r="D1971" s="488">
        <v>3</v>
      </c>
      <c r="E1971" s="451" t="s">
        <v>46</v>
      </c>
      <c r="F1971" s="457">
        <f>LOOKUP(C1971,'Basic Rate'!$B$8:$B$328,'Basic Rate'!$F$8:$F$328)</f>
        <v>870</v>
      </c>
      <c r="G1971" s="457">
        <f t="shared" si="114"/>
        <v>2610</v>
      </c>
      <c r="H1971" s="457"/>
    </row>
    <row r="1972" spans="1:8" ht="12" customHeight="1">
      <c r="A1972" s="592"/>
      <c r="B1972" s="868"/>
      <c r="C1972" s="484" t="s">
        <v>43</v>
      </c>
      <c r="D1972" s="488">
        <v>7</v>
      </c>
      <c r="E1972" s="451" t="s">
        <v>46</v>
      </c>
      <c r="F1972" s="457">
        <f>LOOKUP(C1972,'Basic Rate'!$B$8:$B$328,'Basic Rate'!$F$8:$F$328)</f>
        <v>870</v>
      </c>
      <c r="G1972" s="457">
        <f t="shared" si="114"/>
        <v>6090</v>
      </c>
      <c r="H1972" s="457"/>
    </row>
    <row r="1973" spans="1:8">
      <c r="A1973" s="592"/>
      <c r="B1973" s="864" t="s">
        <v>63</v>
      </c>
      <c r="C1973" s="454" t="s">
        <v>972</v>
      </c>
      <c r="D1973" s="488">
        <v>11</v>
      </c>
      <c r="E1973" s="451" t="s">
        <v>50</v>
      </c>
      <c r="F1973" s="457">
        <f>'Basic Rate'!F146</f>
        <v>0</v>
      </c>
      <c r="G1973" s="457">
        <f t="shared" si="114"/>
        <v>0</v>
      </c>
      <c r="H1973" s="457"/>
    </row>
    <row r="1974" spans="1:8">
      <c r="A1974" s="592"/>
      <c r="B1974" s="868"/>
      <c r="C1974" s="454" t="s">
        <v>967</v>
      </c>
      <c r="D1974" s="488">
        <v>0.55000000000000004</v>
      </c>
      <c r="E1974" s="451" t="s">
        <v>50</v>
      </c>
      <c r="F1974" s="457">
        <f>F1975*0.05</f>
        <v>110</v>
      </c>
      <c r="G1974" s="457">
        <f t="shared" si="114"/>
        <v>60.5</v>
      </c>
      <c r="H1974" s="457"/>
    </row>
    <row r="1975" spans="1:8">
      <c r="A1975" s="592"/>
      <c r="B1975" s="868"/>
      <c r="C1975" s="528" t="s">
        <v>793</v>
      </c>
      <c r="D1975" s="488">
        <v>0.71</v>
      </c>
      <c r="E1975" s="451" t="s">
        <v>68</v>
      </c>
      <c r="F1975" s="457">
        <f>F1964</f>
        <v>2200</v>
      </c>
      <c r="G1975" s="457">
        <f t="shared" si="114"/>
        <v>1562</v>
      </c>
      <c r="H1975" s="457"/>
    </row>
    <row r="1976" spans="1:8">
      <c r="A1976" s="592"/>
      <c r="B1976" s="855" t="s">
        <v>165</v>
      </c>
      <c r="C1976" s="855"/>
      <c r="D1976" s="856" t="s">
        <v>61</v>
      </c>
      <c r="E1976" s="856"/>
      <c r="F1976" s="856"/>
      <c r="G1976" s="457">
        <f>SUM(G1970:G1975)</f>
        <v>11522.5</v>
      </c>
      <c r="H1976" s="457"/>
    </row>
    <row r="1977" spans="1:8">
      <c r="A1977" s="592"/>
      <c r="B1977" s="855"/>
      <c r="C1977" s="855"/>
      <c r="D1977" s="857" t="s">
        <v>573</v>
      </c>
      <c r="E1977" s="857"/>
      <c r="F1977" s="857"/>
      <c r="G1977" s="457">
        <f>INT(15%*G1976*100)/100</f>
        <v>1728.37</v>
      </c>
      <c r="H1977" s="457"/>
    </row>
    <row r="1978" spans="1:8">
      <c r="A1978" s="592"/>
      <c r="B1978" s="855"/>
      <c r="C1978" s="855"/>
      <c r="D1978" s="856" t="s">
        <v>47</v>
      </c>
      <c r="E1978" s="856"/>
      <c r="F1978" s="856"/>
      <c r="G1978" s="457">
        <f>SUM(G1976:G1977)</f>
        <v>13250.869999999999</v>
      </c>
      <c r="H1978" s="457"/>
    </row>
    <row r="1979" spans="1:8">
      <c r="A1979" s="592"/>
      <c r="B1979" s="458"/>
      <c r="C1979" s="458"/>
      <c r="F1979" s="459"/>
      <c r="G1979" s="460"/>
      <c r="H1979" s="460"/>
    </row>
    <row r="1980" spans="1:8">
      <c r="A1980" s="592"/>
      <c r="B1980" s="458"/>
      <c r="C1980" s="458"/>
      <c r="F1980" s="459"/>
      <c r="G1980" s="460"/>
      <c r="H1980" s="460"/>
    </row>
    <row r="1981" spans="1:8" s="495" customFormat="1" ht="66.599999999999994" customHeight="1">
      <c r="A1981" s="507">
        <v>8.31</v>
      </c>
      <c r="B1981" s="446" t="s">
        <v>1066</v>
      </c>
      <c r="C1981" s="899" t="s">
        <v>1115</v>
      </c>
      <c r="D1981" s="900"/>
      <c r="E1981" s="901"/>
      <c r="F1981" s="447" t="s">
        <v>50</v>
      </c>
      <c r="G1981" s="447" t="e">
        <f>TRUNC(G1989/10,2)</f>
        <v>#VALUE!</v>
      </c>
      <c r="H1981" s="448" t="e">
        <f>TRUNC(G1991/10,2)</f>
        <v>#VALUE!</v>
      </c>
    </row>
    <row r="1982" spans="1:8">
      <c r="A1982" s="592"/>
      <c r="B1982" s="450" t="s">
        <v>80</v>
      </c>
      <c r="C1982" s="451" t="s">
        <v>81</v>
      </c>
      <c r="D1982" s="451" t="s">
        <v>44</v>
      </c>
      <c r="E1982" s="451" t="s">
        <v>45</v>
      </c>
      <c r="F1982" s="452" t="s">
        <v>58</v>
      </c>
      <c r="G1982" s="452" t="s">
        <v>59</v>
      </c>
      <c r="H1982" s="452" t="s">
        <v>52</v>
      </c>
    </row>
    <row r="1983" spans="1:8">
      <c r="A1983" s="592"/>
      <c r="B1983" s="864" t="s">
        <v>60</v>
      </c>
      <c r="C1983" s="484" t="s">
        <v>69</v>
      </c>
      <c r="D1983" s="488">
        <v>13</v>
      </c>
      <c r="E1983" s="451" t="s">
        <v>46</v>
      </c>
      <c r="F1983" s="457">
        <f>F1959</f>
        <v>1200</v>
      </c>
      <c r="G1983" s="457">
        <f t="shared" ref="G1983:G1988" si="115">TRUNC(D1983*F1983,2)</f>
        <v>15600</v>
      </c>
      <c r="H1983" s="457"/>
    </row>
    <row r="1984" spans="1:8" ht="12" customHeight="1">
      <c r="A1984" s="592"/>
      <c r="B1984" s="868"/>
      <c r="C1984" s="484" t="s">
        <v>43</v>
      </c>
      <c r="D1984" s="488">
        <v>4.5</v>
      </c>
      <c r="E1984" s="451" t="s">
        <v>46</v>
      </c>
      <c r="F1984" s="457">
        <f>F1960</f>
        <v>870</v>
      </c>
      <c r="G1984" s="457">
        <f t="shared" si="115"/>
        <v>3915</v>
      </c>
      <c r="H1984" s="457"/>
    </row>
    <row r="1985" spans="1:8">
      <c r="A1985" s="592"/>
      <c r="B1985" s="864" t="s">
        <v>63</v>
      </c>
      <c r="C1985" s="454" t="s">
        <v>1067</v>
      </c>
      <c r="D1985" s="488">
        <v>11</v>
      </c>
      <c r="E1985" s="451" t="s">
        <v>50</v>
      </c>
      <c r="F1985" s="457" t="str">
        <f>'Basic Rate'!F211</f>
        <v>.</v>
      </c>
      <c r="G1985" s="457" t="e">
        <f t="shared" si="115"/>
        <v>#VALUE!</v>
      </c>
      <c r="H1985" s="457"/>
    </row>
    <row r="1986" spans="1:8">
      <c r="A1986" s="592"/>
      <c r="B1986" s="868"/>
      <c r="C1986" s="454" t="s">
        <v>70</v>
      </c>
      <c r="D1986" s="488">
        <v>5.6000000000000001E-2</v>
      </c>
      <c r="E1986" s="451" t="s">
        <v>753</v>
      </c>
      <c r="F1986" s="457">
        <f>'Basic Rate'!F35</f>
        <v>14000</v>
      </c>
      <c r="G1986" s="457">
        <f t="shared" si="115"/>
        <v>784</v>
      </c>
      <c r="H1986" s="457"/>
    </row>
    <row r="1987" spans="1:8">
      <c r="A1987" s="592"/>
      <c r="B1987" s="868"/>
      <c r="C1987" s="454" t="s">
        <v>793</v>
      </c>
      <c r="D1987" s="488">
        <v>0.152</v>
      </c>
      <c r="E1987" s="451" t="s">
        <v>68</v>
      </c>
      <c r="F1987" s="457">
        <f>F1964</f>
        <v>2200</v>
      </c>
      <c r="G1987" s="457">
        <f t="shared" si="115"/>
        <v>334.4</v>
      </c>
      <c r="H1987" s="457"/>
    </row>
    <row r="1988" spans="1:8">
      <c r="A1988" s="592"/>
      <c r="B1988" s="868"/>
      <c r="C1988" s="528" t="s">
        <v>104</v>
      </c>
      <c r="D1988" s="488">
        <v>3.2280000000000002</v>
      </c>
      <c r="E1988" s="451" t="s">
        <v>1068</v>
      </c>
      <c r="F1988" s="457">
        <f>'Basic Rate'!F220/1000</f>
        <v>26.4</v>
      </c>
      <c r="G1988" s="457">
        <f t="shared" si="115"/>
        <v>85.21</v>
      </c>
      <c r="H1988" s="457"/>
    </row>
    <row r="1989" spans="1:8">
      <c r="A1989" s="592"/>
      <c r="B1989" s="855" t="s">
        <v>165</v>
      </c>
      <c r="C1989" s="855"/>
      <c r="D1989" s="856" t="s">
        <v>61</v>
      </c>
      <c r="E1989" s="856"/>
      <c r="F1989" s="856"/>
      <c r="G1989" s="457" t="e">
        <f>SUM(G1983:G1988)</f>
        <v>#VALUE!</v>
      </c>
      <c r="H1989" s="457"/>
    </row>
    <row r="1990" spans="1:8">
      <c r="A1990" s="592"/>
      <c r="B1990" s="855"/>
      <c r="C1990" s="855"/>
      <c r="D1990" s="857" t="s">
        <v>573</v>
      </c>
      <c r="E1990" s="857"/>
      <c r="F1990" s="857"/>
      <c r="G1990" s="457" t="e">
        <f>INT(15%*G1989*100)/100</f>
        <v>#VALUE!</v>
      </c>
      <c r="H1990" s="457"/>
    </row>
    <row r="1991" spans="1:8">
      <c r="A1991" s="592"/>
      <c r="B1991" s="855"/>
      <c r="C1991" s="855"/>
      <c r="D1991" s="856" t="s">
        <v>47</v>
      </c>
      <c r="E1991" s="856"/>
      <c r="F1991" s="856"/>
      <c r="G1991" s="457" t="e">
        <f>SUM(G1989:G1990)</f>
        <v>#VALUE!</v>
      </c>
      <c r="H1991" s="457"/>
    </row>
    <row r="1992" spans="1:8">
      <c r="A1992" s="592"/>
      <c r="B1992" s="458"/>
      <c r="C1992" s="458"/>
      <c r="F1992" s="459"/>
      <c r="G1992" s="460"/>
      <c r="H1992" s="460"/>
    </row>
    <row r="1993" spans="1:8" s="495" customFormat="1" ht="66.599999999999994" customHeight="1">
      <c r="A1993" s="507">
        <v>8.32</v>
      </c>
      <c r="B1993" s="446" t="s">
        <v>1066</v>
      </c>
      <c r="C1993" s="899" t="s">
        <v>1114</v>
      </c>
      <c r="D1993" s="900"/>
      <c r="E1993" s="901"/>
      <c r="F1993" s="447" t="s">
        <v>50</v>
      </c>
      <c r="G1993" s="447" t="e">
        <f>TRUNC(G2001/10,2)</f>
        <v>#VALUE!</v>
      </c>
      <c r="H1993" s="448" t="e">
        <f>TRUNC(G2003/10,2)</f>
        <v>#VALUE!</v>
      </c>
    </row>
    <row r="1994" spans="1:8">
      <c r="A1994" s="592"/>
      <c r="B1994" s="450" t="s">
        <v>80</v>
      </c>
      <c r="C1994" s="451" t="s">
        <v>81</v>
      </c>
      <c r="D1994" s="451" t="s">
        <v>44</v>
      </c>
      <c r="E1994" s="451" t="s">
        <v>45</v>
      </c>
      <c r="F1994" s="452" t="s">
        <v>58</v>
      </c>
      <c r="G1994" s="452" t="s">
        <v>59</v>
      </c>
      <c r="H1994" s="452" t="s">
        <v>52</v>
      </c>
    </row>
    <row r="1995" spans="1:8">
      <c r="A1995" s="592"/>
      <c r="B1995" s="864" t="s">
        <v>60</v>
      </c>
      <c r="C1995" s="484" t="s">
        <v>69</v>
      </c>
      <c r="D1995" s="488">
        <v>13</v>
      </c>
      <c r="E1995" s="451" t="s">
        <v>46</v>
      </c>
      <c r="F1995" s="457">
        <f>F1983</f>
        <v>1200</v>
      </c>
      <c r="G1995" s="457">
        <f t="shared" ref="G1995:G2000" si="116">TRUNC(D1995*F1995,2)</f>
        <v>15600</v>
      </c>
      <c r="H1995" s="457"/>
    </row>
    <row r="1996" spans="1:8" ht="12" customHeight="1">
      <c r="A1996" s="592"/>
      <c r="B1996" s="868"/>
      <c r="C1996" s="484" t="s">
        <v>43</v>
      </c>
      <c r="D1996" s="488">
        <v>4.5</v>
      </c>
      <c r="E1996" s="451" t="s">
        <v>46</v>
      </c>
      <c r="F1996" s="457">
        <f>F1984</f>
        <v>870</v>
      </c>
      <c r="G1996" s="457">
        <f t="shared" si="116"/>
        <v>3915</v>
      </c>
      <c r="H1996" s="457"/>
    </row>
    <row r="1997" spans="1:8">
      <c r="A1997" s="592"/>
      <c r="B1997" s="864" t="s">
        <v>63</v>
      </c>
      <c r="C1997" s="454" t="s">
        <v>1069</v>
      </c>
      <c r="D1997" s="488">
        <v>11</v>
      </c>
      <c r="E1997" s="451" t="s">
        <v>50</v>
      </c>
      <c r="F1997" s="457" t="str">
        <f>'Basic Rate'!F212</f>
        <v>.</v>
      </c>
      <c r="G1997" s="457" t="e">
        <f t="shared" si="116"/>
        <v>#VALUE!</v>
      </c>
      <c r="H1997" s="457"/>
    </row>
    <row r="1998" spans="1:8">
      <c r="A1998" s="592"/>
      <c r="B1998" s="868"/>
      <c r="C1998" s="454" t="s">
        <v>70</v>
      </c>
      <c r="D1998" s="488">
        <v>5.6000000000000001E-2</v>
      </c>
      <c r="E1998" s="451" t="s">
        <v>753</v>
      </c>
      <c r="F1998" s="457">
        <f>F1986</f>
        <v>14000</v>
      </c>
      <c r="G1998" s="457">
        <f t="shared" si="116"/>
        <v>784</v>
      </c>
      <c r="H1998" s="457"/>
    </row>
    <row r="1999" spans="1:8">
      <c r="A1999" s="592"/>
      <c r="B1999" s="868"/>
      <c r="C1999" s="454" t="s">
        <v>793</v>
      </c>
      <c r="D1999" s="488">
        <v>0.152</v>
      </c>
      <c r="E1999" s="451" t="s">
        <v>68</v>
      </c>
      <c r="F1999" s="457">
        <f>F1987</f>
        <v>2200</v>
      </c>
      <c r="G1999" s="457">
        <f t="shared" si="116"/>
        <v>334.4</v>
      </c>
      <c r="H1999" s="457"/>
    </row>
    <row r="2000" spans="1:8">
      <c r="A2000" s="592"/>
      <c r="B2000" s="868"/>
      <c r="C2000" s="528" t="s">
        <v>104</v>
      </c>
      <c r="D2000" s="488">
        <v>3.2280000000000002</v>
      </c>
      <c r="E2000" s="451" t="s">
        <v>1068</v>
      </c>
      <c r="F2000" s="457">
        <f>F1988</f>
        <v>26.4</v>
      </c>
      <c r="G2000" s="457">
        <f t="shared" si="116"/>
        <v>85.21</v>
      </c>
      <c r="H2000" s="457"/>
    </row>
    <row r="2001" spans="1:8">
      <c r="A2001" s="592"/>
      <c r="B2001" s="855" t="s">
        <v>165</v>
      </c>
      <c r="C2001" s="855"/>
      <c r="D2001" s="856" t="s">
        <v>61</v>
      </c>
      <c r="E2001" s="856"/>
      <c r="F2001" s="856"/>
      <c r="G2001" s="457" t="e">
        <f>SUM(G1995:G2000)</f>
        <v>#VALUE!</v>
      </c>
      <c r="H2001" s="457"/>
    </row>
    <row r="2002" spans="1:8">
      <c r="A2002" s="592"/>
      <c r="B2002" s="855"/>
      <c r="C2002" s="855"/>
      <c r="D2002" s="857" t="s">
        <v>573</v>
      </c>
      <c r="E2002" s="857"/>
      <c r="F2002" s="857"/>
      <c r="G2002" s="457" t="e">
        <f>INT(15%*G2001*100)/100</f>
        <v>#VALUE!</v>
      </c>
      <c r="H2002" s="457"/>
    </row>
    <row r="2003" spans="1:8">
      <c r="A2003" s="592"/>
      <c r="B2003" s="855"/>
      <c r="C2003" s="855"/>
      <c r="D2003" s="856" t="s">
        <v>47</v>
      </c>
      <c r="E2003" s="856"/>
      <c r="F2003" s="856"/>
      <c r="G2003" s="457" t="e">
        <f>SUM(G2001:G2002)</f>
        <v>#VALUE!</v>
      </c>
      <c r="H2003" s="457"/>
    </row>
    <row r="2004" spans="1:8" ht="13.65" customHeight="1">
      <c r="A2004" s="916" t="s">
        <v>436</v>
      </c>
      <c r="B2004" s="916"/>
      <c r="C2004" s="916"/>
      <c r="D2004" s="916"/>
      <c r="E2004" s="916"/>
      <c r="F2004" s="916"/>
      <c r="G2004" s="916"/>
      <c r="H2004" s="916"/>
    </row>
    <row r="2006" spans="1:8" s="605" customFormat="1" ht="12" customHeight="1">
      <c r="A2006" s="603">
        <v>9.01</v>
      </c>
      <c r="B2006" s="604" t="s">
        <v>416</v>
      </c>
      <c r="C2006" s="876" t="s">
        <v>418</v>
      </c>
      <c r="D2006" s="877"/>
      <c r="E2006" s="877"/>
      <c r="F2006" s="447" t="s">
        <v>50</v>
      </c>
      <c r="G2006" s="447">
        <f>TRUNC(G2012/100,2)</f>
        <v>398.86</v>
      </c>
      <c r="H2006" s="448">
        <f>TRUNC(G2014/100,2)</f>
        <v>458.68</v>
      </c>
    </row>
    <row r="2007" spans="1:8">
      <c r="B2007" s="450" t="s">
        <v>80</v>
      </c>
      <c r="C2007" s="451" t="s">
        <v>81</v>
      </c>
      <c r="D2007" s="451" t="s">
        <v>44</v>
      </c>
      <c r="E2007" s="451" t="s">
        <v>45</v>
      </c>
      <c r="F2007" s="452" t="s">
        <v>58</v>
      </c>
      <c r="G2007" s="452" t="s">
        <v>59</v>
      </c>
      <c r="H2007" s="452" t="s">
        <v>52</v>
      </c>
    </row>
    <row r="2008" spans="1:8">
      <c r="B2008" s="864" t="s">
        <v>60</v>
      </c>
      <c r="C2008" s="484" t="s">
        <v>69</v>
      </c>
      <c r="D2008" s="488">
        <v>12</v>
      </c>
      <c r="E2008" s="451" t="s">
        <v>46</v>
      </c>
      <c r="F2008" s="457">
        <f>F1959</f>
        <v>1200</v>
      </c>
      <c r="G2008" s="457">
        <f>TRUNC(D2008*F2008,2)</f>
        <v>14400</v>
      </c>
      <c r="H2008" s="457"/>
    </row>
    <row r="2009" spans="1:8">
      <c r="B2009" s="865"/>
      <c r="C2009" s="484" t="s">
        <v>43</v>
      </c>
      <c r="D2009" s="488">
        <v>16</v>
      </c>
      <c r="E2009" s="451" t="s">
        <v>46</v>
      </c>
      <c r="F2009" s="457">
        <f>F1996</f>
        <v>870</v>
      </c>
      <c r="G2009" s="457">
        <f>TRUNC(D2009*F2009,2)</f>
        <v>13920</v>
      </c>
      <c r="H2009" s="457"/>
    </row>
    <row r="2010" spans="1:8">
      <c r="B2010" s="864" t="s">
        <v>63</v>
      </c>
      <c r="C2010" s="484" t="s">
        <v>70</v>
      </c>
      <c r="D2010" s="488">
        <v>0.625</v>
      </c>
      <c r="E2010" s="451" t="s">
        <v>71</v>
      </c>
      <c r="F2010" s="457">
        <f>F1986</f>
        <v>14000</v>
      </c>
      <c r="G2010" s="457">
        <f>TRUNC(D2010*F2010,2)</f>
        <v>8750</v>
      </c>
      <c r="H2010" s="457"/>
    </row>
    <row r="2011" spans="1:8">
      <c r="B2011" s="865"/>
      <c r="C2011" s="528" t="str">
        <f>C1924</f>
        <v xml:space="preserve">Sand  river washed </v>
      </c>
      <c r="D2011" s="488">
        <v>1.28</v>
      </c>
      <c r="E2011" s="451" t="s">
        <v>68</v>
      </c>
      <c r="F2011" s="457">
        <f>F1987</f>
        <v>2200</v>
      </c>
      <c r="G2011" s="457">
        <f>TRUNC(D2011*F2011,2)</f>
        <v>2816</v>
      </c>
      <c r="H2011" s="457"/>
    </row>
    <row r="2012" spans="1:8">
      <c r="B2012" s="855" t="s">
        <v>172</v>
      </c>
      <c r="C2012" s="855"/>
      <c r="D2012" s="856" t="s">
        <v>61</v>
      </c>
      <c r="E2012" s="856"/>
      <c r="F2012" s="856"/>
      <c r="G2012" s="457">
        <f>SUM(G2008:G2011)</f>
        <v>39886</v>
      </c>
      <c r="H2012" s="457"/>
    </row>
    <row r="2013" spans="1:8">
      <c r="B2013" s="855"/>
      <c r="C2013" s="855"/>
      <c r="D2013" s="857" t="s">
        <v>573</v>
      </c>
      <c r="E2013" s="857"/>
      <c r="F2013" s="857"/>
      <c r="G2013" s="457">
        <f>INT(15%*G2012*100)/100</f>
        <v>5982.9</v>
      </c>
      <c r="H2013" s="457"/>
    </row>
    <row r="2014" spans="1:8">
      <c r="B2014" s="855"/>
      <c r="C2014" s="855"/>
      <c r="D2014" s="856" t="s">
        <v>47</v>
      </c>
      <c r="E2014" s="856"/>
      <c r="F2014" s="856"/>
      <c r="G2014" s="457">
        <f>SUM(G2012:G2013)</f>
        <v>45868.9</v>
      </c>
      <c r="H2014" s="457"/>
    </row>
    <row r="2015" spans="1:8">
      <c r="B2015" s="458"/>
      <c r="C2015" s="458"/>
      <c r="F2015" s="459"/>
      <c r="G2015" s="460"/>
      <c r="H2015" s="460"/>
    </row>
    <row r="2016" spans="1:8" s="605" customFormat="1" ht="12" customHeight="1">
      <c r="A2016" s="603">
        <v>9.02</v>
      </c>
      <c r="B2016" s="604" t="s">
        <v>417</v>
      </c>
      <c r="C2016" s="876" t="s">
        <v>55</v>
      </c>
      <c r="D2016" s="877"/>
      <c r="E2016" s="877"/>
      <c r="F2016" s="447" t="s">
        <v>50</v>
      </c>
      <c r="G2016" s="447">
        <f>TRUNC(G2022/100,2)</f>
        <v>390.64</v>
      </c>
      <c r="H2016" s="448">
        <f>TRUNC(G2024/100,2)</f>
        <v>449.23</v>
      </c>
    </row>
    <row r="2017" spans="1:8">
      <c r="B2017" s="450" t="s">
        <v>80</v>
      </c>
      <c r="C2017" s="451" t="s">
        <v>81</v>
      </c>
      <c r="D2017" s="451" t="s">
        <v>44</v>
      </c>
      <c r="E2017" s="451" t="s">
        <v>45</v>
      </c>
      <c r="F2017" s="452" t="s">
        <v>58</v>
      </c>
      <c r="G2017" s="452" t="s">
        <v>59</v>
      </c>
      <c r="H2017" s="452" t="s">
        <v>52</v>
      </c>
    </row>
    <row r="2018" spans="1:8">
      <c r="B2018" s="864" t="s">
        <v>60</v>
      </c>
      <c r="C2018" s="484" t="s">
        <v>69</v>
      </c>
      <c r="D2018" s="488">
        <v>12</v>
      </c>
      <c r="E2018" s="451" t="s">
        <v>46</v>
      </c>
      <c r="F2018" s="457">
        <f>F2008</f>
        <v>1200</v>
      </c>
      <c r="G2018" s="457">
        <f>TRUNC(D2018*F2018,2)</f>
        <v>14400</v>
      </c>
      <c r="H2018" s="457"/>
    </row>
    <row r="2019" spans="1:8">
      <c r="B2019" s="865"/>
      <c r="C2019" s="484" t="s">
        <v>43</v>
      </c>
      <c r="D2019" s="488">
        <v>16</v>
      </c>
      <c r="E2019" s="451" t="s">
        <v>46</v>
      </c>
      <c r="F2019" s="457">
        <f>F2009</f>
        <v>870</v>
      </c>
      <c r="G2019" s="457">
        <f>TRUNC(D2019*F2019,2)</f>
        <v>13920</v>
      </c>
      <c r="H2019" s="457"/>
    </row>
    <row r="2020" spans="1:8">
      <c r="B2020" s="864" t="s">
        <v>63</v>
      </c>
      <c r="C2020" s="484" t="s">
        <v>70</v>
      </c>
      <c r="D2020" s="488">
        <v>0.53800000000000003</v>
      </c>
      <c r="E2020" s="451" t="s">
        <v>71</v>
      </c>
      <c r="F2020" s="457">
        <f>F2010</f>
        <v>14000</v>
      </c>
      <c r="G2020" s="457">
        <f>TRUNC(D2020*F2020,2)</f>
        <v>7532</v>
      </c>
      <c r="H2020" s="457"/>
    </row>
    <row r="2021" spans="1:8">
      <c r="B2021" s="865"/>
      <c r="C2021" s="528" t="str">
        <f>C2011</f>
        <v xml:space="preserve">Sand  river washed </v>
      </c>
      <c r="D2021" s="488">
        <v>1.46</v>
      </c>
      <c r="E2021" s="451" t="s">
        <v>68</v>
      </c>
      <c r="F2021" s="457">
        <f>F2011</f>
        <v>2200</v>
      </c>
      <c r="G2021" s="457">
        <f>TRUNC(D2021*F2021,2)</f>
        <v>3212</v>
      </c>
      <c r="H2021" s="457"/>
    </row>
    <row r="2022" spans="1:8">
      <c r="B2022" s="855" t="s">
        <v>172</v>
      </c>
      <c r="C2022" s="855"/>
      <c r="D2022" s="856" t="s">
        <v>61</v>
      </c>
      <c r="E2022" s="856"/>
      <c r="F2022" s="856"/>
      <c r="G2022" s="457">
        <f>SUM(G2018:G2021)</f>
        <v>39064</v>
      </c>
      <c r="H2022" s="457"/>
    </row>
    <row r="2023" spans="1:8">
      <c r="B2023" s="855"/>
      <c r="C2023" s="855"/>
      <c r="D2023" s="857" t="s">
        <v>573</v>
      </c>
      <c r="E2023" s="857"/>
      <c r="F2023" s="857"/>
      <c r="G2023" s="457">
        <f>INT(15%*G2022*100)/100</f>
        <v>5859.6</v>
      </c>
      <c r="H2023" s="457"/>
    </row>
    <row r="2024" spans="1:8">
      <c r="B2024" s="855"/>
      <c r="C2024" s="855"/>
      <c r="D2024" s="856" t="s">
        <v>47</v>
      </c>
      <c r="E2024" s="856"/>
      <c r="F2024" s="856"/>
      <c r="G2024" s="457">
        <f>SUM(G2022:G2023)</f>
        <v>44923.6</v>
      </c>
      <c r="H2024" s="457"/>
    </row>
    <row r="2025" spans="1:8">
      <c r="C2025" s="606"/>
      <c r="D2025" s="607"/>
      <c r="E2025" s="607"/>
      <c r="F2025" s="608"/>
      <c r="G2025" s="608"/>
      <c r="H2025" s="608"/>
    </row>
    <row r="2026" spans="1:8">
      <c r="C2026" s="444"/>
      <c r="F2026" s="474"/>
      <c r="G2026" s="460"/>
      <c r="H2026" s="460"/>
    </row>
    <row r="2027" spans="1:8" s="605" customFormat="1" ht="12" customHeight="1">
      <c r="A2027" s="603">
        <v>9.0299999999999994</v>
      </c>
      <c r="B2027" s="604" t="s">
        <v>419</v>
      </c>
      <c r="C2027" s="876" t="s">
        <v>56</v>
      </c>
      <c r="D2027" s="877"/>
      <c r="E2027" s="877"/>
      <c r="F2027" s="447" t="s">
        <v>50</v>
      </c>
      <c r="G2027" s="447">
        <f>TRUNC(G2033/100,2)</f>
        <v>371.22</v>
      </c>
      <c r="H2027" s="448">
        <f>TRUNC(G2035/100,2)</f>
        <v>426.9</v>
      </c>
    </row>
    <row r="2028" spans="1:8">
      <c r="B2028" s="450" t="s">
        <v>80</v>
      </c>
      <c r="C2028" s="451" t="s">
        <v>81</v>
      </c>
      <c r="D2028" s="451" t="s">
        <v>44</v>
      </c>
      <c r="E2028" s="451" t="s">
        <v>45</v>
      </c>
      <c r="F2028" s="452" t="s">
        <v>58</v>
      </c>
      <c r="G2028" s="452" t="s">
        <v>59</v>
      </c>
      <c r="H2028" s="452" t="s">
        <v>52</v>
      </c>
    </row>
    <row r="2029" spans="1:8">
      <c r="B2029" s="864" t="s">
        <v>60</v>
      </c>
      <c r="C2029" s="484" t="s">
        <v>69</v>
      </c>
      <c r="D2029" s="488">
        <v>12</v>
      </c>
      <c r="E2029" s="451" t="s">
        <v>46</v>
      </c>
      <c r="F2029" s="457">
        <f>F2018</f>
        <v>1200</v>
      </c>
      <c r="G2029" s="457">
        <f>TRUNC(D2029*F2029,2)</f>
        <v>14400</v>
      </c>
      <c r="H2029" s="457"/>
    </row>
    <row r="2030" spans="1:8">
      <c r="B2030" s="865"/>
      <c r="C2030" s="484" t="s">
        <v>43</v>
      </c>
      <c r="D2030" s="488">
        <v>16</v>
      </c>
      <c r="E2030" s="451" t="s">
        <v>46</v>
      </c>
      <c r="F2030" s="457">
        <f>F2019</f>
        <v>870</v>
      </c>
      <c r="G2030" s="457">
        <f>TRUNC(D2030*F2030,2)</f>
        <v>13920</v>
      </c>
      <c r="H2030" s="457"/>
    </row>
    <row r="2031" spans="1:8">
      <c r="B2031" s="864" t="s">
        <v>63</v>
      </c>
      <c r="C2031" s="484" t="s">
        <v>70</v>
      </c>
      <c r="D2031" s="488">
        <v>0.38200000000000001</v>
      </c>
      <c r="E2031" s="451" t="s">
        <v>71</v>
      </c>
      <c r="F2031" s="457">
        <f>F2020</f>
        <v>14000</v>
      </c>
      <c r="G2031" s="457">
        <f>TRUNC(D2031*F2031,2)</f>
        <v>5348</v>
      </c>
      <c r="H2031" s="457"/>
    </row>
    <row r="2032" spans="1:8">
      <c r="B2032" s="865"/>
      <c r="C2032" s="528" t="str">
        <f>C2021</f>
        <v xml:space="preserve">Sand  river washed </v>
      </c>
      <c r="D2032" s="488">
        <v>1.57</v>
      </c>
      <c r="E2032" s="451" t="s">
        <v>68</v>
      </c>
      <c r="F2032" s="457">
        <f>F2021</f>
        <v>2200</v>
      </c>
      <c r="G2032" s="457">
        <f>TRUNC(D2032*F2032,2)</f>
        <v>3454</v>
      </c>
      <c r="H2032" s="457"/>
    </row>
    <row r="2033" spans="1:8" ht="12.75" customHeight="1">
      <c r="B2033" s="855" t="s">
        <v>172</v>
      </c>
      <c r="C2033" s="855"/>
      <c r="D2033" s="856" t="s">
        <v>61</v>
      </c>
      <c r="E2033" s="856"/>
      <c r="F2033" s="856"/>
      <c r="G2033" s="457">
        <f>SUM(G2029:G2032)</f>
        <v>37122</v>
      </c>
      <c r="H2033" s="457"/>
    </row>
    <row r="2034" spans="1:8" ht="12.75" customHeight="1">
      <c r="B2034" s="855"/>
      <c r="C2034" s="855"/>
      <c r="D2034" s="857" t="s">
        <v>573</v>
      </c>
      <c r="E2034" s="857"/>
      <c r="F2034" s="857"/>
      <c r="G2034" s="457">
        <f>INT(15%*G2033*100)/100</f>
        <v>5568.3</v>
      </c>
      <c r="H2034" s="457"/>
    </row>
    <row r="2035" spans="1:8" ht="12.75" customHeight="1">
      <c r="B2035" s="855"/>
      <c r="C2035" s="855"/>
      <c r="D2035" s="856" t="s">
        <v>47</v>
      </c>
      <c r="E2035" s="856"/>
      <c r="F2035" s="856"/>
      <c r="G2035" s="457">
        <f>SUM(G2033:G2034)</f>
        <v>42690.3</v>
      </c>
      <c r="H2035" s="457"/>
    </row>
    <row r="2036" spans="1:8">
      <c r="C2036" s="444"/>
      <c r="F2036" s="462"/>
      <c r="G2036" s="460"/>
      <c r="H2036" s="460"/>
    </row>
    <row r="2037" spans="1:8">
      <c r="F2037" s="474"/>
      <c r="G2037" s="474"/>
      <c r="H2037" s="474"/>
    </row>
    <row r="2038" spans="1:8" s="605" customFormat="1" ht="12" customHeight="1">
      <c r="A2038" s="603">
        <v>9.0399999999999991</v>
      </c>
      <c r="B2038" s="604" t="s">
        <v>420</v>
      </c>
      <c r="C2038" s="876" t="s">
        <v>1524</v>
      </c>
      <c r="D2038" s="877"/>
      <c r="E2038" s="877"/>
      <c r="F2038" s="447" t="s">
        <v>50</v>
      </c>
      <c r="G2038" s="447">
        <f>TRUNC(G2044/100,2)</f>
        <v>510.6</v>
      </c>
      <c r="H2038" s="448">
        <f>TRUNC(G2046/100,2)</f>
        <v>587.19000000000005</v>
      </c>
    </row>
    <row r="2039" spans="1:8">
      <c r="B2039" s="450" t="s">
        <v>80</v>
      </c>
      <c r="C2039" s="451" t="s">
        <v>81</v>
      </c>
      <c r="D2039" s="451" t="s">
        <v>44</v>
      </c>
      <c r="E2039" s="451" t="s">
        <v>45</v>
      </c>
      <c r="F2039" s="452" t="s">
        <v>58</v>
      </c>
      <c r="G2039" s="452" t="s">
        <v>59</v>
      </c>
      <c r="H2039" s="452" t="s">
        <v>52</v>
      </c>
    </row>
    <row r="2040" spans="1:8">
      <c r="B2040" s="864" t="s">
        <v>60</v>
      </c>
      <c r="C2040" s="484" t="s">
        <v>69</v>
      </c>
      <c r="D2040" s="488">
        <v>14</v>
      </c>
      <c r="E2040" s="451" t="s">
        <v>46</v>
      </c>
      <c r="F2040" s="457">
        <f>F2029</f>
        <v>1200</v>
      </c>
      <c r="G2040" s="457">
        <f>TRUNC(D2040*F2040,2)</f>
        <v>16800</v>
      </c>
      <c r="H2040" s="457"/>
    </row>
    <row r="2041" spans="1:8">
      <c r="B2041" s="865"/>
      <c r="C2041" s="484" t="s">
        <v>43</v>
      </c>
      <c r="D2041" s="488">
        <v>19</v>
      </c>
      <c r="E2041" s="451" t="s">
        <v>46</v>
      </c>
      <c r="F2041" s="457">
        <f>F2030</f>
        <v>870</v>
      </c>
      <c r="G2041" s="457">
        <f>TRUNC(D2041*F2041,2)</f>
        <v>16530</v>
      </c>
      <c r="H2041" s="457"/>
    </row>
    <row r="2042" spans="1:8">
      <c r="B2042" s="864" t="s">
        <v>63</v>
      </c>
      <c r="C2042" s="484" t="s">
        <v>70</v>
      </c>
      <c r="D2042" s="488">
        <v>0.96</v>
      </c>
      <c r="E2042" s="451" t="s">
        <v>71</v>
      </c>
      <c r="F2042" s="457">
        <f>F2031</f>
        <v>14000</v>
      </c>
      <c r="G2042" s="457">
        <f>TRUNC(D2042*F2042,2)</f>
        <v>13440</v>
      </c>
      <c r="H2042" s="457"/>
    </row>
    <row r="2043" spans="1:8">
      <c r="B2043" s="865"/>
      <c r="C2043" s="528" t="str">
        <f>C2032</f>
        <v xml:space="preserve">Sand  river washed </v>
      </c>
      <c r="D2043" s="488">
        <v>1.95</v>
      </c>
      <c r="E2043" s="451" t="s">
        <v>68</v>
      </c>
      <c r="F2043" s="457">
        <f>F2032</f>
        <v>2200</v>
      </c>
      <c r="G2043" s="457">
        <f>TRUNC(D2043*F2043,2)</f>
        <v>4290</v>
      </c>
      <c r="H2043" s="457"/>
    </row>
    <row r="2044" spans="1:8" ht="12.75" customHeight="1">
      <c r="B2044" s="855" t="s">
        <v>172</v>
      </c>
      <c r="C2044" s="855"/>
      <c r="D2044" s="856" t="s">
        <v>61</v>
      </c>
      <c r="E2044" s="856"/>
      <c r="F2044" s="856"/>
      <c r="G2044" s="457">
        <f>SUM(G2040:G2043)</f>
        <v>51060</v>
      </c>
      <c r="H2044" s="457"/>
    </row>
    <row r="2045" spans="1:8" ht="12.75" customHeight="1">
      <c r="B2045" s="855"/>
      <c r="C2045" s="855"/>
      <c r="D2045" s="857" t="s">
        <v>573</v>
      </c>
      <c r="E2045" s="857"/>
      <c r="F2045" s="857"/>
      <c r="G2045" s="457">
        <f>INT(15%*G2044*100)/100</f>
        <v>7659</v>
      </c>
      <c r="H2045" s="457"/>
    </row>
    <row r="2046" spans="1:8" ht="12.75" customHeight="1">
      <c r="B2046" s="855"/>
      <c r="C2046" s="855"/>
      <c r="D2046" s="856" t="s">
        <v>47</v>
      </c>
      <c r="E2046" s="856"/>
      <c r="F2046" s="856"/>
      <c r="G2046" s="457">
        <f>SUM(G2044:G2045)</f>
        <v>58719</v>
      </c>
      <c r="H2046" s="457"/>
    </row>
    <row r="2047" spans="1:8">
      <c r="F2047" s="474"/>
      <c r="G2047" s="474"/>
      <c r="H2047" s="474"/>
    </row>
    <row r="2048" spans="1:8" s="605" customFormat="1" ht="15.75" customHeight="1">
      <c r="A2048" s="603">
        <v>9.0500000000000007</v>
      </c>
      <c r="B2048" s="604" t="s">
        <v>421</v>
      </c>
      <c r="C2048" s="876" t="s">
        <v>1525</v>
      </c>
      <c r="D2048" s="877"/>
      <c r="E2048" s="877"/>
      <c r="F2048" s="447" t="s">
        <v>50</v>
      </c>
      <c r="G2048" s="447">
        <f>TRUNC(G2054/100,2)</f>
        <v>495.1</v>
      </c>
      <c r="H2048" s="448">
        <f>TRUNC(G2056/100,2)</f>
        <v>569.36</v>
      </c>
    </row>
    <row r="2049" spans="1:8">
      <c r="B2049" s="450" t="s">
        <v>80</v>
      </c>
      <c r="C2049" s="451" t="s">
        <v>81</v>
      </c>
      <c r="D2049" s="451" t="s">
        <v>44</v>
      </c>
      <c r="E2049" s="451" t="s">
        <v>45</v>
      </c>
      <c r="F2049" s="452" t="s">
        <v>58</v>
      </c>
      <c r="G2049" s="452" t="s">
        <v>59</v>
      </c>
      <c r="H2049" s="452" t="s">
        <v>52</v>
      </c>
    </row>
    <row r="2050" spans="1:8">
      <c r="B2050" s="864" t="s">
        <v>60</v>
      </c>
      <c r="C2050" s="484" t="s">
        <v>69</v>
      </c>
      <c r="D2050" s="488">
        <v>14</v>
      </c>
      <c r="E2050" s="451" t="s">
        <v>46</v>
      </c>
      <c r="F2050" s="457">
        <f>F2040</f>
        <v>1200</v>
      </c>
      <c r="G2050" s="457">
        <f>TRUNC(D2050*F2050,2)</f>
        <v>16800</v>
      </c>
      <c r="H2050" s="457"/>
    </row>
    <row r="2051" spans="1:8">
      <c r="B2051" s="865"/>
      <c r="C2051" s="484" t="s">
        <v>43</v>
      </c>
      <c r="D2051" s="488">
        <v>19</v>
      </c>
      <c r="E2051" s="451" t="s">
        <v>46</v>
      </c>
      <c r="F2051" s="457">
        <f>F2041</f>
        <v>870</v>
      </c>
      <c r="G2051" s="457">
        <f>TRUNC(D2051*F2051,2)</f>
        <v>16530</v>
      </c>
      <c r="H2051" s="457"/>
    </row>
    <row r="2052" spans="1:8">
      <c r="B2052" s="864" t="s">
        <v>63</v>
      </c>
      <c r="C2052" s="484" t="s">
        <v>70</v>
      </c>
      <c r="D2052" s="488">
        <v>0.81</v>
      </c>
      <c r="E2052" s="451" t="s">
        <v>71</v>
      </c>
      <c r="F2052" s="457">
        <f>F2042</f>
        <v>14000</v>
      </c>
      <c r="G2052" s="457">
        <f>TRUNC(D2052*F2052,2)</f>
        <v>11340</v>
      </c>
      <c r="H2052" s="457"/>
    </row>
    <row r="2053" spans="1:8">
      <c r="B2053" s="865"/>
      <c r="C2053" s="528" t="str">
        <f>C2043</f>
        <v xml:space="preserve">Sand  river washed </v>
      </c>
      <c r="D2053" s="488">
        <v>2.2000000000000002</v>
      </c>
      <c r="E2053" s="451" t="s">
        <v>68</v>
      </c>
      <c r="F2053" s="457">
        <f>F2043</f>
        <v>2200</v>
      </c>
      <c r="G2053" s="457">
        <f>TRUNC(D2053*F2053,2)</f>
        <v>4840</v>
      </c>
      <c r="H2053" s="457"/>
    </row>
    <row r="2054" spans="1:8">
      <c r="B2054" s="855" t="s">
        <v>172</v>
      </c>
      <c r="C2054" s="855"/>
      <c r="D2054" s="856" t="s">
        <v>61</v>
      </c>
      <c r="E2054" s="856"/>
      <c r="F2054" s="856"/>
      <c r="G2054" s="457">
        <f>SUM(G2050:G2053)</f>
        <v>49510</v>
      </c>
      <c r="H2054" s="457"/>
    </row>
    <row r="2055" spans="1:8">
      <c r="B2055" s="855"/>
      <c r="C2055" s="855"/>
      <c r="D2055" s="857" t="s">
        <v>573</v>
      </c>
      <c r="E2055" s="857"/>
      <c r="F2055" s="857"/>
      <c r="G2055" s="457">
        <f>INT(15%*G2054*100)/100</f>
        <v>7426.5</v>
      </c>
      <c r="H2055" s="457"/>
    </row>
    <row r="2056" spans="1:8">
      <c r="B2056" s="855"/>
      <c r="C2056" s="855"/>
      <c r="D2056" s="856" t="s">
        <v>47</v>
      </c>
      <c r="E2056" s="856"/>
      <c r="F2056" s="856"/>
      <c r="G2056" s="457">
        <f>SUM(G2054:G2055)</f>
        <v>56936.5</v>
      </c>
      <c r="H2056" s="457"/>
    </row>
    <row r="2057" spans="1:8">
      <c r="C2057" s="444"/>
      <c r="F2057" s="462"/>
      <c r="G2057" s="460"/>
      <c r="H2057" s="460"/>
    </row>
    <row r="2058" spans="1:8" s="605" customFormat="1" ht="12" customHeight="1">
      <c r="A2058" s="603">
        <v>9.06</v>
      </c>
      <c r="B2058" s="604" t="s">
        <v>422</v>
      </c>
      <c r="C2058" s="876" t="s">
        <v>1526</v>
      </c>
      <c r="D2058" s="877"/>
      <c r="E2058" s="877"/>
      <c r="F2058" s="447" t="s">
        <v>50</v>
      </c>
      <c r="G2058" s="447">
        <f>TRUNC(G2064/100,2)</f>
        <v>464.8</v>
      </c>
      <c r="H2058" s="448">
        <f>TRUNC(G2066/100,2)</f>
        <v>534.52</v>
      </c>
    </row>
    <row r="2059" spans="1:8" ht="12.75" customHeight="1">
      <c r="B2059" s="450" t="s">
        <v>80</v>
      </c>
      <c r="C2059" s="451" t="s">
        <v>81</v>
      </c>
      <c r="D2059" s="451" t="s">
        <v>44</v>
      </c>
      <c r="E2059" s="451" t="s">
        <v>45</v>
      </c>
      <c r="F2059" s="452" t="s">
        <v>58</v>
      </c>
      <c r="G2059" s="452" t="s">
        <v>59</v>
      </c>
      <c r="H2059" s="452" t="s">
        <v>52</v>
      </c>
    </row>
    <row r="2060" spans="1:8">
      <c r="B2060" s="864" t="s">
        <v>60</v>
      </c>
      <c r="C2060" s="484" t="s">
        <v>69</v>
      </c>
      <c r="D2060" s="488">
        <v>14</v>
      </c>
      <c r="E2060" s="451" t="s">
        <v>46</v>
      </c>
      <c r="F2060" s="457">
        <f>F2050</f>
        <v>1200</v>
      </c>
      <c r="G2060" s="457">
        <f>TRUNC(D2060*F2060,2)</f>
        <v>16800</v>
      </c>
      <c r="H2060" s="457"/>
    </row>
    <row r="2061" spans="1:8">
      <c r="B2061" s="865"/>
      <c r="C2061" s="484" t="s">
        <v>43</v>
      </c>
      <c r="D2061" s="488">
        <v>19</v>
      </c>
      <c r="E2061" s="451" t="s">
        <v>46</v>
      </c>
      <c r="F2061" s="457">
        <f>F2051</f>
        <v>870</v>
      </c>
      <c r="G2061" s="457">
        <f>TRUNC(D2061*F2061,2)</f>
        <v>16530</v>
      </c>
      <c r="H2061" s="457"/>
    </row>
    <row r="2062" spans="1:8">
      <c r="B2062" s="864" t="s">
        <v>63</v>
      </c>
      <c r="C2062" s="484" t="s">
        <v>70</v>
      </c>
      <c r="D2062" s="488">
        <v>0.56999999999999995</v>
      </c>
      <c r="E2062" s="451" t="s">
        <v>71</v>
      </c>
      <c r="F2062" s="457">
        <f>F2052</f>
        <v>14000</v>
      </c>
      <c r="G2062" s="457">
        <f>TRUNC(D2062*F2062,2)</f>
        <v>7980</v>
      </c>
      <c r="H2062" s="457"/>
    </row>
    <row r="2063" spans="1:8">
      <c r="B2063" s="865"/>
      <c r="C2063" s="528" t="str">
        <f>C2053</f>
        <v xml:space="preserve">Sand  river washed </v>
      </c>
      <c r="D2063" s="488">
        <v>2.35</v>
      </c>
      <c r="E2063" s="451" t="s">
        <v>68</v>
      </c>
      <c r="F2063" s="457">
        <f>F2053</f>
        <v>2200</v>
      </c>
      <c r="G2063" s="457">
        <f>TRUNC(D2063*F2063,2)</f>
        <v>5170</v>
      </c>
      <c r="H2063" s="457"/>
    </row>
    <row r="2064" spans="1:8">
      <c r="B2064" s="855" t="s">
        <v>172</v>
      </c>
      <c r="C2064" s="855"/>
      <c r="D2064" s="856" t="s">
        <v>61</v>
      </c>
      <c r="E2064" s="856"/>
      <c r="F2064" s="856"/>
      <c r="G2064" s="457">
        <f>SUM(G2060:G2063)</f>
        <v>46480</v>
      </c>
      <c r="H2064" s="457"/>
    </row>
    <row r="2065" spans="1:8">
      <c r="B2065" s="855"/>
      <c r="C2065" s="855"/>
      <c r="D2065" s="857" t="s">
        <v>573</v>
      </c>
      <c r="E2065" s="857"/>
      <c r="F2065" s="857"/>
      <c r="G2065" s="457">
        <f>INT(15%*G2064*100)/100</f>
        <v>6972</v>
      </c>
      <c r="H2065" s="457"/>
    </row>
    <row r="2066" spans="1:8">
      <c r="B2066" s="855"/>
      <c r="C2066" s="855"/>
      <c r="D2066" s="856" t="s">
        <v>47</v>
      </c>
      <c r="E2066" s="856"/>
      <c r="F2066" s="856"/>
      <c r="G2066" s="457">
        <f>SUM(G2064:G2065)</f>
        <v>53452</v>
      </c>
      <c r="H2066" s="457"/>
    </row>
    <row r="2067" spans="1:8">
      <c r="B2067" s="458"/>
      <c r="C2067" s="458"/>
      <c r="F2067" s="459"/>
      <c r="G2067" s="460"/>
      <c r="H2067" s="460"/>
    </row>
    <row r="2068" spans="1:8">
      <c r="C2068" s="444"/>
      <c r="F2068" s="462"/>
      <c r="G2068" s="460"/>
      <c r="H2068" s="460"/>
    </row>
    <row r="2069" spans="1:8" s="605" customFormat="1" ht="12" customHeight="1">
      <c r="A2069" s="603">
        <v>9.07</v>
      </c>
      <c r="B2069" s="604" t="s">
        <v>423</v>
      </c>
      <c r="C2069" s="876" t="s">
        <v>1527</v>
      </c>
      <c r="D2069" s="877"/>
      <c r="E2069" s="877"/>
      <c r="F2069" s="447" t="s">
        <v>50</v>
      </c>
      <c r="G2069" s="447">
        <f>TRUNC(G2076/100,2)</f>
        <v>471.9</v>
      </c>
      <c r="H2069" s="448">
        <f>TRUNC(G2078/100,2)</f>
        <v>542.67999999999995</v>
      </c>
    </row>
    <row r="2070" spans="1:8" ht="12.75" customHeight="1">
      <c r="B2070" s="450" t="s">
        <v>80</v>
      </c>
      <c r="C2070" s="451" t="s">
        <v>81</v>
      </c>
      <c r="D2070" s="451" t="s">
        <v>44</v>
      </c>
      <c r="E2070" s="451" t="s">
        <v>45</v>
      </c>
      <c r="F2070" s="452" t="s">
        <v>58</v>
      </c>
      <c r="G2070" s="452" t="s">
        <v>59</v>
      </c>
      <c r="H2070" s="452" t="s">
        <v>52</v>
      </c>
    </row>
    <row r="2071" spans="1:8">
      <c r="B2071" s="864" t="s">
        <v>60</v>
      </c>
      <c r="C2071" s="484" t="s">
        <v>69</v>
      </c>
      <c r="D2071" s="488">
        <v>20</v>
      </c>
      <c r="E2071" s="451" t="s">
        <v>46</v>
      </c>
      <c r="F2071" s="457">
        <f>F2060</f>
        <v>1200</v>
      </c>
      <c r="G2071" s="457">
        <f>TRUNC(D2071*F2071,2)</f>
        <v>24000</v>
      </c>
      <c r="H2071" s="457"/>
    </row>
    <row r="2072" spans="1:8">
      <c r="B2072" s="865"/>
      <c r="C2072" s="484" t="s">
        <v>43</v>
      </c>
      <c r="D2072" s="488">
        <v>25</v>
      </c>
      <c r="E2072" s="451" t="s">
        <v>46</v>
      </c>
      <c r="F2072" s="457">
        <f>F2061</f>
        <v>870</v>
      </c>
      <c r="G2072" s="457">
        <f>TRUNC(D2072*F2072,2)</f>
        <v>21750</v>
      </c>
      <c r="H2072" s="457"/>
    </row>
    <row r="2073" spans="1:8">
      <c r="B2073" s="864" t="s">
        <v>63</v>
      </c>
      <c r="C2073" s="484" t="s">
        <v>147</v>
      </c>
      <c r="D2073" s="488">
        <v>3</v>
      </c>
      <c r="E2073" s="451" t="s">
        <v>68</v>
      </c>
      <c r="F2073" s="457">
        <f>'Basic Rate'!F132</f>
        <v>400</v>
      </c>
      <c r="G2073" s="457">
        <f>TRUNC(D2073*F2073,2)</f>
        <v>1200</v>
      </c>
      <c r="H2073" s="457"/>
    </row>
    <row r="2074" spans="1:8">
      <c r="B2074" s="868"/>
      <c r="C2074" s="484" t="s">
        <v>224</v>
      </c>
      <c r="D2074" s="488">
        <v>10</v>
      </c>
      <c r="E2074" s="451" t="s">
        <v>74</v>
      </c>
      <c r="F2074" s="457">
        <f>'Basic Rate'!F27</f>
        <v>0</v>
      </c>
      <c r="G2074" s="457">
        <f>TRUNC(D2074*F2074,2)</f>
        <v>0</v>
      </c>
      <c r="H2074" s="457"/>
    </row>
    <row r="2075" spans="1:8">
      <c r="B2075" s="865"/>
      <c r="C2075" s="484" t="s">
        <v>223</v>
      </c>
      <c r="D2075" s="488">
        <v>120</v>
      </c>
      <c r="E2075" s="451" t="s">
        <v>74</v>
      </c>
      <c r="F2075" s="457">
        <f>'Basic Rate'!F88</f>
        <v>2</v>
      </c>
      <c r="G2075" s="457">
        <f>TRUNC(D2075*F2075,2)</f>
        <v>240</v>
      </c>
      <c r="H2075" s="457"/>
    </row>
    <row r="2076" spans="1:8">
      <c r="B2076" s="855" t="s">
        <v>172</v>
      </c>
      <c r="C2076" s="855"/>
      <c r="D2076" s="856" t="s">
        <v>61</v>
      </c>
      <c r="E2076" s="856"/>
      <c r="F2076" s="856"/>
      <c r="G2076" s="457">
        <f>SUM(G2071:G2075)</f>
        <v>47190</v>
      </c>
      <c r="H2076" s="457"/>
    </row>
    <row r="2077" spans="1:8">
      <c r="B2077" s="855"/>
      <c r="C2077" s="855"/>
      <c r="D2077" s="857" t="s">
        <v>573</v>
      </c>
      <c r="E2077" s="857"/>
      <c r="F2077" s="857"/>
      <c r="G2077" s="457">
        <f>INT(15%*G2076*100)/100</f>
        <v>7078.5</v>
      </c>
      <c r="H2077" s="457"/>
    </row>
    <row r="2078" spans="1:8">
      <c r="B2078" s="855"/>
      <c r="C2078" s="855"/>
      <c r="D2078" s="856" t="s">
        <v>47</v>
      </c>
      <c r="E2078" s="856"/>
      <c r="F2078" s="856"/>
      <c r="G2078" s="457">
        <f>SUM(G2076:G2077)</f>
        <v>54268.5</v>
      </c>
      <c r="H2078" s="457"/>
    </row>
    <row r="2079" spans="1:8">
      <c r="B2079" s="458"/>
      <c r="C2079" s="458"/>
      <c r="F2079" s="462"/>
      <c r="G2079" s="460"/>
      <c r="H2079" s="460"/>
    </row>
    <row r="2080" spans="1:8">
      <c r="B2080" s="463"/>
      <c r="C2080" s="463"/>
      <c r="D2080" s="464"/>
      <c r="E2080" s="464"/>
      <c r="F2080" s="500"/>
      <c r="G2080" s="466"/>
      <c r="H2080" s="466"/>
    </row>
    <row r="2081" spans="1:8" s="605" customFormat="1" ht="12" customHeight="1">
      <c r="A2081" s="603">
        <v>9.08</v>
      </c>
      <c r="B2081" s="604" t="s">
        <v>424</v>
      </c>
      <c r="C2081" s="876" t="s">
        <v>1528</v>
      </c>
      <c r="D2081" s="877"/>
      <c r="E2081" s="877"/>
      <c r="F2081" s="447" t="s">
        <v>50</v>
      </c>
      <c r="G2081" s="447">
        <f>TRUNC(G2088/100,2)</f>
        <v>361.2</v>
      </c>
      <c r="H2081" s="448">
        <f>TRUNC(G2090/100,2)</f>
        <v>415.38</v>
      </c>
    </row>
    <row r="2082" spans="1:8" ht="12.75" customHeight="1">
      <c r="B2082" s="450" t="s">
        <v>80</v>
      </c>
      <c r="C2082" s="451" t="s">
        <v>81</v>
      </c>
      <c r="D2082" s="451" t="s">
        <v>44</v>
      </c>
      <c r="E2082" s="451" t="s">
        <v>45</v>
      </c>
      <c r="F2082" s="452" t="s">
        <v>58</v>
      </c>
      <c r="G2082" s="452" t="s">
        <v>59</v>
      </c>
      <c r="H2082" s="452" t="s">
        <v>52</v>
      </c>
    </row>
    <row r="2083" spans="1:8">
      <c r="B2083" s="864" t="s">
        <v>60</v>
      </c>
      <c r="C2083" s="484" t="s">
        <v>69</v>
      </c>
      <c r="D2083" s="488">
        <v>15</v>
      </c>
      <c r="E2083" s="451" t="s">
        <v>46</v>
      </c>
      <c r="F2083" s="457">
        <f>F2071</f>
        <v>1200</v>
      </c>
      <c r="G2083" s="457">
        <f>TRUNC(D2083*F2083,2)</f>
        <v>18000</v>
      </c>
      <c r="H2083" s="457"/>
    </row>
    <row r="2084" spans="1:8">
      <c r="B2084" s="865"/>
      <c r="C2084" s="484" t="s">
        <v>43</v>
      </c>
      <c r="D2084" s="488">
        <v>20</v>
      </c>
      <c r="E2084" s="451" t="s">
        <v>46</v>
      </c>
      <c r="F2084" s="457">
        <f>F2072</f>
        <v>870</v>
      </c>
      <c r="G2084" s="457">
        <f>TRUNC(D2084*F2084,2)</f>
        <v>17400</v>
      </c>
      <c r="H2084" s="457"/>
    </row>
    <row r="2085" spans="1:8">
      <c r="B2085" s="864" t="s">
        <v>63</v>
      </c>
      <c r="C2085" s="484" t="s">
        <v>147</v>
      </c>
      <c r="D2085" s="488">
        <v>1.5</v>
      </c>
      <c r="E2085" s="451" t="s">
        <v>68</v>
      </c>
      <c r="F2085" s="457">
        <f>F2073</f>
        <v>400</v>
      </c>
      <c r="G2085" s="457">
        <f>TRUNC(D2085*F2085,2)</f>
        <v>600</v>
      </c>
      <c r="H2085" s="457"/>
    </row>
    <row r="2086" spans="1:8">
      <c r="B2086" s="868"/>
      <c r="C2086" s="484" t="s">
        <v>224</v>
      </c>
      <c r="D2086" s="488">
        <v>50</v>
      </c>
      <c r="E2086" s="451" t="s">
        <v>74</v>
      </c>
      <c r="F2086" s="457">
        <f>F2074</f>
        <v>0</v>
      </c>
      <c r="G2086" s="457">
        <f>TRUNC(D2086*F2086,2)</f>
        <v>0</v>
      </c>
      <c r="H2086" s="457"/>
    </row>
    <row r="2087" spans="1:8">
      <c r="B2087" s="865"/>
      <c r="C2087" s="484" t="s">
        <v>223</v>
      </c>
      <c r="D2087" s="488">
        <v>60</v>
      </c>
      <c r="E2087" s="451" t="s">
        <v>74</v>
      </c>
      <c r="F2087" s="457">
        <f>F2075</f>
        <v>2</v>
      </c>
      <c r="G2087" s="457">
        <f>TRUNC(D2087*F2087,2)</f>
        <v>120</v>
      </c>
      <c r="H2087" s="457"/>
    </row>
    <row r="2088" spans="1:8">
      <c r="B2088" s="855" t="s">
        <v>172</v>
      </c>
      <c r="C2088" s="855"/>
      <c r="D2088" s="856" t="s">
        <v>61</v>
      </c>
      <c r="E2088" s="856"/>
      <c r="F2088" s="856"/>
      <c r="G2088" s="457">
        <f>SUM(G2083:G2087)</f>
        <v>36120</v>
      </c>
      <c r="H2088" s="457"/>
    </row>
    <row r="2089" spans="1:8">
      <c r="B2089" s="855"/>
      <c r="C2089" s="855"/>
      <c r="D2089" s="857" t="s">
        <v>573</v>
      </c>
      <c r="E2089" s="857"/>
      <c r="F2089" s="857"/>
      <c r="G2089" s="457">
        <f>INT(15%*G2088*100)/100</f>
        <v>5418</v>
      </c>
      <c r="H2089" s="457"/>
    </row>
    <row r="2090" spans="1:8">
      <c r="B2090" s="935"/>
      <c r="C2090" s="935"/>
      <c r="D2090" s="885" t="s">
        <v>47</v>
      </c>
      <c r="E2090" s="885"/>
      <c r="F2090" s="885"/>
      <c r="G2090" s="475">
        <f>SUM(G2088:G2089)</f>
        <v>41538</v>
      </c>
      <c r="H2090" s="475"/>
    </row>
    <row r="2091" spans="1:8">
      <c r="B2091" s="494"/>
      <c r="C2091" s="494"/>
      <c r="D2091" s="476"/>
      <c r="E2091" s="476"/>
      <c r="F2091" s="476"/>
      <c r="G2091" s="477"/>
      <c r="H2091" s="477"/>
    </row>
    <row r="2092" spans="1:8">
      <c r="B2092" s="494"/>
      <c r="C2092" s="494"/>
      <c r="D2092" s="476"/>
      <c r="E2092" s="476"/>
      <c r="F2092" s="476"/>
      <c r="G2092" s="477"/>
      <c r="H2092" s="477"/>
    </row>
    <row r="2093" spans="1:8" s="605" customFormat="1" ht="23.25" customHeight="1">
      <c r="A2093" s="603">
        <v>9.09</v>
      </c>
      <c r="B2093" s="609" t="s">
        <v>425</v>
      </c>
      <c r="C2093" s="983" t="s">
        <v>1154</v>
      </c>
      <c r="D2093" s="984"/>
      <c r="E2093" s="985"/>
      <c r="F2093" s="502" t="s">
        <v>50</v>
      </c>
      <c r="G2093" s="502">
        <f>TRUNC(G2099/100,2)</f>
        <v>469.66</v>
      </c>
      <c r="H2093" s="503">
        <f>TRUNC(G2101/100,2)</f>
        <v>540.1</v>
      </c>
    </row>
    <row r="2094" spans="1:8">
      <c r="B2094" s="450" t="s">
        <v>80</v>
      </c>
      <c r="C2094" s="451" t="s">
        <v>81</v>
      </c>
      <c r="D2094" s="451" t="s">
        <v>44</v>
      </c>
      <c r="E2094" s="451" t="s">
        <v>45</v>
      </c>
      <c r="F2094" s="452" t="s">
        <v>58</v>
      </c>
      <c r="G2094" s="452" t="s">
        <v>59</v>
      </c>
      <c r="H2094" s="452" t="s">
        <v>52</v>
      </c>
    </row>
    <row r="2095" spans="1:8">
      <c r="B2095" s="864" t="s">
        <v>60</v>
      </c>
      <c r="C2095" s="484" t="s">
        <v>69</v>
      </c>
      <c r="D2095" s="488">
        <v>15</v>
      </c>
      <c r="E2095" s="451" t="s">
        <v>46</v>
      </c>
      <c r="F2095" s="457">
        <f>F2083</f>
        <v>1200</v>
      </c>
      <c r="G2095" s="457">
        <f>TRUNC(D2095*F2095,2)</f>
        <v>18000</v>
      </c>
      <c r="H2095" s="457"/>
    </row>
    <row r="2096" spans="1:8">
      <c r="B2096" s="865"/>
      <c r="C2096" s="484" t="s">
        <v>43</v>
      </c>
      <c r="D2096" s="488">
        <v>20</v>
      </c>
      <c r="E2096" s="451" t="s">
        <v>46</v>
      </c>
      <c r="F2096" s="457">
        <f>F2084</f>
        <v>870</v>
      </c>
      <c r="G2096" s="457">
        <f>TRUNC(D2096*F2096,2)</f>
        <v>17400</v>
      </c>
      <c r="H2096" s="457"/>
    </row>
    <row r="2097" spans="1:8">
      <c r="B2097" s="864" t="s">
        <v>63</v>
      </c>
      <c r="C2097" s="484" t="s">
        <v>70</v>
      </c>
      <c r="D2097" s="488">
        <v>0.625</v>
      </c>
      <c r="E2097" s="451" t="s">
        <v>71</v>
      </c>
      <c r="F2097" s="457">
        <f>F2062</f>
        <v>14000</v>
      </c>
      <c r="G2097" s="457">
        <f>TRUNC(D2097*F2097,2)</f>
        <v>8750</v>
      </c>
      <c r="H2097" s="457"/>
    </row>
    <row r="2098" spans="1:8">
      <c r="B2098" s="865"/>
      <c r="C2098" s="528" t="str">
        <f>C2053</f>
        <v xml:space="preserve">Sand  river washed </v>
      </c>
      <c r="D2098" s="488">
        <v>1.28</v>
      </c>
      <c r="E2098" s="451" t="s">
        <v>68</v>
      </c>
      <c r="F2098" s="457">
        <f>F2063</f>
        <v>2200</v>
      </c>
      <c r="G2098" s="457">
        <f>TRUNC(D2098*F2098,2)</f>
        <v>2816</v>
      </c>
      <c r="H2098" s="457"/>
    </row>
    <row r="2099" spans="1:8">
      <c r="B2099" s="855" t="s">
        <v>172</v>
      </c>
      <c r="C2099" s="855"/>
      <c r="D2099" s="856" t="s">
        <v>61</v>
      </c>
      <c r="E2099" s="856"/>
      <c r="F2099" s="856"/>
      <c r="G2099" s="457">
        <f>SUM(G2095:G2098)</f>
        <v>46966</v>
      </c>
      <c r="H2099" s="457"/>
    </row>
    <row r="2100" spans="1:8">
      <c r="B2100" s="855"/>
      <c r="C2100" s="855"/>
      <c r="D2100" s="857" t="s">
        <v>573</v>
      </c>
      <c r="E2100" s="857"/>
      <c r="F2100" s="857"/>
      <c r="G2100" s="457">
        <f>INT(15%*G2099*100)/100</f>
        <v>7044.9</v>
      </c>
      <c r="H2100" s="457"/>
    </row>
    <row r="2101" spans="1:8">
      <c r="B2101" s="855"/>
      <c r="C2101" s="855"/>
      <c r="D2101" s="856" t="s">
        <v>47</v>
      </c>
      <c r="E2101" s="856"/>
      <c r="F2101" s="856"/>
      <c r="G2101" s="457">
        <f>SUM(G2099:G2100)</f>
        <v>54010.9</v>
      </c>
      <c r="H2101" s="457"/>
    </row>
    <row r="2102" spans="1:8">
      <c r="F2102" s="462"/>
    </row>
    <row r="2103" spans="1:8" s="605" customFormat="1" ht="12" customHeight="1">
      <c r="A2103" s="603">
        <v>9.1</v>
      </c>
      <c r="B2103" s="604" t="s">
        <v>426</v>
      </c>
      <c r="C2103" s="876" t="s">
        <v>1155</v>
      </c>
      <c r="D2103" s="877"/>
      <c r="E2103" s="877"/>
      <c r="F2103" s="447" t="s">
        <v>50</v>
      </c>
      <c r="G2103" s="447">
        <f>TRUNC(G2109/100,2)</f>
        <v>461.44</v>
      </c>
      <c r="H2103" s="448">
        <f>TRUNC(G2111/100,2)</f>
        <v>530.65</v>
      </c>
    </row>
    <row r="2104" spans="1:8">
      <c r="B2104" s="450" t="s">
        <v>80</v>
      </c>
      <c r="C2104" s="451" t="s">
        <v>81</v>
      </c>
      <c r="D2104" s="451" t="s">
        <v>44</v>
      </c>
      <c r="E2104" s="451" t="s">
        <v>45</v>
      </c>
      <c r="F2104" s="452" t="s">
        <v>58</v>
      </c>
      <c r="G2104" s="452" t="s">
        <v>59</v>
      </c>
      <c r="H2104" s="452" t="s">
        <v>52</v>
      </c>
    </row>
    <row r="2105" spans="1:8">
      <c r="B2105" s="864" t="s">
        <v>60</v>
      </c>
      <c r="C2105" s="484" t="s">
        <v>69</v>
      </c>
      <c r="D2105" s="488">
        <v>15</v>
      </c>
      <c r="E2105" s="451" t="s">
        <v>46</v>
      </c>
      <c r="F2105" s="457">
        <f>F2095</f>
        <v>1200</v>
      </c>
      <c r="G2105" s="457">
        <f>TRUNC(D2105*F2105,2)</f>
        <v>18000</v>
      </c>
      <c r="H2105" s="457"/>
    </row>
    <row r="2106" spans="1:8">
      <c r="B2106" s="865"/>
      <c r="C2106" s="484" t="s">
        <v>43</v>
      </c>
      <c r="D2106" s="488">
        <v>20</v>
      </c>
      <c r="E2106" s="451" t="s">
        <v>46</v>
      </c>
      <c r="F2106" s="457">
        <f>F2096</f>
        <v>870</v>
      </c>
      <c r="G2106" s="457">
        <f>TRUNC(D2106*F2106,2)</f>
        <v>17400</v>
      </c>
      <c r="H2106" s="457"/>
    </row>
    <row r="2107" spans="1:8">
      <c r="B2107" s="864" t="s">
        <v>63</v>
      </c>
      <c r="C2107" s="484" t="s">
        <v>70</v>
      </c>
      <c r="D2107" s="488">
        <v>0.53800000000000003</v>
      </c>
      <c r="E2107" s="451" t="s">
        <v>71</v>
      </c>
      <c r="F2107" s="457">
        <f>F2097</f>
        <v>14000</v>
      </c>
      <c r="G2107" s="457">
        <f>TRUNC(D2107*F2107,2)</f>
        <v>7532</v>
      </c>
      <c r="H2107" s="457"/>
    </row>
    <row r="2108" spans="1:8">
      <c r="B2108" s="865"/>
      <c r="C2108" s="528" t="str">
        <f>C2098</f>
        <v xml:space="preserve">Sand  river washed </v>
      </c>
      <c r="D2108" s="488">
        <v>1.46</v>
      </c>
      <c r="E2108" s="451" t="s">
        <v>68</v>
      </c>
      <c r="F2108" s="457">
        <f>F2098</f>
        <v>2200</v>
      </c>
      <c r="G2108" s="457">
        <f>TRUNC(D2108*F2108,2)</f>
        <v>3212</v>
      </c>
      <c r="H2108" s="457"/>
    </row>
    <row r="2109" spans="1:8">
      <c r="B2109" s="855" t="s">
        <v>172</v>
      </c>
      <c r="C2109" s="855"/>
      <c r="D2109" s="856" t="s">
        <v>61</v>
      </c>
      <c r="E2109" s="856"/>
      <c r="F2109" s="856"/>
      <c r="G2109" s="457">
        <f>SUM(G2105:G2108)</f>
        <v>46144</v>
      </c>
      <c r="H2109" s="457"/>
    </row>
    <row r="2110" spans="1:8">
      <c r="B2110" s="855"/>
      <c r="C2110" s="855"/>
      <c r="D2110" s="857" t="s">
        <v>573</v>
      </c>
      <c r="E2110" s="857"/>
      <c r="F2110" s="857"/>
      <c r="G2110" s="457">
        <f>INT(15%*G2109*100)/100</f>
        <v>6921.6</v>
      </c>
      <c r="H2110" s="457"/>
    </row>
    <row r="2111" spans="1:8">
      <c r="B2111" s="855"/>
      <c r="C2111" s="855"/>
      <c r="D2111" s="856" t="s">
        <v>47</v>
      </c>
      <c r="E2111" s="856"/>
      <c r="F2111" s="856"/>
      <c r="G2111" s="457">
        <f>SUM(G2109:G2110)</f>
        <v>53065.599999999999</v>
      </c>
      <c r="H2111" s="457"/>
    </row>
    <row r="2112" spans="1:8">
      <c r="C2112" s="444"/>
      <c r="F2112" s="462"/>
      <c r="G2112" s="460"/>
      <c r="H2112" s="460"/>
    </row>
    <row r="2113" spans="1:8" s="605" customFormat="1" ht="25.5" customHeight="1">
      <c r="A2113" s="603">
        <v>9.11</v>
      </c>
      <c r="B2113" s="604" t="s">
        <v>437</v>
      </c>
      <c r="C2113" s="891" t="s">
        <v>1529</v>
      </c>
      <c r="D2113" s="892"/>
      <c r="E2113" s="892"/>
      <c r="F2113" s="610" t="s">
        <v>50</v>
      </c>
      <c r="G2113" s="447">
        <f>TRUNC(G2119/100,2)</f>
        <v>279.48</v>
      </c>
      <c r="H2113" s="448">
        <f>TRUNC(G2121/100,2)</f>
        <v>321.39999999999998</v>
      </c>
    </row>
    <row r="2114" spans="1:8">
      <c r="B2114" s="450" t="s">
        <v>80</v>
      </c>
      <c r="C2114" s="451" t="s">
        <v>81</v>
      </c>
      <c r="D2114" s="451" t="s">
        <v>44</v>
      </c>
      <c r="E2114" s="451" t="s">
        <v>45</v>
      </c>
      <c r="F2114" s="452" t="s">
        <v>58</v>
      </c>
      <c r="G2114" s="452" t="s">
        <v>59</v>
      </c>
      <c r="H2114" s="452" t="s">
        <v>52</v>
      </c>
    </row>
    <row r="2115" spans="1:8">
      <c r="B2115" s="887" t="s">
        <v>60</v>
      </c>
      <c r="C2115" s="484" t="s">
        <v>69</v>
      </c>
      <c r="D2115" s="488">
        <v>10.5</v>
      </c>
      <c r="E2115" s="451" t="s">
        <v>46</v>
      </c>
      <c r="F2115" s="457">
        <f>F2105</f>
        <v>1200</v>
      </c>
      <c r="G2115" s="457">
        <f>INT(D2115*F2115*100)/100</f>
        <v>12600</v>
      </c>
      <c r="H2115" s="457"/>
    </row>
    <row r="2116" spans="1:8">
      <c r="B2116" s="887"/>
      <c r="C2116" s="484" t="s">
        <v>43</v>
      </c>
      <c r="D2116" s="488">
        <v>12</v>
      </c>
      <c r="E2116" s="451" t="s">
        <v>46</v>
      </c>
      <c r="F2116" s="457">
        <f>F2106</f>
        <v>870</v>
      </c>
      <c r="G2116" s="457">
        <f>INT(D2116*F2116*100)/100</f>
        <v>10440</v>
      </c>
      <c r="H2116" s="457"/>
    </row>
    <row r="2117" spans="1:8">
      <c r="B2117" s="887" t="s">
        <v>63</v>
      </c>
      <c r="C2117" s="484" t="s">
        <v>70</v>
      </c>
      <c r="D2117" s="488">
        <v>0.316</v>
      </c>
      <c r="E2117" s="451" t="s">
        <v>71</v>
      </c>
      <c r="F2117" s="457">
        <f>F2107</f>
        <v>14000</v>
      </c>
      <c r="G2117" s="457">
        <f>INT(D2117*F2117*100)/100</f>
        <v>4424</v>
      </c>
      <c r="H2117" s="457"/>
    </row>
    <row r="2118" spans="1:8">
      <c r="B2118" s="887"/>
      <c r="C2118" s="528" t="str">
        <f>C2108</f>
        <v xml:space="preserve">Sand  river washed </v>
      </c>
      <c r="D2118" s="488">
        <v>0.22</v>
      </c>
      <c r="E2118" s="451" t="s">
        <v>68</v>
      </c>
      <c r="F2118" s="457">
        <f>F2108</f>
        <v>2200</v>
      </c>
      <c r="G2118" s="457">
        <f>INT(D2118*F2118*100)/100</f>
        <v>484</v>
      </c>
      <c r="H2118" s="457"/>
    </row>
    <row r="2119" spans="1:8">
      <c r="B2119" s="855" t="s">
        <v>172</v>
      </c>
      <c r="C2119" s="855"/>
      <c r="D2119" s="858" t="s">
        <v>61</v>
      </c>
      <c r="E2119" s="859"/>
      <c r="F2119" s="860"/>
      <c r="G2119" s="457">
        <f>SUM(G2115:G2118)</f>
        <v>27948</v>
      </c>
      <c r="H2119" s="457"/>
    </row>
    <row r="2120" spans="1:8" ht="12.75" customHeight="1">
      <c r="B2120" s="855"/>
      <c r="C2120" s="855"/>
      <c r="D2120" s="861" t="s">
        <v>573</v>
      </c>
      <c r="E2120" s="862"/>
      <c r="F2120" s="863"/>
      <c r="G2120" s="457">
        <f>INT(15%*G2119*100)/100</f>
        <v>4192.2</v>
      </c>
      <c r="H2120" s="457"/>
    </row>
    <row r="2121" spans="1:8" ht="12.75" customHeight="1">
      <c r="B2121" s="855"/>
      <c r="C2121" s="855"/>
      <c r="D2121" s="858" t="s">
        <v>47</v>
      </c>
      <c r="E2121" s="859"/>
      <c r="F2121" s="860"/>
      <c r="G2121" s="457">
        <f>SUM(G2119:G2120)</f>
        <v>32140.2</v>
      </c>
      <c r="H2121" s="457"/>
    </row>
    <row r="2123" spans="1:8" s="605" customFormat="1" ht="25.5" customHeight="1">
      <c r="A2123" s="603">
        <v>9.1199999999999992</v>
      </c>
      <c r="B2123" s="604" t="s">
        <v>438</v>
      </c>
      <c r="C2123" s="891" t="s">
        <v>1530</v>
      </c>
      <c r="D2123" s="892" t="s">
        <v>50</v>
      </c>
      <c r="E2123" s="892">
        <f>INT(G2131/100*100)/100</f>
        <v>306.10000000000002</v>
      </c>
      <c r="F2123" s="610" t="s">
        <v>50</v>
      </c>
      <c r="G2123" s="447">
        <f>TRUNC(G2129/100,2)</f>
        <v>266.18</v>
      </c>
      <c r="H2123" s="448">
        <f>TRUNC(G2131/100,2)</f>
        <v>306.10000000000002</v>
      </c>
    </row>
    <row r="2124" spans="1:8">
      <c r="B2124" s="450" t="s">
        <v>80</v>
      </c>
      <c r="C2124" s="451" t="s">
        <v>81</v>
      </c>
      <c r="D2124" s="451" t="s">
        <v>44</v>
      </c>
      <c r="E2124" s="451" t="s">
        <v>45</v>
      </c>
      <c r="F2124" s="452" t="s">
        <v>58</v>
      </c>
      <c r="G2124" s="452" t="s">
        <v>59</v>
      </c>
      <c r="H2124" s="452" t="s">
        <v>52</v>
      </c>
    </row>
    <row r="2125" spans="1:8">
      <c r="B2125" s="887" t="s">
        <v>60</v>
      </c>
      <c r="C2125" s="484" t="s">
        <v>69</v>
      </c>
      <c r="D2125" s="488">
        <v>10.5</v>
      </c>
      <c r="E2125" s="451" t="s">
        <v>46</v>
      </c>
      <c r="F2125" s="457">
        <f>F2115</f>
        <v>1200</v>
      </c>
      <c r="G2125" s="457">
        <f>INT(D2125*F2125*100)/100</f>
        <v>12600</v>
      </c>
      <c r="H2125" s="457"/>
    </row>
    <row r="2126" spans="1:8">
      <c r="B2126" s="856"/>
      <c r="C2126" s="484" t="s">
        <v>43</v>
      </c>
      <c r="D2126" s="488">
        <v>12</v>
      </c>
      <c r="E2126" s="451" t="s">
        <v>46</v>
      </c>
      <c r="F2126" s="457">
        <f>F2116</f>
        <v>870</v>
      </c>
      <c r="G2126" s="457">
        <f>INT(D2126*F2126*100)/100</f>
        <v>10440</v>
      </c>
      <c r="H2126" s="457"/>
    </row>
    <row r="2127" spans="1:8">
      <c r="B2127" s="887" t="s">
        <v>63</v>
      </c>
      <c r="C2127" s="484" t="s">
        <v>70</v>
      </c>
      <c r="D2127" s="488">
        <v>0.21</v>
      </c>
      <c r="E2127" s="451" t="s">
        <v>71</v>
      </c>
      <c r="F2127" s="457">
        <f>F2117</f>
        <v>14000</v>
      </c>
      <c r="G2127" s="457">
        <f>INT(D2127*F2127*100)/100</f>
        <v>2940</v>
      </c>
      <c r="H2127" s="457"/>
    </row>
    <row r="2128" spans="1:8">
      <c r="B2128" s="856"/>
      <c r="C2128" s="528" t="str">
        <f>C2118</f>
        <v xml:space="preserve">Sand  river washed </v>
      </c>
      <c r="D2128" s="488">
        <v>0.28999999999999998</v>
      </c>
      <c r="E2128" s="451" t="s">
        <v>68</v>
      </c>
      <c r="F2128" s="457">
        <f>F2118</f>
        <v>2200</v>
      </c>
      <c r="G2128" s="457">
        <f>INT(D2128*F2128*100)/100</f>
        <v>638</v>
      </c>
      <c r="H2128" s="457"/>
    </row>
    <row r="2129" spans="1:8">
      <c r="B2129" s="855" t="s">
        <v>172</v>
      </c>
      <c r="C2129" s="960"/>
      <c r="D2129" s="856" t="s">
        <v>61</v>
      </c>
      <c r="E2129" s="960"/>
      <c r="F2129" s="960"/>
      <c r="G2129" s="457">
        <f>SUM(G2125:G2128)</f>
        <v>26618</v>
      </c>
      <c r="H2129" s="457"/>
    </row>
    <row r="2130" spans="1:8">
      <c r="B2130" s="960"/>
      <c r="C2130" s="960"/>
      <c r="D2130" s="857" t="s">
        <v>573</v>
      </c>
      <c r="E2130" s="960"/>
      <c r="F2130" s="960"/>
      <c r="G2130" s="457">
        <f>INT(15%*G2129*100)/100</f>
        <v>3992.7</v>
      </c>
      <c r="H2130" s="457"/>
    </row>
    <row r="2131" spans="1:8">
      <c r="B2131" s="960"/>
      <c r="C2131" s="960"/>
      <c r="D2131" s="856" t="s">
        <v>47</v>
      </c>
      <c r="E2131" s="960"/>
      <c r="F2131" s="960"/>
      <c r="G2131" s="457">
        <f>SUM(G2129:G2130)</f>
        <v>30610.7</v>
      </c>
      <c r="H2131" s="457"/>
    </row>
    <row r="2132" spans="1:8">
      <c r="B2132" s="443"/>
      <c r="E2132" s="443"/>
      <c r="F2132" s="443"/>
      <c r="G2132" s="460"/>
      <c r="H2132" s="460"/>
    </row>
    <row r="2133" spans="1:8" s="605" customFormat="1" ht="28.5" customHeight="1">
      <c r="A2133" s="603">
        <v>9.1300000000000008</v>
      </c>
      <c r="B2133" s="604" t="s">
        <v>439</v>
      </c>
      <c r="C2133" s="891" t="s">
        <v>1531</v>
      </c>
      <c r="D2133" s="892"/>
      <c r="E2133" s="892"/>
      <c r="F2133" s="610" t="s">
        <v>50</v>
      </c>
      <c r="G2133" s="447">
        <f>TRUNC(G2139/100,2)</f>
        <v>259.14</v>
      </c>
      <c r="H2133" s="448">
        <f>TRUNC(G2141/100,2)</f>
        <v>298.01</v>
      </c>
    </row>
    <row r="2134" spans="1:8">
      <c r="B2134" s="450" t="s">
        <v>80</v>
      </c>
      <c r="C2134" s="451" t="s">
        <v>81</v>
      </c>
      <c r="D2134" s="451" t="s">
        <v>44</v>
      </c>
      <c r="E2134" s="451" t="s">
        <v>45</v>
      </c>
      <c r="F2134" s="452" t="s">
        <v>58</v>
      </c>
      <c r="G2134" s="452" t="s">
        <v>59</v>
      </c>
      <c r="H2134" s="452" t="s">
        <v>52</v>
      </c>
    </row>
    <row r="2135" spans="1:8">
      <c r="B2135" s="864" t="s">
        <v>60</v>
      </c>
      <c r="C2135" s="484" t="s">
        <v>69</v>
      </c>
      <c r="D2135" s="488">
        <v>10.5</v>
      </c>
      <c r="E2135" s="451" t="s">
        <v>46</v>
      </c>
      <c r="F2135" s="457">
        <f>F2125</f>
        <v>1200</v>
      </c>
      <c r="G2135" s="457">
        <f>INT(D2135*F2135*100)/100</f>
        <v>12600</v>
      </c>
      <c r="H2135" s="457"/>
    </row>
    <row r="2136" spans="1:8">
      <c r="B2136" s="865"/>
      <c r="C2136" s="484" t="s">
        <v>43</v>
      </c>
      <c r="D2136" s="488">
        <v>12</v>
      </c>
      <c r="E2136" s="451" t="s">
        <v>46</v>
      </c>
      <c r="F2136" s="457">
        <f>F2126</f>
        <v>870</v>
      </c>
      <c r="G2136" s="457">
        <f>INT(D2136*F2136*100)/100</f>
        <v>10440</v>
      </c>
      <c r="H2136" s="457"/>
    </row>
    <row r="2137" spans="1:8">
      <c r="B2137" s="864" t="s">
        <v>63</v>
      </c>
      <c r="C2137" s="484" t="s">
        <v>70</v>
      </c>
      <c r="D2137" s="488">
        <v>0.155</v>
      </c>
      <c r="E2137" s="451" t="s">
        <v>71</v>
      </c>
      <c r="F2137" s="457">
        <f>F2127</f>
        <v>14000</v>
      </c>
      <c r="G2137" s="457">
        <f>INT(D2137*F2137*100)/100</f>
        <v>2170</v>
      </c>
      <c r="H2137" s="457"/>
    </row>
    <row r="2138" spans="1:8">
      <c r="B2138" s="865"/>
      <c r="C2138" s="528" t="str">
        <f>C2128</f>
        <v xml:space="preserve">Sand  river washed </v>
      </c>
      <c r="D2138" s="488">
        <v>0.32</v>
      </c>
      <c r="E2138" s="451" t="s">
        <v>68</v>
      </c>
      <c r="F2138" s="457">
        <f>F2128</f>
        <v>2200</v>
      </c>
      <c r="G2138" s="457">
        <f>INT(D2138*F2138*100)/100</f>
        <v>704</v>
      </c>
      <c r="H2138" s="457"/>
    </row>
    <row r="2139" spans="1:8">
      <c r="B2139" s="855" t="s">
        <v>172</v>
      </c>
      <c r="C2139" s="855"/>
      <c r="D2139" s="856" t="s">
        <v>61</v>
      </c>
      <c r="E2139" s="856"/>
      <c r="F2139" s="856"/>
      <c r="G2139" s="457">
        <f>SUM(G2135:G2138)</f>
        <v>25914</v>
      </c>
      <c r="H2139" s="457"/>
    </row>
    <row r="2140" spans="1:8">
      <c r="B2140" s="855"/>
      <c r="C2140" s="855"/>
      <c r="D2140" s="857" t="s">
        <v>573</v>
      </c>
      <c r="E2140" s="857"/>
      <c r="F2140" s="857"/>
      <c r="G2140" s="457">
        <f>INT(15%*G2139*100)/100</f>
        <v>3887.1</v>
      </c>
      <c r="H2140" s="457"/>
    </row>
    <row r="2141" spans="1:8">
      <c r="B2141" s="855"/>
      <c r="C2141" s="855"/>
      <c r="D2141" s="856" t="s">
        <v>47</v>
      </c>
      <c r="E2141" s="856"/>
      <c r="F2141" s="856"/>
      <c r="G2141" s="457">
        <f>SUM(G2139:G2140)</f>
        <v>29801.1</v>
      </c>
      <c r="H2141" s="457"/>
    </row>
    <row r="2143" spans="1:8" s="605" customFormat="1" ht="25.5" customHeight="1">
      <c r="A2143" s="603">
        <v>9.14</v>
      </c>
      <c r="B2143" s="604" t="s">
        <v>437</v>
      </c>
      <c r="C2143" s="891" t="s">
        <v>1532</v>
      </c>
      <c r="D2143" s="892"/>
      <c r="E2143" s="892"/>
      <c r="F2143" s="610" t="s">
        <v>50</v>
      </c>
      <c r="G2143" s="447">
        <f>TRUNC(G2149/100,2)</f>
        <v>394.68</v>
      </c>
      <c r="H2143" s="448">
        <f>TRUNC(G2151/100,2)</f>
        <v>453.88</v>
      </c>
    </row>
    <row r="2144" spans="1:8">
      <c r="B2144" s="450" t="s">
        <v>80</v>
      </c>
      <c r="C2144" s="451" t="s">
        <v>81</v>
      </c>
      <c r="D2144" s="451" t="s">
        <v>44</v>
      </c>
      <c r="E2144" s="451" t="s">
        <v>45</v>
      </c>
      <c r="F2144" s="452" t="s">
        <v>58</v>
      </c>
      <c r="G2144" s="452" t="s">
        <v>59</v>
      </c>
      <c r="H2144" s="452" t="s">
        <v>52</v>
      </c>
    </row>
    <row r="2145" spans="1:8">
      <c r="B2145" s="887" t="s">
        <v>60</v>
      </c>
      <c r="C2145" s="484" t="s">
        <v>69</v>
      </c>
      <c r="D2145" s="488">
        <v>15.75</v>
      </c>
      <c r="E2145" s="451" t="s">
        <v>46</v>
      </c>
      <c r="F2145" s="457">
        <f>F2135</f>
        <v>1200</v>
      </c>
      <c r="G2145" s="457">
        <f>INT(D2145*F2145*100)/100</f>
        <v>18900</v>
      </c>
      <c r="H2145" s="457"/>
    </row>
    <row r="2146" spans="1:8">
      <c r="B2146" s="887"/>
      <c r="C2146" s="484" t="s">
        <v>43</v>
      </c>
      <c r="D2146" s="488">
        <v>18</v>
      </c>
      <c r="E2146" s="451" t="s">
        <v>46</v>
      </c>
      <c r="F2146" s="457">
        <f>F2136</f>
        <v>870</v>
      </c>
      <c r="G2146" s="457">
        <f>INT(D2146*F2146*100)/100</f>
        <v>15660</v>
      </c>
      <c r="H2146" s="457"/>
    </row>
    <row r="2147" spans="1:8">
      <c r="B2147" s="887" t="s">
        <v>63</v>
      </c>
      <c r="C2147" s="484" t="s">
        <v>70</v>
      </c>
      <c r="D2147" s="488">
        <v>0.316</v>
      </c>
      <c r="E2147" s="451" t="s">
        <v>71</v>
      </c>
      <c r="F2147" s="457">
        <f>F2137</f>
        <v>14000</v>
      </c>
      <c r="G2147" s="457">
        <f>INT(D2147*F2147*100)/100</f>
        <v>4424</v>
      </c>
      <c r="H2147" s="457"/>
    </row>
    <row r="2148" spans="1:8">
      <c r="B2148" s="887"/>
      <c r="C2148" s="528" t="str">
        <f>C2138</f>
        <v xml:space="preserve">Sand  river washed </v>
      </c>
      <c r="D2148" s="488">
        <v>0.22</v>
      </c>
      <c r="E2148" s="451" t="s">
        <v>68</v>
      </c>
      <c r="F2148" s="457">
        <f>F2138</f>
        <v>2200</v>
      </c>
      <c r="G2148" s="457">
        <f>INT(D2148*F2148*100)/100</f>
        <v>484</v>
      </c>
      <c r="H2148" s="457"/>
    </row>
    <row r="2149" spans="1:8">
      <c r="B2149" s="855" t="s">
        <v>172</v>
      </c>
      <c r="C2149" s="855"/>
      <c r="D2149" s="856" t="s">
        <v>61</v>
      </c>
      <c r="E2149" s="856"/>
      <c r="F2149" s="856"/>
      <c r="G2149" s="457">
        <f>SUM(G2145:G2148)</f>
        <v>39468</v>
      </c>
      <c r="H2149" s="457"/>
    </row>
    <row r="2150" spans="1:8">
      <c r="B2150" s="855"/>
      <c r="C2150" s="855"/>
      <c r="D2150" s="857" t="s">
        <v>573</v>
      </c>
      <c r="E2150" s="857"/>
      <c r="F2150" s="857"/>
      <c r="G2150" s="457">
        <f>INT(15%*G2149*100)/100</f>
        <v>5920.2</v>
      </c>
      <c r="H2150" s="457"/>
    </row>
    <row r="2151" spans="1:8">
      <c r="B2151" s="855"/>
      <c r="C2151" s="855"/>
      <c r="D2151" s="856" t="s">
        <v>47</v>
      </c>
      <c r="E2151" s="856"/>
      <c r="F2151" s="856"/>
      <c r="G2151" s="457">
        <f>SUM(G2149:G2150)</f>
        <v>45388.2</v>
      </c>
      <c r="H2151" s="457"/>
    </row>
    <row r="2153" spans="1:8" s="605" customFormat="1" ht="25.5" customHeight="1">
      <c r="A2153" s="603">
        <v>9.15</v>
      </c>
      <c r="B2153" s="604" t="s">
        <v>438</v>
      </c>
      <c r="C2153" s="891" t="s">
        <v>1533</v>
      </c>
      <c r="D2153" s="892"/>
      <c r="E2153" s="892"/>
      <c r="F2153" s="610" t="s">
        <v>50</v>
      </c>
      <c r="G2153" s="447">
        <f>TRUNC(G2159/100,2)</f>
        <v>381.38</v>
      </c>
      <c r="H2153" s="448">
        <f>TRUNC(G2161/100,2)</f>
        <v>438.58</v>
      </c>
    </row>
    <row r="2154" spans="1:8">
      <c r="B2154" s="450" t="s">
        <v>80</v>
      </c>
      <c r="C2154" s="451" t="s">
        <v>81</v>
      </c>
      <c r="D2154" s="451" t="s">
        <v>44</v>
      </c>
      <c r="E2154" s="451" t="s">
        <v>45</v>
      </c>
      <c r="F2154" s="452" t="s">
        <v>58</v>
      </c>
      <c r="G2154" s="452" t="s">
        <v>59</v>
      </c>
      <c r="H2154" s="452" t="s">
        <v>52</v>
      </c>
    </row>
    <row r="2155" spans="1:8">
      <c r="B2155" s="864" t="s">
        <v>60</v>
      </c>
      <c r="C2155" s="484" t="s">
        <v>69</v>
      </c>
      <c r="D2155" s="488">
        <v>15.75</v>
      </c>
      <c r="E2155" s="451" t="s">
        <v>46</v>
      </c>
      <c r="F2155" s="457">
        <f>F2145</f>
        <v>1200</v>
      </c>
      <c r="G2155" s="457">
        <f>INT(D2155*F2155*100)/100</f>
        <v>18900</v>
      </c>
      <c r="H2155" s="457"/>
    </row>
    <row r="2156" spans="1:8">
      <c r="B2156" s="865"/>
      <c r="C2156" s="484" t="s">
        <v>43</v>
      </c>
      <c r="D2156" s="488">
        <v>18</v>
      </c>
      <c r="E2156" s="451" t="s">
        <v>46</v>
      </c>
      <c r="F2156" s="457">
        <f>F2146</f>
        <v>870</v>
      </c>
      <c r="G2156" s="457">
        <f>INT(D2156*F2156*100)/100</f>
        <v>15660</v>
      </c>
      <c r="H2156" s="457"/>
    </row>
    <row r="2157" spans="1:8">
      <c r="B2157" s="864" t="s">
        <v>63</v>
      </c>
      <c r="C2157" s="484" t="s">
        <v>70</v>
      </c>
      <c r="D2157" s="488">
        <v>0.21</v>
      </c>
      <c r="E2157" s="451" t="s">
        <v>71</v>
      </c>
      <c r="F2157" s="457">
        <f>F2147</f>
        <v>14000</v>
      </c>
      <c r="G2157" s="457">
        <f>INT(D2157*F2157*100)/100</f>
        <v>2940</v>
      </c>
      <c r="H2157" s="457"/>
    </row>
    <row r="2158" spans="1:8">
      <c r="B2158" s="865"/>
      <c r="C2158" s="528" t="str">
        <f>C2148</f>
        <v xml:space="preserve">Sand  river washed </v>
      </c>
      <c r="D2158" s="488">
        <v>0.28999999999999998</v>
      </c>
      <c r="E2158" s="451" t="s">
        <v>68</v>
      </c>
      <c r="F2158" s="457">
        <f>F2148</f>
        <v>2200</v>
      </c>
      <c r="G2158" s="457">
        <f>INT(D2158*F2158*100)/100</f>
        <v>638</v>
      </c>
      <c r="H2158" s="457"/>
    </row>
    <row r="2159" spans="1:8">
      <c r="B2159" s="855" t="s">
        <v>172</v>
      </c>
      <c r="C2159" s="855"/>
      <c r="D2159" s="856" t="s">
        <v>61</v>
      </c>
      <c r="E2159" s="856"/>
      <c r="F2159" s="856"/>
      <c r="G2159" s="457">
        <f>SUM(G2155:G2158)</f>
        <v>38138</v>
      </c>
      <c r="H2159" s="457"/>
    </row>
    <row r="2160" spans="1:8">
      <c r="B2160" s="855"/>
      <c r="C2160" s="855"/>
      <c r="D2160" s="857" t="s">
        <v>573</v>
      </c>
      <c r="E2160" s="857"/>
      <c r="F2160" s="857"/>
      <c r="G2160" s="457">
        <f>INT(15%*G2159*100)/100</f>
        <v>5720.7</v>
      </c>
      <c r="H2160" s="457"/>
    </row>
    <row r="2161" spans="1:8">
      <c r="B2161" s="855"/>
      <c r="C2161" s="855"/>
      <c r="D2161" s="856" t="s">
        <v>47</v>
      </c>
      <c r="E2161" s="856"/>
      <c r="F2161" s="856"/>
      <c r="G2161" s="457">
        <f>SUM(G2159:G2160)</f>
        <v>43858.7</v>
      </c>
      <c r="H2161" s="457"/>
    </row>
    <row r="2162" spans="1:8">
      <c r="C2162" s="459"/>
      <c r="F2162" s="462"/>
      <c r="G2162" s="460"/>
      <c r="H2162" s="460"/>
    </row>
    <row r="2163" spans="1:8">
      <c r="C2163" s="459"/>
      <c r="F2163" s="462"/>
      <c r="G2163" s="460"/>
      <c r="H2163" s="460"/>
    </row>
    <row r="2164" spans="1:8" s="605" customFormat="1" ht="26.25" customHeight="1">
      <c r="A2164" s="603">
        <v>9.16</v>
      </c>
      <c r="B2164" s="604" t="s">
        <v>439</v>
      </c>
      <c r="C2164" s="891" t="s">
        <v>1534</v>
      </c>
      <c r="D2164" s="892"/>
      <c r="E2164" s="892"/>
      <c r="F2164" s="610" t="s">
        <v>50</v>
      </c>
      <c r="G2164" s="447">
        <f>TRUNC(G2170/100,2)</f>
        <v>374.34</v>
      </c>
      <c r="H2164" s="448">
        <f>TRUNC(G2172/100,2)</f>
        <v>430.49</v>
      </c>
    </row>
    <row r="2165" spans="1:8">
      <c r="B2165" s="450" t="s">
        <v>80</v>
      </c>
      <c r="C2165" s="451" t="s">
        <v>81</v>
      </c>
      <c r="D2165" s="451" t="s">
        <v>44</v>
      </c>
      <c r="E2165" s="451" t="s">
        <v>45</v>
      </c>
      <c r="F2165" s="452" t="s">
        <v>58</v>
      </c>
      <c r="G2165" s="452" t="s">
        <v>59</v>
      </c>
      <c r="H2165" s="452" t="s">
        <v>52</v>
      </c>
    </row>
    <row r="2166" spans="1:8">
      <c r="B2166" s="887" t="s">
        <v>60</v>
      </c>
      <c r="C2166" s="484" t="s">
        <v>69</v>
      </c>
      <c r="D2166" s="488">
        <v>15.75</v>
      </c>
      <c r="E2166" s="451" t="s">
        <v>46</v>
      </c>
      <c r="F2166" s="457">
        <f>F2155</f>
        <v>1200</v>
      </c>
      <c r="G2166" s="457">
        <f>INT(D2166*F2166*100)/100</f>
        <v>18900</v>
      </c>
      <c r="H2166" s="457"/>
    </row>
    <row r="2167" spans="1:8">
      <c r="B2167" s="887"/>
      <c r="C2167" s="484" t="s">
        <v>43</v>
      </c>
      <c r="D2167" s="488">
        <v>18</v>
      </c>
      <c r="E2167" s="451" t="s">
        <v>46</v>
      </c>
      <c r="F2167" s="457">
        <f>F2156</f>
        <v>870</v>
      </c>
      <c r="G2167" s="457">
        <f>INT(D2167*F2167*100)/100</f>
        <v>15660</v>
      </c>
      <c r="H2167" s="457"/>
    </row>
    <row r="2168" spans="1:8">
      <c r="B2168" s="887" t="s">
        <v>63</v>
      </c>
      <c r="C2168" s="484" t="s">
        <v>70</v>
      </c>
      <c r="D2168" s="488">
        <v>0.155</v>
      </c>
      <c r="E2168" s="451" t="s">
        <v>71</v>
      </c>
      <c r="F2168" s="457">
        <f>F2157</f>
        <v>14000</v>
      </c>
      <c r="G2168" s="457">
        <f>INT(D2168*F2168*100)/100</f>
        <v>2170</v>
      </c>
      <c r="H2168" s="457"/>
    </row>
    <row r="2169" spans="1:8">
      <c r="B2169" s="887"/>
      <c r="C2169" s="528" t="str">
        <f>C2158</f>
        <v xml:space="preserve">Sand  river washed </v>
      </c>
      <c r="D2169" s="488">
        <v>0.32</v>
      </c>
      <c r="E2169" s="451" t="s">
        <v>68</v>
      </c>
      <c r="F2169" s="457">
        <f>F2158</f>
        <v>2200</v>
      </c>
      <c r="G2169" s="457">
        <f>INT(D2169*F2169*100)/100</f>
        <v>704</v>
      </c>
      <c r="H2169" s="457"/>
    </row>
    <row r="2170" spans="1:8">
      <c r="B2170" s="855" t="s">
        <v>172</v>
      </c>
      <c r="C2170" s="855"/>
      <c r="D2170" s="856" t="s">
        <v>61</v>
      </c>
      <c r="E2170" s="856"/>
      <c r="F2170" s="856"/>
      <c r="G2170" s="457">
        <f>SUM(G2166:G2169)</f>
        <v>37434</v>
      </c>
      <c r="H2170" s="457"/>
    </row>
    <row r="2171" spans="1:8">
      <c r="B2171" s="855"/>
      <c r="C2171" s="855"/>
      <c r="D2171" s="857" t="s">
        <v>573</v>
      </c>
      <c r="E2171" s="857"/>
      <c r="F2171" s="857"/>
      <c r="G2171" s="457">
        <f>INT(15%*G2170*100)/100</f>
        <v>5615.1</v>
      </c>
      <c r="H2171" s="457"/>
    </row>
    <row r="2172" spans="1:8">
      <c r="B2172" s="855"/>
      <c r="C2172" s="855"/>
      <c r="D2172" s="856" t="s">
        <v>47</v>
      </c>
      <c r="E2172" s="856"/>
      <c r="F2172" s="856"/>
      <c r="G2172" s="457">
        <f>SUM(G2170:G2171)</f>
        <v>43049.1</v>
      </c>
      <c r="H2172" s="457"/>
    </row>
    <row r="2173" spans="1:8">
      <c r="F2173" s="474"/>
      <c r="G2173" s="474"/>
      <c r="H2173" s="474"/>
    </row>
    <row r="2174" spans="1:8" s="605" customFormat="1" ht="24" customHeight="1">
      <c r="A2174" s="603">
        <v>9.17</v>
      </c>
      <c r="B2174" s="604" t="s">
        <v>440</v>
      </c>
      <c r="C2174" s="891" t="s">
        <v>1535</v>
      </c>
      <c r="D2174" s="892"/>
      <c r="E2174" s="892"/>
      <c r="F2174" s="610" t="s">
        <v>50</v>
      </c>
      <c r="G2174" s="447">
        <f>TRUNC(G2180/100,2)</f>
        <v>336.94</v>
      </c>
      <c r="H2174" s="448">
        <f>TRUNC(G2182/100,2)</f>
        <v>387.48</v>
      </c>
    </row>
    <row r="2175" spans="1:8">
      <c r="B2175" s="450" t="s">
        <v>80</v>
      </c>
      <c r="C2175" s="451" t="s">
        <v>81</v>
      </c>
      <c r="D2175" s="451" t="s">
        <v>44</v>
      </c>
      <c r="E2175" s="451" t="s">
        <v>45</v>
      </c>
      <c r="F2175" s="452" t="s">
        <v>58</v>
      </c>
      <c r="G2175" s="452" t="s">
        <v>59</v>
      </c>
      <c r="H2175" s="452" t="s">
        <v>52</v>
      </c>
    </row>
    <row r="2176" spans="1:8">
      <c r="B2176" s="887" t="s">
        <v>60</v>
      </c>
      <c r="C2176" s="484" t="s">
        <v>69</v>
      </c>
      <c r="D2176" s="488">
        <v>10</v>
      </c>
      <c r="E2176" s="451" t="s">
        <v>46</v>
      </c>
      <c r="F2176" s="457">
        <f>F2166</f>
        <v>1200</v>
      </c>
      <c r="G2176" s="457">
        <f>INT(D2176*F2176*100)/100</f>
        <v>12000</v>
      </c>
      <c r="H2176" s="457"/>
    </row>
    <row r="2177" spans="1:8">
      <c r="B2177" s="887"/>
      <c r="C2177" s="484" t="s">
        <v>43</v>
      </c>
      <c r="D2177" s="488">
        <v>14</v>
      </c>
      <c r="E2177" s="451" t="s">
        <v>46</v>
      </c>
      <c r="F2177" s="457">
        <f>F2167</f>
        <v>870</v>
      </c>
      <c r="G2177" s="457">
        <f>INT(D2177*F2177*100)/100</f>
        <v>12180</v>
      </c>
      <c r="H2177" s="457"/>
    </row>
    <row r="2178" spans="1:8">
      <c r="B2178" s="887" t="s">
        <v>63</v>
      </c>
      <c r="C2178" s="484" t="s">
        <v>70</v>
      </c>
      <c r="D2178" s="488">
        <v>0.61199999999999999</v>
      </c>
      <c r="E2178" s="451" t="s">
        <v>71</v>
      </c>
      <c r="F2178" s="457">
        <f>F2168</f>
        <v>14000</v>
      </c>
      <c r="G2178" s="457">
        <f>INT(D2178*F2178*100)/100</f>
        <v>8568</v>
      </c>
      <c r="H2178" s="457"/>
    </row>
    <row r="2179" spans="1:8">
      <c r="B2179" s="887"/>
      <c r="C2179" s="528" t="str">
        <f>C2169</f>
        <v xml:space="preserve">Sand  river washed </v>
      </c>
      <c r="D2179" s="488">
        <v>0.43</v>
      </c>
      <c r="E2179" s="451" t="s">
        <v>68</v>
      </c>
      <c r="F2179" s="457">
        <f>F2169</f>
        <v>2200</v>
      </c>
      <c r="G2179" s="457">
        <f>INT(D2179*F2179*100)/100</f>
        <v>946</v>
      </c>
      <c r="H2179" s="457"/>
    </row>
    <row r="2180" spans="1:8">
      <c r="B2180" s="879" t="s">
        <v>172</v>
      </c>
      <c r="C2180" s="977"/>
      <c r="D2180" s="858" t="s">
        <v>61</v>
      </c>
      <c r="E2180" s="859"/>
      <c r="F2180" s="860"/>
      <c r="G2180" s="611">
        <f>SUM(G2176:G2179)</f>
        <v>33694</v>
      </c>
      <c r="H2180" s="612"/>
    </row>
    <row r="2181" spans="1:8">
      <c r="B2181" s="881"/>
      <c r="C2181" s="978"/>
      <c r="D2181" s="861" t="s">
        <v>573</v>
      </c>
      <c r="E2181" s="862"/>
      <c r="F2181" s="863"/>
      <c r="G2181" s="613">
        <f>INT(15%*G2180*100)/100</f>
        <v>5054.1000000000004</v>
      </c>
      <c r="H2181" s="614"/>
    </row>
    <row r="2182" spans="1:8">
      <c r="B2182" s="883"/>
      <c r="C2182" s="979"/>
      <c r="D2182" s="858" t="s">
        <v>47</v>
      </c>
      <c r="E2182" s="859"/>
      <c r="F2182" s="860"/>
      <c r="G2182" s="615">
        <f>SUM(G2180:G2181)</f>
        <v>38748.1</v>
      </c>
      <c r="H2182" s="616"/>
    </row>
    <row r="2183" spans="1:8">
      <c r="F2183" s="474"/>
      <c r="G2183" s="474"/>
      <c r="H2183" s="474"/>
    </row>
    <row r="2184" spans="1:8" s="605" customFormat="1" ht="24.75" customHeight="1">
      <c r="A2184" s="603">
        <v>9.18</v>
      </c>
      <c r="B2184" s="604" t="s">
        <v>441</v>
      </c>
      <c r="C2184" s="891" t="s">
        <v>1536</v>
      </c>
      <c r="D2184" s="892"/>
      <c r="E2184" s="892"/>
      <c r="F2184" s="610" t="s">
        <v>50</v>
      </c>
      <c r="G2184" s="447">
        <f>TRUNC(G2190/100,2)</f>
        <v>311.45999999999998</v>
      </c>
      <c r="H2184" s="448">
        <f>TRUNC(G2192/100,2)</f>
        <v>358.17</v>
      </c>
    </row>
    <row r="2185" spans="1:8">
      <c r="B2185" s="617" t="s">
        <v>80</v>
      </c>
      <c r="C2185" s="618" t="s">
        <v>81</v>
      </c>
      <c r="D2185" s="618" t="s">
        <v>44</v>
      </c>
      <c r="E2185" s="618" t="s">
        <v>45</v>
      </c>
      <c r="F2185" s="619" t="s">
        <v>58</v>
      </c>
      <c r="G2185" s="619" t="s">
        <v>59</v>
      </c>
      <c r="H2185" s="620" t="s">
        <v>52</v>
      </c>
    </row>
    <row r="2186" spans="1:8">
      <c r="B2186" s="980" t="s">
        <v>60</v>
      </c>
      <c r="C2186" s="621" t="s">
        <v>69</v>
      </c>
      <c r="D2186" s="622">
        <v>10</v>
      </c>
      <c r="E2186" s="618" t="s">
        <v>46</v>
      </c>
      <c r="F2186" s="613">
        <f>F2176</f>
        <v>1200</v>
      </c>
      <c r="G2186" s="613">
        <f>INT(D2186*F2186*100)/100</f>
        <v>12000</v>
      </c>
      <c r="H2186" s="614"/>
    </row>
    <row r="2187" spans="1:8">
      <c r="B2187" s="981"/>
      <c r="C2187" s="621" t="s">
        <v>43</v>
      </c>
      <c r="D2187" s="622">
        <v>14</v>
      </c>
      <c r="E2187" s="618" t="s">
        <v>46</v>
      </c>
      <c r="F2187" s="613">
        <f>F2177</f>
        <v>870</v>
      </c>
      <c r="G2187" s="613">
        <f>INT(D2187*F2187*100)/100</f>
        <v>12180</v>
      </c>
      <c r="H2187" s="614"/>
    </row>
    <row r="2188" spans="1:8">
      <c r="B2188" s="980" t="s">
        <v>63</v>
      </c>
      <c r="C2188" s="621" t="s">
        <v>70</v>
      </c>
      <c r="D2188" s="622">
        <v>0.40799999999999997</v>
      </c>
      <c r="E2188" s="618" t="s">
        <v>71</v>
      </c>
      <c r="F2188" s="613">
        <f>F2178</f>
        <v>14000</v>
      </c>
      <c r="G2188" s="613">
        <f>INT(D2188*F2188*100)/100</f>
        <v>5712</v>
      </c>
      <c r="H2188" s="614"/>
    </row>
    <row r="2189" spans="1:8">
      <c r="B2189" s="982"/>
      <c r="C2189" s="623" t="str">
        <f>C2179</f>
        <v xml:space="preserve">Sand  river washed </v>
      </c>
      <c r="D2189" s="622">
        <v>0.56999999999999995</v>
      </c>
      <c r="E2189" s="618" t="s">
        <v>68</v>
      </c>
      <c r="F2189" s="613">
        <f>F2179</f>
        <v>2200</v>
      </c>
      <c r="G2189" s="613">
        <f>INT(D2189*F2189*100)/100</f>
        <v>1254</v>
      </c>
      <c r="H2189" s="614"/>
    </row>
    <row r="2190" spans="1:8">
      <c r="B2190" s="879" t="s">
        <v>172</v>
      </c>
      <c r="C2190" s="977"/>
      <c r="D2190" s="858" t="s">
        <v>61</v>
      </c>
      <c r="E2190" s="859"/>
      <c r="F2190" s="860"/>
      <c r="G2190" s="611">
        <f>SUM(G2186:G2189)</f>
        <v>31146</v>
      </c>
      <c r="H2190" s="612"/>
    </row>
    <row r="2191" spans="1:8">
      <c r="B2191" s="881"/>
      <c r="C2191" s="978"/>
      <c r="D2191" s="861" t="s">
        <v>573</v>
      </c>
      <c r="E2191" s="862"/>
      <c r="F2191" s="863"/>
      <c r="G2191" s="613">
        <f>INT(15%*G2190*100)/100</f>
        <v>4671.8999999999996</v>
      </c>
      <c r="H2191" s="614"/>
    </row>
    <row r="2192" spans="1:8">
      <c r="B2192" s="883"/>
      <c r="C2192" s="979"/>
      <c r="D2192" s="858" t="s">
        <v>47</v>
      </c>
      <c r="E2192" s="859"/>
      <c r="F2192" s="860"/>
      <c r="G2192" s="615">
        <f>SUM(G2190:G2191)</f>
        <v>35817.9</v>
      </c>
      <c r="H2192" s="616"/>
    </row>
    <row r="2193" spans="1:8">
      <c r="C2193" s="444"/>
      <c r="F2193" s="462"/>
      <c r="G2193" s="460"/>
      <c r="H2193" s="460"/>
    </row>
    <row r="2194" spans="1:8">
      <c r="C2194" s="444"/>
      <c r="F2194" s="462"/>
      <c r="G2194" s="460"/>
      <c r="H2194" s="460"/>
    </row>
    <row r="2195" spans="1:8" s="605" customFormat="1" ht="25.5" customHeight="1">
      <c r="A2195" s="603">
        <v>9.19</v>
      </c>
      <c r="B2195" s="604" t="s">
        <v>443</v>
      </c>
      <c r="C2195" s="891" t="s">
        <v>1537</v>
      </c>
      <c r="D2195" s="892"/>
      <c r="E2195" s="892"/>
      <c r="F2195" s="610" t="s">
        <v>50</v>
      </c>
      <c r="G2195" s="447">
        <f>TRUNC(G2201/100,2)</f>
        <v>298.5</v>
      </c>
      <c r="H2195" s="448">
        <f>TRUNC(G2203/100,2)</f>
        <v>343.27</v>
      </c>
    </row>
    <row r="2196" spans="1:8">
      <c r="B2196" s="450" t="s">
        <v>80</v>
      </c>
      <c r="C2196" s="451" t="s">
        <v>81</v>
      </c>
      <c r="D2196" s="451" t="s">
        <v>44</v>
      </c>
      <c r="E2196" s="451" t="s">
        <v>45</v>
      </c>
      <c r="F2196" s="452" t="s">
        <v>58</v>
      </c>
      <c r="G2196" s="452" t="s">
        <v>59</v>
      </c>
      <c r="H2196" s="452" t="s">
        <v>52</v>
      </c>
    </row>
    <row r="2197" spans="1:8">
      <c r="B2197" s="864" t="s">
        <v>60</v>
      </c>
      <c r="C2197" s="484" t="s">
        <v>69</v>
      </c>
      <c r="D2197" s="488">
        <v>10</v>
      </c>
      <c r="E2197" s="451" t="s">
        <v>46</v>
      </c>
      <c r="F2197" s="457">
        <f>F2186</f>
        <v>1200</v>
      </c>
      <c r="G2197" s="457">
        <f>INT(D2197*F2197*100)/100</f>
        <v>12000</v>
      </c>
      <c r="H2197" s="457"/>
    </row>
    <row r="2198" spans="1:8">
      <c r="B2198" s="865"/>
      <c r="C2198" s="484" t="s">
        <v>43</v>
      </c>
      <c r="D2198" s="488">
        <v>14</v>
      </c>
      <c r="E2198" s="451" t="s">
        <v>46</v>
      </c>
      <c r="F2198" s="457">
        <f>F2187</f>
        <v>870</v>
      </c>
      <c r="G2198" s="457">
        <f>INT(D2198*F2198*100)/100</f>
        <v>12180</v>
      </c>
      <c r="H2198" s="457"/>
    </row>
    <row r="2199" spans="1:8">
      <c r="B2199" s="864" t="s">
        <v>63</v>
      </c>
      <c r="C2199" s="484" t="s">
        <v>70</v>
      </c>
      <c r="D2199" s="488">
        <v>0.30599999999999999</v>
      </c>
      <c r="E2199" s="451" t="s">
        <v>71</v>
      </c>
      <c r="F2199" s="457">
        <f>F2188</f>
        <v>14000</v>
      </c>
      <c r="G2199" s="457">
        <f>INT(D2199*F2199*100)/100</f>
        <v>4284</v>
      </c>
      <c r="H2199" s="457"/>
    </row>
    <row r="2200" spans="1:8">
      <c r="B2200" s="865"/>
      <c r="C2200" s="528" t="str">
        <f>C2189</f>
        <v xml:space="preserve">Sand  river washed </v>
      </c>
      <c r="D2200" s="488">
        <v>0.63</v>
      </c>
      <c r="E2200" s="451" t="s">
        <v>68</v>
      </c>
      <c r="F2200" s="457">
        <f>F2189</f>
        <v>2200</v>
      </c>
      <c r="G2200" s="457">
        <f>INT(D2200*F2200*100)/100</f>
        <v>1386</v>
      </c>
      <c r="H2200" s="457"/>
    </row>
    <row r="2201" spans="1:8">
      <c r="B2201" s="855" t="s">
        <v>172</v>
      </c>
      <c r="C2201" s="855"/>
      <c r="D2201" s="856" t="s">
        <v>61</v>
      </c>
      <c r="E2201" s="856"/>
      <c r="F2201" s="856"/>
      <c r="G2201" s="457">
        <f>SUM(G2197:G2200)</f>
        <v>29850</v>
      </c>
      <c r="H2201" s="457"/>
    </row>
    <row r="2202" spans="1:8">
      <c r="B2202" s="855"/>
      <c r="C2202" s="855"/>
      <c r="D2202" s="857" t="s">
        <v>573</v>
      </c>
      <c r="E2202" s="857"/>
      <c r="F2202" s="857"/>
      <c r="G2202" s="457">
        <f>INT(15%*G2201*100)/100</f>
        <v>4477.5</v>
      </c>
      <c r="H2202" s="457"/>
    </row>
    <row r="2203" spans="1:8">
      <c r="B2203" s="855"/>
      <c r="C2203" s="855"/>
      <c r="D2203" s="856" t="s">
        <v>47</v>
      </c>
      <c r="E2203" s="856"/>
      <c r="F2203" s="856"/>
      <c r="G2203" s="457">
        <f>SUM(G2201:G2202)</f>
        <v>34327.5</v>
      </c>
      <c r="H2203" s="457"/>
    </row>
    <row r="2204" spans="1:8">
      <c r="C2204" s="624"/>
      <c r="D2204" s="625"/>
      <c r="E2204" s="625"/>
      <c r="F2204" s="626"/>
      <c r="G2204" s="626"/>
      <c r="H2204" s="626"/>
    </row>
    <row r="2205" spans="1:8" s="605" customFormat="1" ht="28.5" customHeight="1">
      <c r="A2205" s="603">
        <v>9.1999999999999993</v>
      </c>
      <c r="B2205" s="604" t="s">
        <v>442</v>
      </c>
      <c r="C2205" s="891" t="s">
        <v>1538</v>
      </c>
      <c r="D2205" s="892"/>
      <c r="E2205" s="892"/>
      <c r="F2205" s="610" t="s">
        <v>50</v>
      </c>
      <c r="G2205" s="447">
        <f>TRUNC(G2211/100,2)</f>
        <v>202.8</v>
      </c>
      <c r="H2205" s="448">
        <f>TRUNC(G2213/100,2)</f>
        <v>233.22</v>
      </c>
    </row>
    <row r="2206" spans="1:8">
      <c r="B2206" s="450" t="s">
        <v>80</v>
      </c>
      <c r="C2206" s="451" t="s">
        <v>81</v>
      </c>
      <c r="D2206" s="451" t="s">
        <v>44</v>
      </c>
      <c r="E2206" s="451" t="s">
        <v>45</v>
      </c>
      <c r="F2206" s="452" t="s">
        <v>58</v>
      </c>
      <c r="G2206" s="452" t="s">
        <v>59</v>
      </c>
      <c r="H2206" s="452" t="s">
        <v>52</v>
      </c>
    </row>
    <row r="2207" spans="1:8">
      <c r="B2207" s="864" t="s">
        <v>60</v>
      </c>
      <c r="C2207" s="484" t="s">
        <v>69</v>
      </c>
      <c r="D2207" s="488">
        <v>8</v>
      </c>
      <c r="E2207" s="451" t="s">
        <v>46</v>
      </c>
      <c r="F2207" s="457">
        <f>F2197</f>
        <v>1200</v>
      </c>
      <c r="G2207" s="457">
        <f>INT(D2207*F2207*100)/100</f>
        <v>9600</v>
      </c>
      <c r="H2207" s="457"/>
    </row>
    <row r="2208" spans="1:8">
      <c r="B2208" s="865"/>
      <c r="C2208" s="484" t="s">
        <v>43</v>
      </c>
      <c r="D2208" s="488">
        <v>10</v>
      </c>
      <c r="E2208" s="451" t="s">
        <v>46</v>
      </c>
      <c r="F2208" s="457">
        <f>F2198</f>
        <v>870</v>
      </c>
      <c r="G2208" s="457">
        <f>INT(D2208*F2208*100)/100</f>
        <v>8700</v>
      </c>
      <c r="H2208" s="457"/>
    </row>
    <row r="2209" spans="1:8">
      <c r="B2209" s="864" t="s">
        <v>63</v>
      </c>
      <c r="C2209" s="484" t="s">
        <v>70</v>
      </c>
      <c r="D2209" s="488">
        <v>0.11</v>
      </c>
      <c r="E2209" s="451" t="s">
        <v>71</v>
      </c>
      <c r="F2209" s="457">
        <f>F2199</f>
        <v>14000</v>
      </c>
      <c r="G2209" s="457">
        <f>INT(D2209*F2209*100)/100</f>
        <v>1540</v>
      </c>
      <c r="H2209" s="457"/>
    </row>
    <row r="2210" spans="1:8">
      <c r="B2210" s="865"/>
      <c r="C2210" s="528" t="str">
        <f>C2200</f>
        <v xml:space="preserve">Sand  river washed </v>
      </c>
      <c r="D2210" s="488">
        <v>0.2</v>
      </c>
      <c r="E2210" s="451" t="s">
        <v>68</v>
      </c>
      <c r="F2210" s="457">
        <f>F2200</f>
        <v>2200</v>
      </c>
      <c r="G2210" s="457">
        <f>INT(D2210*F2210*100)/100</f>
        <v>440</v>
      </c>
      <c r="H2210" s="457"/>
    </row>
    <row r="2211" spans="1:8">
      <c r="B2211" s="879" t="s">
        <v>172</v>
      </c>
      <c r="C2211" s="880"/>
      <c r="D2211" s="856" t="s">
        <v>61</v>
      </c>
      <c r="E2211" s="856"/>
      <c r="F2211" s="856"/>
      <c r="G2211" s="510">
        <f>SUM(G2207:G2210)</f>
        <v>20280</v>
      </c>
      <c r="H2211" s="452"/>
    </row>
    <row r="2212" spans="1:8">
      <c r="B2212" s="881"/>
      <c r="C2212" s="882"/>
      <c r="D2212" s="857" t="s">
        <v>573</v>
      </c>
      <c r="E2212" s="857"/>
      <c r="F2212" s="857"/>
      <c r="G2212" s="510">
        <f>INT(15%*G2211*100)/100</f>
        <v>3042</v>
      </c>
      <c r="H2212" s="457"/>
    </row>
    <row r="2213" spans="1:8">
      <c r="B2213" s="883"/>
      <c r="C2213" s="884"/>
      <c r="D2213" s="856" t="s">
        <v>47</v>
      </c>
      <c r="E2213" s="856"/>
      <c r="F2213" s="856"/>
      <c r="G2213" s="510">
        <f>SUM(G2211:G2212)</f>
        <v>23322</v>
      </c>
      <c r="H2213" s="457"/>
    </row>
    <row r="2214" spans="1:8">
      <c r="B2214" s="458"/>
      <c r="C2214" s="458"/>
      <c r="F2214" s="462"/>
      <c r="G2214" s="460"/>
      <c r="H2214" s="460"/>
    </row>
    <row r="2215" spans="1:8" s="605" customFormat="1" ht="28.5" customHeight="1">
      <c r="A2215" s="603">
        <v>9.2100000000000009</v>
      </c>
      <c r="B2215" s="604" t="s">
        <v>444</v>
      </c>
      <c r="C2215" s="891" t="s">
        <v>1539</v>
      </c>
      <c r="D2215" s="892"/>
      <c r="E2215" s="892"/>
      <c r="F2215" s="610" t="s">
        <v>50</v>
      </c>
      <c r="G2215" s="447">
        <f>TRUNC(G2221/100,2)</f>
        <v>110.04</v>
      </c>
      <c r="H2215" s="448">
        <f>TRUNC(G2223/100,2)</f>
        <v>126.54</v>
      </c>
    </row>
    <row r="2216" spans="1:8">
      <c r="B2216" s="450" t="s">
        <v>80</v>
      </c>
      <c r="C2216" s="451" t="s">
        <v>81</v>
      </c>
      <c r="D2216" s="451" t="s">
        <v>44</v>
      </c>
      <c r="E2216" s="451" t="s">
        <v>45</v>
      </c>
      <c r="F2216" s="452" t="s">
        <v>58</v>
      </c>
      <c r="G2216" s="452" t="s">
        <v>59</v>
      </c>
      <c r="H2216" s="452" t="s">
        <v>52</v>
      </c>
    </row>
    <row r="2217" spans="1:8">
      <c r="B2217" s="864" t="s">
        <v>60</v>
      </c>
      <c r="C2217" s="484" t="s">
        <v>69</v>
      </c>
      <c r="D2217" s="488">
        <v>5</v>
      </c>
      <c r="E2217" s="451" t="s">
        <v>46</v>
      </c>
      <c r="F2217" s="457">
        <f>F2207</f>
        <v>1200</v>
      </c>
      <c r="G2217" s="457">
        <f>INT(D2217*F2217*100)/100</f>
        <v>6000</v>
      </c>
      <c r="H2217" s="457"/>
    </row>
    <row r="2218" spans="1:8">
      <c r="B2218" s="865"/>
      <c r="C2218" s="484" t="s">
        <v>43</v>
      </c>
      <c r="D2218" s="488">
        <v>5</v>
      </c>
      <c r="E2218" s="451" t="s">
        <v>46</v>
      </c>
      <c r="F2218" s="457">
        <f>F2208</f>
        <v>870</v>
      </c>
      <c r="G2218" s="457">
        <f>INT(D2218*F2218*100)/100</f>
        <v>4350</v>
      </c>
      <c r="H2218" s="457"/>
    </row>
    <row r="2219" spans="1:8">
      <c r="B2219" s="864" t="s">
        <v>63</v>
      </c>
      <c r="C2219" s="484" t="s">
        <v>70</v>
      </c>
      <c r="D2219" s="488">
        <v>4.2000000000000003E-2</v>
      </c>
      <c r="E2219" s="451" t="s">
        <v>71</v>
      </c>
      <c r="F2219" s="457">
        <f>F2209</f>
        <v>14000</v>
      </c>
      <c r="G2219" s="457">
        <f>INT(D2219*F2219*100)/100</f>
        <v>588</v>
      </c>
      <c r="H2219" s="457"/>
    </row>
    <row r="2220" spans="1:8">
      <c r="B2220" s="865"/>
      <c r="C2220" s="528" t="str">
        <f>C2210</f>
        <v xml:space="preserve">Sand  river washed </v>
      </c>
      <c r="D2220" s="488">
        <v>0.03</v>
      </c>
      <c r="E2220" s="451" t="s">
        <v>68</v>
      </c>
      <c r="F2220" s="457">
        <f>F2210</f>
        <v>2200</v>
      </c>
      <c r="G2220" s="457">
        <f>INT(D2220*F2220*100)/100</f>
        <v>66</v>
      </c>
      <c r="H2220" s="457"/>
    </row>
    <row r="2221" spans="1:8">
      <c r="B2221" s="855" t="s">
        <v>172</v>
      </c>
      <c r="C2221" s="855"/>
      <c r="D2221" s="856" t="s">
        <v>61</v>
      </c>
      <c r="E2221" s="856"/>
      <c r="F2221" s="856"/>
      <c r="G2221" s="457">
        <f>SUM(G2217:G2220)</f>
        <v>11004</v>
      </c>
      <c r="H2221" s="457"/>
    </row>
    <row r="2222" spans="1:8">
      <c r="B2222" s="855"/>
      <c r="C2222" s="855"/>
      <c r="D2222" s="857" t="s">
        <v>573</v>
      </c>
      <c r="E2222" s="857"/>
      <c r="F2222" s="857"/>
      <c r="G2222" s="457">
        <f>INT(15%*G2221*100)/100</f>
        <v>1650.6</v>
      </c>
      <c r="H2222" s="457"/>
    </row>
    <row r="2223" spans="1:8">
      <c r="B2223" s="855"/>
      <c r="C2223" s="855"/>
      <c r="D2223" s="856" t="s">
        <v>47</v>
      </c>
      <c r="E2223" s="856"/>
      <c r="F2223" s="856"/>
      <c r="G2223" s="457">
        <f>SUM(G2221:G2222)</f>
        <v>12654.6</v>
      </c>
      <c r="H2223" s="457"/>
    </row>
    <row r="2224" spans="1:8">
      <c r="C2224" s="495"/>
      <c r="E2224" s="627"/>
      <c r="F2224" s="474"/>
      <c r="G2224" s="474"/>
      <c r="H2224" s="474"/>
    </row>
    <row r="2225" spans="1:8" s="605" customFormat="1" ht="28.5" customHeight="1">
      <c r="A2225" s="603">
        <v>9.2200000000000006</v>
      </c>
      <c r="B2225" s="604" t="s">
        <v>445</v>
      </c>
      <c r="C2225" s="891" t="s">
        <v>1540</v>
      </c>
      <c r="D2225" s="892"/>
      <c r="E2225" s="892"/>
      <c r="F2225" s="610" t="s">
        <v>50</v>
      </c>
      <c r="G2225" s="447">
        <f>TRUNC(G2231/100,2)</f>
        <v>230.2</v>
      </c>
      <c r="H2225" s="448">
        <f>TRUNC(G2233/100,2)</f>
        <v>264.73</v>
      </c>
    </row>
    <row r="2226" spans="1:8">
      <c r="B2226" s="450" t="s">
        <v>80</v>
      </c>
      <c r="C2226" s="451" t="s">
        <v>81</v>
      </c>
      <c r="D2226" s="451" t="s">
        <v>44</v>
      </c>
      <c r="E2226" s="451" t="s">
        <v>45</v>
      </c>
      <c r="F2226" s="452" t="s">
        <v>58</v>
      </c>
      <c r="G2226" s="452" t="s">
        <v>59</v>
      </c>
      <c r="H2226" s="452" t="s">
        <v>52</v>
      </c>
    </row>
    <row r="2227" spans="1:8">
      <c r="B2227" s="864" t="s">
        <v>60</v>
      </c>
      <c r="C2227" s="484" t="s">
        <v>69</v>
      </c>
      <c r="D2227" s="488">
        <v>10</v>
      </c>
      <c r="E2227" s="451" t="s">
        <v>46</v>
      </c>
      <c r="F2227" s="457">
        <f>F2217</f>
        <v>1200</v>
      </c>
      <c r="G2227" s="457">
        <f>INT(D2227*F2227*100)/100</f>
        <v>12000</v>
      </c>
      <c r="H2227" s="457"/>
    </row>
    <row r="2228" spans="1:8">
      <c r="B2228" s="865"/>
      <c r="C2228" s="484" t="s">
        <v>43</v>
      </c>
      <c r="D2228" s="488">
        <v>10</v>
      </c>
      <c r="E2228" s="451" t="s">
        <v>46</v>
      </c>
      <c r="F2228" s="457">
        <f>F2218</f>
        <v>870</v>
      </c>
      <c r="G2228" s="457">
        <f>INT(D2228*F2228*100)/100</f>
        <v>8700</v>
      </c>
      <c r="H2228" s="457"/>
    </row>
    <row r="2229" spans="1:8">
      <c r="B2229" s="864" t="s">
        <v>63</v>
      </c>
      <c r="C2229" s="484" t="s">
        <v>70</v>
      </c>
      <c r="D2229" s="488">
        <v>0.15</v>
      </c>
      <c r="E2229" s="451" t="s">
        <v>71</v>
      </c>
      <c r="F2229" s="457">
        <f>F2219</f>
        <v>14000</v>
      </c>
      <c r="G2229" s="457">
        <f>INT(D2229*F2229*100)/100</f>
        <v>2100</v>
      </c>
      <c r="H2229" s="457"/>
    </row>
    <row r="2230" spans="1:8">
      <c r="B2230" s="865"/>
      <c r="C2230" s="528" t="str">
        <f>C2220</f>
        <v xml:space="preserve">Sand  river washed </v>
      </c>
      <c r="D2230" s="488">
        <v>0.1</v>
      </c>
      <c r="E2230" s="451" t="s">
        <v>68</v>
      </c>
      <c r="F2230" s="457">
        <f>F2220</f>
        <v>2200</v>
      </c>
      <c r="G2230" s="457">
        <f>INT(D2230*F2230*100)/100</f>
        <v>220</v>
      </c>
      <c r="H2230" s="457"/>
    </row>
    <row r="2231" spans="1:8">
      <c r="B2231" s="855" t="s">
        <v>172</v>
      </c>
      <c r="C2231" s="855"/>
      <c r="D2231" s="856" t="s">
        <v>61</v>
      </c>
      <c r="E2231" s="856"/>
      <c r="F2231" s="856"/>
      <c r="G2231" s="457">
        <f>SUM(G2227:G2230)</f>
        <v>23020</v>
      </c>
      <c r="H2231" s="457"/>
    </row>
    <row r="2232" spans="1:8">
      <c r="B2232" s="855"/>
      <c r="C2232" s="855"/>
      <c r="D2232" s="857" t="s">
        <v>573</v>
      </c>
      <c r="E2232" s="857"/>
      <c r="F2232" s="857"/>
      <c r="G2232" s="457">
        <f>INT(15%*G2231*100)/100</f>
        <v>3453</v>
      </c>
      <c r="H2232" s="457"/>
    </row>
    <row r="2233" spans="1:8">
      <c r="B2233" s="855"/>
      <c r="C2233" s="855"/>
      <c r="D2233" s="856" t="s">
        <v>47</v>
      </c>
      <c r="E2233" s="856"/>
      <c r="F2233" s="856"/>
      <c r="G2233" s="457">
        <f>SUM(G2231:G2232)</f>
        <v>26473</v>
      </c>
      <c r="H2233" s="457"/>
    </row>
    <row r="2234" spans="1:8">
      <c r="B2234" s="494"/>
      <c r="C2234" s="494"/>
      <c r="D2234" s="476" t="s">
        <v>629</v>
      </c>
      <c r="E2234" s="476"/>
      <c r="F2234" s="575"/>
      <c r="G2234" s="477"/>
      <c r="H2234" s="477"/>
    </row>
    <row r="2235" spans="1:8">
      <c r="B2235" s="458"/>
      <c r="C2235" s="458"/>
      <c r="F2235" s="509"/>
      <c r="G2235" s="460"/>
      <c r="H2235" s="460"/>
    </row>
    <row r="2236" spans="1:8" s="605" customFormat="1" ht="13.8">
      <c r="A2236" s="603">
        <v>9.23</v>
      </c>
      <c r="B2236" s="604" t="s">
        <v>446</v>
      </c>
      <c r="C2236" s="891" t="s">
        <v>1541</v>
      </c>
      <c r="D2236" s="892"/>
      <c r="E2236" s="892"/>
      <c r="F2236" s="610" t="s">
        <v>50</v>
      </c>
      <c r="G2236" s="447">
        <f>TRUNC(G2242/100,2)</f>
        <v>259.10000000000002</v>
      </c>
      <c r="H2236" s="448">
        <f>TRUNC(G2244/100,2)</f>
        <v>297.95999999999998</v>
      </c>
    </row>
    <row r="2237" spans="1:8">
      <c r="B2237" s="450" t="s">
        <v>80</v>
      </c>
      <c r="C2237" s="451" t="s">
        <v>81</v>
      </c>
      <c r="D2237" s="451" t="s">
        <v>44</v>
      </c>
      <c r="E2237" s="451" t="s">
        <v>45</v>
      </c>
      <c r="F2237" s="452" t="s">
        <v>58</v>
      </c>
      <c r="G2237" s="452" t="s">
        <v>59</v>
      </c>
      <c r="H2237" s="452" t="s">
        <v>52</v>
      </c>
    </row>
    <row r="2238" spans="1:8">
      <c r="B2238" s="864" t="s">
        <v>60</v>
      </c>
      <c r="C2238" s="484" t="s">
        <v>69</v>
      </c>
      <c r="D2238" s="488">
        <v>10</v>
      </c>
      <c r="E2238" s="451" t="s">
        <v>46</v>
      </c>
      <c r="F2238" s="457">
        <f>F2227</f>
        <v>1200</v>
      </c>
      <c r="G2238" s="457">
        <f>INT(D2238*F2238*100)/100</f>
        <v>12000</v>
      </c>
      <c r="H2238" s="457"/>
    </row>
    <row r="2239" spans="1:8">
      <c r="B2239" s="865"/>
      <c r="C2239" s="484" t="s">
        <v>43</v>
      </c>
      <c r="D2239" s="488">
        <v>10</v>
      </c>
      <c r="E2239" s="451" t="s">
        <v>46</v>
      </c>
      <c r="F2239" s="457">
        <f>F2228</f>
        <v>870</v>
      </c>
      <c r="G2239" s="457">
        <f>INT(D2239*F2239*100)/100</f>
        <v>8700</v>
      </c>
      <c r="H2239" s="457"/>
    </row>
    <row r="2240" spans="1:8">
      <c r="B2240" s="864" t="s">
        <v>63</v>
      </c>
      <c r="C2240" s="484" t="s">
        <v>70</v>
      </c>
      <c r="D2240" s="488">
        <v>0.33600000000000002</v>
      </c>
      <c r="E2240" s="451" t="s">
        <v>71</v>
      </c>
      <c r="F2240" s="457">
        <f>F2229</f>
        <v>14000</v>
      </c>
      <c r="G2240" s="457">
        <f>INT(D2240*F2240*100)/100</f>
        <v>4704</v>
      </c>
      <c r="H2240" s="457"/>
    </row>
    <row r="2241" spans="1:8">
      <c r="B2241" s="865"/>
      <c r="C2241" s="528" t="str">
        <f>C2230</f>
        <v xml:space="preserve">Sand  river washed </v>
      </c>
      <c r="D2241" s="488">
        <v>0.23</v>
      </c>
      <c r="E2241" s="451" t="s">
        <v>68</v>
      </c>
      <c r="F2241" s="457">
        <f>F2230</f>
        <v>2200</v>
      </c>
      <c r="G2241" s="457">
        <f>INT(D2241*F2241*100)/100</f>
        <v>506</v>
      </c>
      <c r="H2241" s="457"/>
    </row>
    <row r="2242" spans="1:8">
      <c r="B2242" s="855" t="s">
        <v>172</v>
      </c>
      <c r="C2242" s="855"/>
      <c r="D2242" s="856" t="s">
        <v>61</v>
      </c>
      <c r="E2242" s="856"/>
      <c r="F2242" s="856"/>
      <c r="G2242" s="457">
        <f>SUM(G2238:G2241)</f>
        <v>25910</v>
      </c>
      <c r="H2242" s="457"/>
    </row>
    <row r="2243" spans="1:8">
      <c r="B2243" s="855"/>
      <c r="C2243" s="855"/>
      <c r="D2243" s="857" t="s">
        <v>573</v>
      </c>
      <c r="E2243" s="857"/>
      <c r="F2243" s="857"/>
      <c r="G2243" s="457">
        <f>INT(15%*G2242*100)/100</f>
        <v>3886.5</v>
      </c>
      <c r="H2243" s="457"/>
    </row>
    <row r="2244" spans="1:8">
      <c r="B2244" s="855"/>
      <c r="C2244" s="855"/>
      <c r="D2244" s="856" t="s">
        <v>47</v>
      </c>
      <c r="E2244" s="856"/>
      <c r="F2244" s="856"/>
      <c r="G2244" s="457">
        <f>SUM(G2242:G2243)</f>
        <v>29796.5</v>
      </c>
      <c r="H2244" s="457"/>
    </row>
    <row r="2245" spans="1:8">
      <c r="C2245" s="495"/>
      <c r="E2245" s="627"/>
      <c r="F2245" s="474"/>
      <c r="G2245" s="474"/>
      <c r="H2245" s="474"/>
    </row>
    <row r="2246" spans="1:8">
      <c r="C2246" s="495"/>
      <c r="E2246" s="627"/>
      <c r="F2246" s="474"/>
      <c r="G2246" s="474"/>
      <c r="H2246" s="474"/>
    </row>
    <row r="2247" spans="1:8" s="605" customFormat="1" ht="13.8">
      <c r="A2247" s="603">
        <v>9.24</v>
      </c>
      <c r="B2247" s="604" t="s">
        <v>447</v>
      </c>
      <c r="C2247" s="891" t="s">
        <v>1542</v>
      </c>
      <c r="D2247" s="892"/>
      <c r="E2247" s="892"/>
      <c r="F2247" s="610" t="s">
        <v>50</v>
      </c>
      <c r="G2247" s="447">
        <f>TRUNC(G2252/100,2)</f>
        <v>207.05</v>
      </c>
      <c r="H2247" s="448">
        <f>TRUNC(G2254/100,2)</f>
        <v>238.11</v>
      </c>
    </row>
    <row r="2248" spans="1:8">
      <c r="B2248" s="450" t="s">
        <v>80</v>
      </c>
      <c r="C2248" s="451" t="s">
        <v>81</v>
      </c>
      <c r="D2248" s="451" t="s">
        <v>44</v>
      </c>
      <c r="E2248" s="451" t="s">
        <v>45</v>
      </c>
      <c r="F2248" s="452" t="s">
        <v>58</v>
      </c>
      <c r="G2248" s="452" t="s">
        <v>59</v>
      </c>
      <c r="H2248" s="452" t="s">
        <v>52</v>
      </c>
    </row>
    <row r="2249" spans="1:8">
      <c r="B2249" s="864" t="s">
        <v>60</v>
      </c>
      <c r="C2249" s="484" t="s">
        <v>69</v>
      </c>
      <c r="D2249" s="488">
        <v>10</v>
      </c>
      <c r="E2249" s="451" t="s">
        <v>46</v>
      </c>
      <c r="F2249" s="457">
        <f>F2238</f>
        <v>1200</v>
      </c>
      <c r="G2249" s="457">
        <f>INT(D2249*F2249*100)/100</f>
        <v>12000</v>
      </c>
      <c r="H2249" s="457"/>
    </row>
    <row r="2250" spans="1:8">
      <c r="B2250" s="865"/>
      <c r="C2250" s="484" t="s">
        <v>43</v>
      </c>
      <c r="D2250" s="488">
        <v>10</v>
      </c>
      <c r="E2250" s="451" t="s">
        <v>46</v>
      </c>
      <c r="F2250" s="457">
        <f>F2239</f>
        <v>870</v>
      </c>
      <c r="G2250" s="457">
        <f>INT(D2250*F2250*100)/100</f>
        <v>8700</v>
      </c>
      <c r="H2250" s="457"/>
    </row>
    <row r="2251" spans="1:8">
      <c r="B2251" s="468" t="s">
        <v>63</v>
      </c>
      <c r="C2251" s="484" t="s">
        <v>114</v>
      </c>
      <c r="D2251" s="488">
        <v>0.16</v>
      </c>
      <c r="E2251" s="451" t="s">
        <v>74</v>
      </c>
      <c r="F2251" s="457">
        <f>'Basic Rate'!F221</f>
        <v>35</v>
      </c>
      <c r="G2251" s="457">
        <f>INT(D2251*F2251*100)/100</f>
        <v>5.6</v>
      </c>
      <c r="H2251" s="457"/>
    </row>
    <row r="2252" spans="1:8">
      <c r="B2252" s="855" t="s">
        <v>172</v>
      </c>
      <c r="C2252" s="855"/>
      <c r="D2252" s="856" t="s">
        <v>61</v>
      </c>
      <c r="E2252" s="856"/>
      <c r="F2252" s="856"/>
      <c r="G2252" s="457">
        <f>SUM(G2249:G2251)</f>
        <v>20705.599999999999</v>
      </c>
      <c r="H2252" s="457"/>
    </row>
    <row r="2253" spans="1:8">
      <c r="B2253" s="855"/>
      <c r="C2253" s="855"/>
      <c r="D2253" s="857" t="s">
        <v>573</v>
      </c>
      <c r="E2253" s="857"/>
      <c r="F2253" s="857"/>
      <c r="G2253" s="457">
        <f>INT(15%*G2252*100)/100</f>
        <v>3105.84</v>
      </c>
      <c r="H2253" s="457"/>
    </row>
    <row r="2254" spans="1:8">
      <c r="B2254" s="855"/>
      <c r="C2254" s="855"/>
      <c r="D2254" s="856" t="s">
        <v>47</v>
      </c>
      <c r="E2254" s="856"/>
      <c r="F2254" s="856"/>
      <c r="G2254" s="457">
        <f>SUM(G2252:G2253)</f>
        <v>23811.439999999999</v>
      </c>
      <c r="H2254" s="457"/>
    </row>
    <row r="2255" spans="1:8">
      <c r="B2255" s="494"/>
      <c r="C2255" s="494"/>
      <c r="D2255" s="476"/>
      <c r="E2255" s="476"/>
      <c r="F2255" s="575"/>
      <c r="G2255" s="477"/>
      <c r="H2255" s="477"/>
    </row>
    <row r="2256" spans="1:8">
      <c r="B2256" s="463"/>
      <c r="C2256" s="463"/>
      <c r="D2256" s="464"/>
      <c r="E2256" s="464"/>
      <c r="F2256" s="467"/>
      <c r="G2256" s="466"/>
      <c r="H2256" s="466"/>
    </row>
    <row r="2257" spans="1:8" s="605" customFormat="1" ht="12" customHeight="1">
      <c r="A2257" s="603">
        <v>9.25</v>
      </c>
      <c r="B2257" s="604" t="s">
        <v>448</v>
      </c>
      <c r="C2257" s="891" t="s">
        <v>1543</v>
      </c>
      <c r="D2257" s="892"/>
      <c r="E2257" s="892"/>
      <c r="F2257" s="610" t="s">
        <v>50</v>
      </c>
      <c r="G2257" s="447">
        <f>TRUNC(G2262/100,2)</f>
        <v>279.52</v>
      </c>
      <c r="H2257" s="448">
        <f>TRUNC(G2264/100,2)</f>
        <v>321.44</v>
      </c>
    </row>
    <row r="2258" spans="1:8">
      <c r="B2258" s="450" t="s">
        <v>80</v>
      </c>
      <c r="C2258" s="451" t="s">
        <v>81</v>
      </c>
      <c r="D2258" s="451" t="s">
        <v>44</v>
      </c>
      <c r="E2258" s="451" t="s">
        <v>45</v>
      </c>
      <c r="F2258" s="452" t="s">
        <v>58</v>
      </c>
      <c r="G2258" s="452" t="s">
        <v>59</v>
      </c>
      <c r="H2258" s="452" t="s">
        <v>52</v>
      </c>
    </row>
    <row r="2259" spans="1:8">
      <c r="B2259" s="864" t="s">
        <v>60</v>
      </c>
      <c r="C2259" s="484" t="s">
        <v>69</v>
      </c>
      <c r="D2259" s="488">
        <v>10</v>
      </c>
      <c r="E2259" s="451" t="s">
        <v>46</v>
      </c>
      <c r="F2259" s="457">
        <f>F2238</f>
        <v>1200</v>
      </c>
      <c r="G2259" s="457">
        <f>INT(D2259*F2259*100)/100</f>
        <v>12000</v>
      </c>
      <c r="H2259" s="457"/>
    </row>
    <row r="2260" spans="1:8">
      <c r="B2260" s="865"/>
      <c r="C2260" s="484" t="s">
        <v>43</v>
      </c>
      <c r="D2260" s="488">
        <v>10</v>
      </c>
      <c r="E2260" s="451" t="s">
        <v>46</v>
      </c>
      <c r="F2260" s="457">
        <f>F2239</f>
        <v>870</v>
      </c>
      <c r="G2260" s="457">
        <f>INT(D2260*F2260*100)/100</f>
        <v>8700</v>
      </c>
      <c r="H2260" s="457"/>
    </row>
    <row r="2261" spans="1:8">
      <c r="B2261" s="450" t="s">
        <v>63</v>
      </c>
      <c r="C2261" s="484" t="s">
        <v>70</v>
      </c>
      <c r="D2261" s="488">
        <v>0.51800000000000002</v>
      </c>
      <c r="E2261" s="451" t="s">
        <v>71</v>
      </c>
      <c r="F2261" s="457">
        <f>F2240</f>
        <v>14000</v>
      </c>
      <c r="G2261" s="457">
        <f>INT(D2261*F2261*100)/100</f>
        <v>7252</v>
      </c>
      <c r="H2261" s="457"/>
    </row>
    <row r="2262" spans="1:8">
      <c r="B2262" s="855" t="s">
        <v>172</v>
      </c>
      <c r="C2262" s="855"/>
      <c r="D2262" s="856" t="s">
        <v>61</v>
      </c>
      <c r="E2262" s="856"/>
      <c r="F2262" s="856"/>
      <c r="G2262" s="457">
        <f>SUM(G2259:G2261)</f>
        <v>27952</v>
      </c>
      <c r="H2262" s="457"/>
    </row>
    <row r="2263" spans="1:8">
      <c r="B2263" s="855"/>
      <c r="C2263" s="855"/>
      <c r="D2263" s="857" t="s">
        <v>573</v>
      </c>
      <c r="E2263" s="857"/>
      <c r="F2263" s="857"/>
      <c r="G2263" s="457">
        <f>INT(15%*G2262*100)/100</f>
        <v>4192.8</v>
      </c>
      <c r="H2263" s="457"/>
    </row>
    <row r="2264" spans="1:8">
      <c r="B2264" s="855"/>
      <c r="C2264" s="855"/>
      <c r="D2264" s="856" t="s">
        <v>47</v>
      </c>
      <c r="E2264" s="856"/>
      <c r="F2264" s="856"/>
      <c r="G2264" s="457">
        <f>SUM(G2262:G2263)</f>
        <v>32144.799999999999</v>
      </c>
      <c r="H2264" s="457"/>
    </row>
    <row r="2265" spans="1:8">
      <c r="C2265" s="459"/>
      <c r="F2265" s="462"/>
      <c r="G2265" s="460"/>
      <c r="H2265" s="460"/>
    </row>
    <row r="2266" spans="1:8">
      <c r="C2266" s="459"/>
      <c r="F2266" s="462"/>
      <c r="G2266" s="460"/>
      <c r="H2266" s="460"/>
    </row>
    <row r="2267" spans="1:8" s="605" customFormat="1" ht="12" customHeight="1">
      <c r="A2267" s="603">
        <v>9.26</v>
      </c>
      <c r="B2267" s="604" t="s">
        <v>449</v>
      </c>
      <c r="C2267" s="891" t="s">
        <v>450</v>
      </c>
      <c r="D2267" s="892"/>
      <c r="E2267" s="892"/>
      <c r="F2267" s="610" t="s">
        <v>50</v>
      </c>
      <c r="G2267" s="447">
        <f>TRUNC(G2274,2)</f>
        <v>156.30000000000001</v>
      </c>
      <c r="H2267" s="448">
        <f>TRUNC(G2276,2)</f>
        <v>179.74</v>
      </c>
    </row>
    <row r="2268" spans="1:8">
      <c r="B2268" s="450" t="s">
        <v>80</v>
      </c>
      <c r="C2268" s="451" t="s">
        <v>81</v>
      </c>
      <c r="D2268" s="451" t="s">
        <v>44</v>
      </c>
      <c r="E2268" s="451" t="s">
        <v>45</v>
      </c>
      <c r="F2268" s="452" t="s">
        <v>58</v>
      </c>
      <c r="G2268" s="452" t="s">
        <v>59</v>
      </c>
      <c r="H2268" s="452" t="s">
        <v>52</v>
      </c>
    </row>
    <row r="2269" spans="1:8">
      <c r="B2269" s="864" t="s">
        <v>60</v>
      </c>
      <c r="C2269" s="484" t="s">
        <v>69</v>
      </c>
      <c r="D2269" s="488">
        <v>2.5000000000000001E-2</v>
      </c>
      <c r="E2269" s="451" t="s">
        <v>46</v>
      </c>
      <c r="F2269" s="457">
        <f>F2259</f>
        <v>1200</v>
      </c>
      <c r="G2269" s="457">
        <f>INT(D2269*F2269*100)/100</f>
        <v>30</v>
      </c>
      <c r="H2269" s="457"/>
    </row>
    <row r="2270" spans="1:8">
      <c r="B2270" s="865"/>
      <c r="C2270" s="484" t="s">
        <v>43</v>
      </c>
      <c r="D2270" s="488">
        <v>0.01</v>
      </c>
      <c r="E2270" s="451" t="s">
        <v>46</v>
      </c>
      <c r="F2270" s="457">
        <f>F2260</f>
        <v>870</v>
      </c>
      <c r="G2270" s="457">
        <f>INT(D2270*F2270*100)/100</f>
        <v>8.6999999999999993</v>
      </c>
      <c r="H2270" s="457"/>
    </row>
    <row r="2271" spans="1:8">
      <c r="B2271" s="864" t="s">
        <v>63</v>
      </c>
      <c r="C2271" s="484" t="s">
        <v>70</v>
      </c>
      <c r="D2271" s="488">
        <v>7.0000000000000001E-3</v>
      </c>
      <c r="E2271" s="451" t="s">
        <v>71</v>
      </c>
      <c r="F2271" s="457">
        <f>F2261</f>
        <v>14000</v>
      </c>
      <c r="G2271" s="457">
        <f>INT(D2271*F2271*100)/100</f>
        <v>98</v>
      </c>
      <c r="H2271" s="457"/>
    </row>
    <row r="2272" spans="1:8">
      <c r="B2272" s="868"/>
      <c r="C2272" s="528" t="str">
        <f>C2241</f>
        <v xml:space="preserve">Sand  river washed </v>
      </c>
      <c r="D2272" s="488">
        <v>4.0000000000000001E-3</v>
      </c>
      <c r="E2272" s="451" t="s">
        <v>68</v>
      </c>
      <c r="F2272" s="457">
        <f>F2241</f>
        <v>2200</v>
      </c>
      <c r="G2272" s="457">
        <f>INT(D2272*F2272*100)/100</f>
        <v>8.8000000000000007</v>
      </c>
      <c r="H2272" s="457"/>
    </row>
    <row r="2273" spans="1:8">
      <c r="B2273" s="865"/>
      <c r="C2273" s="484" t="s">
        <v>452</v>
      </c>
      <c r="D2273" s="488">
        <v>0.1</v>
      </c>
      <c r="E2273" s="451" t="s">
        <v>74</v>
      </c>
      <c r="F2273" s="457">
        <f>'Basic Rate'!$F$214</f>
        <v>108</v>
      </c>
      <c r="G2273" s="457">
        <f>INT(D2273*F2273*100)/100</f>
        <v>10.8</v>
      </c>
      <c r="H2273" s="457"/>
    </row>
    <row r="2274" spans="1:8">
      <c r="B2274" s="855" t="s">
        <v>451</v>
      </c>
      <c r="C2274" s="855"/>
      <c r="D2274" s="856" t="s">
        <v>61</v>
      </c>
      <c r="E2274" s="856"/>
      <c r="F2274" s="856"/>
      <c r="G2274" s="457">
        <f>SUM(G2269:G2273)</f>
        <v>156.30000000000001</v>
      </c>
      <c r="H2274" s="457"/>
    </row>
    <row r="2275" spans="1:8">
      <c r="B2275" s="855"/>
      <c r="C2275" s="855"/>
      <c r="D2275" s="857" t="s">
        <v>573</v>
      </c>
      <c r="E2275" s="857"/>
      <c r="F2275" s="857"/>
      <c r="G2275" s="457">
        <f>INT(15%*G2274*100)/100</f>
        <v>23.44</v>
      </c>
      <c r="H2275" s="457"/>
    </row>
    <row r="2276" spans="1:8">
      <c r="B2276" s="855"/>
      <c r="C2276" s="855"/>
      <c r="D2276" s="856" t="s">
        <v>47</v>
      </c>
      <c r="E2276" s="856"/>
      <c r="F2276" s="856"/>
      <c r="G2276" s="457">
        <f>SUM(G2274:G2275)</f>
        <v>179.74</v>
      </c>
      <c r="H2276" s="457"/>
    </row>
    <row r="2277" spans="1:8" s="605" customFormat="1" ht="25.5" customHeight="1">
      <c r="A2277" s="603">
        <v>9.27</v>
      </c>
      <c r="B2277" s="604" t="s">
        <v>453</v>
      </c>
      <c r="C2277" s="891" t="s">
        <v>454</v>
      </c>
      <c r="D2277" s="892"/>
      <c r="E2277" s="892"/>
      <c r="F2277" s="610" t="s">
        <v>50</v>
      </c>
      <c r="G2277" s="447">
        <f>TRUNC(G2281/1,2)</f>
        <v>0</v>
      </c>
      <c r="H2277" s="448">
        <f>TRUNC(G2283/1,2)</f>
        <v>0</v>
      </c>
    </row>
    <row r="2278" spans="1:8">
      <c r="B2278" s="450" t="s">
        <v>80</v>
      </c>
      <c r="C2278" s="451" t="s">
        <v>81</v>
      </c>
      <c r="D2278" s="451" t="s">
        <v>44</v>
      </c>
      <c r="E2278" s="451" t="s">
        <v>45</v>
      </c>
      <c r="F2278" s="452" t="s">
        <v>58</v>
      </c>
      <c r="G2278" s="452" t="s">
        <v>59</v>
      </c>
      <c r="H2278" s="452" t="s">
        <v>52</v>
      </c>
    </row>
    <row r="2279" spans="1:8">
      <c r="B2279" s="468" t="s">
        <v>60</v>
      </c>
      <c r="C2279" s="986" t="s">
        <v>823</v>
      </c>
      <c r="D2279" s="988">
        <v>1</v>
      </c>
      <c r="E2279" s="864" t="s">
        <v>455</v>
      </c>
      <c r="F2279" s="908">
        <f>'Basic Rate'!F232</f>
        <v>0</v>
      </c>
      <c r="G2279" s="908">
        <f>F2279*D2279</f>
        <v>0</v>
      </c>
      <c r="H2279" s="925"/>
    </row>
    <row r="2280" spans="1:8">
      <c r="B2280" s="628" t="s">
        <v>63</v>
      </c>
      <c r="C2280" s="987"/>
      <c r="D2280" s="989"/>
      <c r="E2280" s="865"/>
      <c r="F2280" s="909"/>
      <c r="G2280" s="909"/>
      <c r="H2280" s="926"/>
    </row>
    <row r="2281" spans="1:8">
      <c r="B2281" s="855" t="s">
        <v>175</v>
      </c>
      <c r="C2281" s="855"/>
      <c r="D2281" s="856" t="s">
        <v>61</v>
      </c>
      <c r="E2281" s="856"/>
      <c r="F2281" s="856"/>
      <c r="G2281" s="457">
        <f>SUM(G2279:G2280)</f>
        <v>0</v>
      </c>
      <c r="H2281" s="457"/>
    </row>
    <row r="2282" spans="1:8">
      <c r="B2282" s="855"/>
      <c r="C2282" s="855"/>
      <c r="D2282" s="857" t="s">
        <v>573</v>
      </c>
      <c r="E2282" s="857"/>
      <c r="F2282" s="857"/>
      <c r="G2282" s="457">
        <f>INT(15%*G2281*100)/100</f>
        <v>0</v>
      </c>
      <c r="H2282" s="457"/>
    </row>
    <row r="2283" spans="1:8">
      <c r="B2283" s="855"/>
      <c r="C2283" s="855"/>
      <c r="D2283" s="856" t="s">
        <v>47</v>
      </c>
      <c r="E2283" s="856"/>
      <c r="F2283" s="856"/>
      <c r="G2283" s="457">
        <f>SUM(G2281:G2282)</f>
        <v>0</v>
      </c>
      <c r="H2283" s="457"/>
    </row>
    <row r="2284" spans="1:8">
      <c r="B2284" s="494"/>
      <c r="C2284" s="494"/>
      <c r="D2284" s="476"/>
      <c r="E2284" s="476"/>
      <c r="F2284" s="476"/>
      <c r="G2284" s="477"/>
      <c r="H2284" s="477"/>
    </row>
    <row r="2285" spans="1:8">
      <c r="B2285" s="458"/>
      <c r="C2285" s="458"/>
      <c r="F2285" s="459"/>
      <c r="G2285" s="460"/>
      <c r="H2285" s="460"/>
    </row>
    <row r="2286" spans="1:8" s="605" customFormat="1" ht="25.5" customHeight="1">
      <c r="A2286" s="603">
        <v>9.2799999999999994</v>
      </c>
      <c r="B2286" s="604" t="s">
        <v>456</v>
      </c>
      <c r="C2286" s="891" t="s">
        <v>1156</v>
      </c>
      <c r="D2286" s="892"/>
      <c r="E2286" s="892"/>
      <c r="F2286" s="610" t="s">
        <v>50</v>
      </c>
      <c r="G2286" s="447">
        <f>TRUNC(G2291/10,2)</f>
        <v>270.83999999999997</v>
      </c>
      <c r="H2286" s="448">
        <f>TRUNC(G2293/10,2)</f>
        <v>311.45999999999998</v>
      </c>
    </row>
    <row r="2287" spans="1:8">
      <c r="B2287" s="450" t="s">
        <v>80</v>
      </c>
      <c r="C2287" s="451" t="s">
        <v>81</v>
      </c>
      <c r="D2287" s="451" t="s">
        <v>44</v>
      </c>
      <c r="E2287" s="451" t="s">
        <v>45</v>
      </c>
      <c r="F2287" s="452" t="s">
        <v>58</v>
      </c>
      <c r="G2287" s="452" t="s">
        <v>59</v>
      </c>
      <c r="H2287" s="452" t="s">
        <v>52</v>
      </c>
    </row>
    <row r="2288" spans="1:8">
      <c r="B2288" s="864" t="s">
        <v>60</v>
      </c>
      <c r="C2288" s="484" t="s">
        <v>69</v>
      </c>
      <c r="D2288" s="488">
        <v>1</v>
      </c>
      <c r="E2288" s="451" t="s">
        <v>46</v>
      </c>
      <c r="F2288" s="457">
        <f>F2269</f>
        <v>1200</v>
      </c>
      <c r="G2288" s="457">
        <f>INT(D2288*F2288*100)/100</f>
        <v>1200</v>
      </c>
      <c r="H2288" s="457"/>
    </row>
    <row r="2289" spans="1:8">
      <c r="B2289" s="865"/>
      <c r="C2289" s="484" t="s">
        <v>43</v>
      </c>
      <c r="D2289" s="488">
        <v>1</v>
      </c>
      <c r="E2289" s="451" t="s">
        <v>46</v>
      </c>
      <c r="F2289" s="457">
        <f>F2270</f>
        <v>870</v>
      </c>
      <c r="G2289" s="457">
        <f>INT(D2289*F2289*100)/100</f>
        <v>870</v>
      </c>
      <c r="H2289" s="457"/>
    </row>
    <row r="2290" spans="1:8">
      <c r="B2290" s="468" t="s">
        <v>63</v>
      </c>
      <c r="C2290" s="484" t="s">
        <v>457</v>
      </c>
      <c r="D2290" s="488">
        <v>10.64</v>
      </c>
      <c r="E2290" s="451" t="s">
        <v>74</v>
      </c>
      <c r="F2290" s="457">
        <f>'Basic Rate'!F231</f>
        <v>60</v>
      </c>
      <c r="G2290" s="457">
        <f>INT(D2290*F2290*100)/100</f>
        <v>638.4</v>
      </c>
      <c r="H2290" s="457"/>
    </row>
    <row r="2291" spans="1:8">
      <c r="B2291" s="855" t="s">
        <v>165</v>
      </c>
      <c r="C2291" s="855"/>
      <c r="D2291" s="856" t="s">
        <v>61</v>
      </c>
      <c r="E2291" s="856"/>
      <c r="F2291" s="856"/>
      <c r="G2291" s="457">
        <f>SUM(G2288:G2290)</f>
        <v>2708.4</v>
      </c>
      <c r="H2291" s="457"/>
    </row>
    <row r="2292" spans="1:8">
      <c r="B2292" s="855"/>
      <c r="C2292" s="855"/>
      <c r="D2292" s="857" t="s">
        <v>573</v>
      </c>
      <c r="E2292" s="857"/>
      <c r="F2292" s="857"/>
      <c r="G2292" s="457">
        <f>INT(15%*G2291*100)/100</f>
        <v>406.26</v>
      </c>
      <c r="H2292" s="457"/>
    </row>
    <row r="2293" spans="1:8">
      <c r="B2293" s="855"/>
      <c r="C2293" s="855"/>
      <c r="D2293" s="856" t="s">
        <v>47</v>
      </c>
      <c r="E2293" s="856"/>
      <c r="F2293" s="856"/>
      <c r="G2293" s="457">
        <f>SUM(G2291:G2292)</f>
        <v>3114.66</v>
      </c>
      <c r="H2293" s="457"/>
    </row>
    <row r="2294" spans="1:8" ht="13.65" customHeight="1">
      <c r="A2294" s="916" t="s">
        <v>458</v>
      </c>
      <c r="B2294" s="916"/>
      <c r="C2294" s="916"/>
      <c r="D2294" s="916"/>
      <c r="E2294" s="916"/>
      <c r="F2294" s="916"/>
      <c r="G2294" s="916"/>
      <c r="H2294" s="916"/>
    </row>
    <row r="2295" spans="1:8">
      <c r="F2295" s="460"/>
      <c r="G2295" s="460"/>
      <c r="H2295" s="460"/>
    </row>
    <row r="2296" spans="1:8" s="605" customFormat="1" ht="25.5" customHeight="1">
      <c r="A2296" s="603">
        <v>10.01</v>
      </c>
      <c r="B2296" s="604" t="s">
        <v>459</v>
      </c>
      <c r="C2296" s="876" t="s">
        <v>1544</v>
      </c>
      <c r="D2296" s="877"/>
      <c r="E2296" s="877"/>
      <c r="F2296" s="447" t="s">
        <v>50</v>
      </c>
      <c r="G2296" s="447">
        <f>TRUNC(G2302/100,2)</f>
        <v>36.97</v>
      </c>
      <c r="H2296" s="448">
        <f>TRUNC(G2304/100,2)</f>
        <v>42.52</v>
      </c>
    </row>
    <row r="2297" spans="1:8">
      <c r="B2297" s="450" t="s">
        <v>80</v>
      </c>
      <c r="C2297" s="451" t="s">
        <v>81</v>
      </c>
      <c r="D2297" s="451" t="s">
        <v>44</v>
      </c>
      <c r="E2297" s="451" t="s">
        <v>45</v>
      </c>
      <c r="F2297" s="452" t="s">
        <v>58</v>
      </c>
      <c r="G2297" s="452" t="s">
        <v>59</v>
      </c>
      <c r="H2297" s="452" t="s">
        <v>52</v>
      </c>
    </row>
    <row r="2298" spans="1:8">
      <c r="B2298" s="864" t="s">
        <v>60</v>
      </c>
      <c r="C2298" s="484" t="s">
        <v>69</v>
      </c>
      <c r="D2298" s="488">
        <v>1.5</v>
      </c>
      <c r="E2298" s="451" t="s">
        <v>46</v>
      </c>
      <c r="F2298" s="457">
        <f>F2288</f>
        <v>1200</v>
      </c>
      <c r="G2298" s="457">
        <f>TRUNC(D2298*F2298,2)</f>
        <v>1800</v>
      </c>
      <c r="H2298" s="457"/>
    </row>
    <row r="2299" spans="1:8">
      <c r="B2299" s="865"/>
      <c r="C2299" s="484" t="s">
        <v>43</v>
      </c>
      <c r="D2299" s="488">
        <v>1.1000000000000001</v>
      </c>
      <c r="E2299" s="451" t="s">
        <v>46</v>
      </c>
      <c r="F2299" s="457">
        <f>F2289</f>
        <v>870</v>
      </c>
      <c r="G2299" s="457">
        <f>TRUNC(D2299*F2299,2)</f>
        <v>957</v>
      </c>
      <c r="H2299" s="457"/>
    </row>
    <row r="2300" spans="1:8">
      <c r="B2300" s="864" t="s">
        <v>63</v>
      </c>
      <c r="C2300" s="484" t="s">
        <v>114</v>
      </c>
      <c r="D2300" s="488">
        <v>22</v>
      </c>
      <c r="E2300" s="451" t="s">
        <v>74</v>
      </c>
      <c r="F2300" s="457">
        <f>F2251</f>
        <v>35</v>
      </c>
      <c r="G2300" s="457">
        <f>TRUNC(D2300*F2300,2)</f>
        <v>770</v>
      </c>
      <c r="H2300" s="457"/>
    </row>
    <row r="2301" spans="1:8">
      <c r="B2301" s="865"/>
      <c r="C2301" s="484" t="s">
        <v>115</v>
      </c>
      <c r="D2301" s="488">
        <v>0.88</v>
      </c>
      <c r="E2301" s="451" t="s">
        <v>74</v>
      </c>
      <c r="F2301" s="457">
        <f>'Basic Rate'!F91</f>
        <v>194</v>
      </c>
      <c r="G2301" s="457">
        <f>TRUNC(D2301*F2301,2)</f>
        <v>170.72</v>
      </c>
      <c r="H2301" s="457"/>
    </row>
    <row r="2302" spans="1:8">
      <c r="B2302" s="855" t="s">
        <v>172</v>
      </c>
      <c r="C2302" s="855"/>
      <c r="D2302" s="856" t="s">
        <v>61</v>
      </c>
      <c r="E2302" s="856"/>
      <c r="F2302" s="856"/>
      <c r="G2302" s="457">
        <f>SUM(G2298:G2301)</f>
        <v>3697.72</v>
      </c>
      <c r="H2302" s="457"/>
    </row>
    <row r="2303" spans="1:8" ht="12.75" customHeight="1">
      <c r="B2303" s="855"/>
      <c r="C2303" s="855"/>
      <c r="D2303" s="857" t="s">
        <v>573</v>
      </c>
      <c r="E2303" s="857"/>
      <c r="F2303" s="857"/>
      <c r="G2303" s="457">
        <f>INT(15%*G2302*100)/100</f>
        <v>554.65</v>
      </c>
      <c r="H2303" s="457"/>
    </row>
    <row r="2304" spans="1:8" ht="12.75" customHeight="1">
      <c r="B2304" s="855"/>
      <c r="C2304" s="855"/>
      <c r="D2304" s="856" t="s">
        <v>47</v>
      </c>
      <c r="E2304" s="856"/>
      <c r="F2304" s="856"/>
      <c r="G2304" s="457">
        <f>SUM(G2302:G2303)</f>
        <v>4252.37</v>
      </c>
      <c r="H2304" s="457"/>
    </row>
    <row r="2305" spans="1:8" s="605" customFormat="1" ht="13.8">
      <c r="A2305" s="603">
        <v>10.02</v>
      </c>
      <c r="B2305" s="604" t="s">
        <v>459</v>
      </c>
      <c r="C2305" s="876" t="s">
        <v>1157</v>
      </c>
      <c r="D2305" s="877"/>
      <c r="E2305" s="877"/>
      <c r="F2305" s="447" t="s">
        <v>50</v>
      </c>
      <c r="G2305" s="447">
        <f>TRUNC(G2311/100,2)</f>
        <v>43.86</v>
      </c>
      <c r="H2305" s="448">
        <f>TRUNC(G2313/100,2)</f>
        <v>50.45</v>
      </c>
    </row>
    <row r="2306" spans="1:8">
      <c r="B2306" s="450" t="s">
        <v>80</v>
      </c>
      <c r="C2306" s="451" t="s">
        <v>81</v>
      </c>
      <c r="D2306" s="451" t="s">
        <v>44</v>
      </c>
      <c r="E2306" s="451" t="s">
        <v>45</v>
      </c>
      <c r="F2306" s="452" t="s">
        <v>58</v>
      </c>
      <c r="G2306" s="452" t="s">
        <v>59</v>
      </c>
      <c r="H2306" s="452" t="s">
        <v>52</v>
      </c>
    </row>
    <row r="2307" spans="1:8">
      <c r="B2307" s="864" t="s">
        <v>60</v>
      </c>
      <c r="C2307" s="484" t="s">
        <v>69</v>
      </c>
      <c r="D2307" s="488">
        <f>TRUNC(1.5*1.25,3)</f>
        <v>1.875</v>
      </c>
      <c r="E2307" s="451" t="s">
        <v>46</v>
      </c>
      <c r="F2307" s="457">
        <f>F2298</f>
        <v>1200</v>
      </c>
      <c r="G2307" s="457">
        <f>INT(D2307*F2307*100)/100</f>
        <v>2250</v>
      </c>
      <c r="H2307" s="921" t="s">
        <v>1158</v>
      </c>
    </row>
    <row r="2308" spans="1:8">
      <c r="B2308" s="865"/>
      <c r="C2308" s="484" t="s">
        <v>43</v>
      </c>
      <c r="D2308" s="488">
        <f>TRUNC(1.1*1.25,3)</f>
        <v>1.375</v>
      </c>
      <c r="E2308" s="451" t="s">
        <v>46</v>
      </c>
      <c r="F2308" s="457">
        <f>F2299</f>
        <v>870</v>
      </c>
      <c r="G2308" s="457">
        <f>INT(D2308*F2308*100)/100</f>
        <v>1196.25</v>
      </c>
      <c r="H2308" s="922"/>
    </row>
    <row r="2309" spans="1:8">
      <c r="B2309" s="864" t="s">
        <v>63</v>
      </c>
      <c r="C2309" s="484" t="s">
        <v>114</v>
      </c>
      <c r="D2309" s="488">
        <v>22</v>
      </c>
      <c r="E2309" s="451" t="s">
        <v>74</v>
      </c>
      <c r="F2309" s="457">
        <f>F2300</f>
        <v>35</v>
      </c>
      <c r="G2309" s="457">
        <f>INT(D2309*F2309*100)/100</f>
        <v>770</v>
      </c>
      <c r="H2309" s="457"/>
    </row>
    <row r="2310" spans="1:8">
      <c r="B2310" s="865"/>
      <c r="C2310" s="484" t="s">
        <v>115</v>
      </c>
      <c r="D2310" s="488">
        <v>0.88</v>
      </c>
      <c r="E2310" s="451" t="s">
        <v>74</v>
      </c>
      <c r="F2310" s="457">
        <f>F2301</f>
        <v>194</v>
      </c>
      <c r="G2310" s="457">
        <f>INT(D2310*F2310*100)/100</f>
        <v>170.72</v>
      </c>
      <c r="H2310" s="457"/>
    </row>
    <row r="2311" spans="1:8">
      <c r="B2311" s="855" t="s">
        <v>172</v>
      </c>
      <c r="C2311" s="855"/>
      <c r="D2311" s="856" t="s">
        <v>61</v>
      </c>
      <c r="E2311" s="856"/>
      <c r="F2311" s="856"/>
      <c r="G2311" s="457">
        <f>SUM(G2307:G2310)</f>
        <v>4386.97</v>
      </c>
      <c r="H2311" s="457"/>
    </row>
    <row r="2312" spans="1:8">
      <c r="B2312" s="855"/>
      <c r="C2312" s="855"/>
      <c r="D2312" s="857" t="s">
        <v>573</v>
      </c>
      <c r="E2312" s="857"/>
      <c r="F2312" s="857"/>
      <c r="G2312" s="457">
        <f>INT(15%*G2311*100)/100</f>
        <v>658.04</v>
      </c>
      <c r="H2312" s="457"/>
    </row>
    <row r="2313" spans="1:8">
      <c r="B2313" s="855"/>
      <c r="C2313" s="855"/>
      <c r="D2313" s="856" t="s">
        <v>47</v>
      </c>
      <c r="E2313" s="856"/>
      <c r="F2313" s="856"/>
      <c r="G2313" s="457">
        <f>SUM(G2311:G2312)</f>
        <v>5045.01</v>
      </c>
      <c r="H2313" s="457"/>
    </row>
    <row r="2314" spans="1:8">
      <c r="B2314" s="458"/>
      <c r="C2314" s="458"/>
      <c r="F2314" s="459"/>
      <c r="G2314" s="460"/>
      <c r="H2314" s="460"/>
    </row>
    <row r="2315" spans="1:8">
      <c r="F2315" s="462"/>
      <c r="G2315" s="460"/>
      <c r="H2315" s="460"/>
    </row>
    <row r="2316" spans="1:8" s="605" customFormat="1" ht="13.8">
      <c r="A2316" s="603">
        <v>10.029999999999999</v>
      </c>
      <c r="B2316" s="604" t="s">
        <v>460</v>
      </c>
      <c r="C2316" s="876" t="s">
        <v>1545</v>
      </c>
      <c r="D2316" s="877"/>
      <c r="E2316" s="877"/>
      <c r="F2316" s="447" t="s">
        <v>50</v>
      </c>
      <c r="G2316" s="447">
        <f>TRUNC(G2322/100,2)</f>
        <v>73.17</v>
      </c>
      <c r="H2316" s="448">
        <f>TRUNC(G2324/100,2)</f>
        <v>84.14</v>
      </c>
    </row>
    <row r="2317" spans="1:8">
      <c r="B2317" s="450" t="s">
        <v>80</v>
      </c>
      <c r="C2317" s="451" t="s">
        <v>81</v>
      </c>
      <c r="D2317" s="451" t="s">
        <v>44</v>
      </c>
      <c r="E2317" s="451" t="s">
        <v>45</v>
      </c>
      <c r="F2317" s="452" t="s">
        <v>58</v>
      </c>
      <c r="G2317" s="452" t="s">
        <v>59</v>
      </c>
      <c r="H2317" s="452" t="s">
        <v>52</v>
      </c>
    </row>
    <row r="2318" spans="1:8">
      <c r="B2318" s="864" t="s">
        <v>60</v>
      </c>
      <c r="C2318" s="484" t="s">
        <v>69</v>
      </c>
      <c r="D2318" s="488">
        <v>3</v>
      </c>
      <c r="E2318" s="451" t="s">
        <v>46</v>
      </c>
      <c r="F2318" s="457">
        <f>F2307</f>
        <v>1200</v>
      </c>
      <c r="G2318" s="457">
        <f>INT(D2318*F2318*100)/100</f>
        <v>3600</v>
      </c>
      <c r="H2318" s="457"/>
    </row>
    <row r="2319" spans="1:8">
      <c r="B2319" s="865"/>
      <c r="C2319" s="484" t="s">
        <v>43</v>
      </c>
      <c r="D2319" s="488">
        <v>2.7</v>
      </c>
      <c r="E2319" s="451" t="s">
        <v>46</v>
      </c>
      <c r="F2319" s="457">
        <f>F2308</f>
        <v>870</v>
      </c>
      <c r="G2319" s="457">
        <f>INT(D2319*F2319*100)/100</f>
        <v>2349</v>
      </c>
      <c r="H2319" s="457"/>
    </row>
    <row r="2320" spans="1:8">
      <c r="B2320" s="864" t="s">
        <v>63</v>
      </c>
      <c r="C2320" s="484" t="s">
        <v>114</v>
      </c>
      <c r="D2320" s="488">
        <v>32</v>
      </c>
      <c r="E2320" s="451" t="s">
        <v>74</v>
      </c>
      <c r="F2320" s="457">
        <f>F2309</f>
        <v>35</v>
      </c>
      <c r="G2320" s="457">
        <f>INT(D2320*F2320*100)/100</f>
        <v>1120</v>
      </c>
      <c r="H2320" s="457"/>
    </row>
    <row r="2321" spans="1:8">
      <c r="B2321" s="865"/>
      <c r="C2321" s="484" t="s">
        <v>115</v>
      </c>
      <c r="D2321" s="488">
        <v>1.28</v>
      </c>
      <c r="E2321" s="451" t="s">
        <v>74</v>
      </c>
      <c r="F2321" s="457">
        <f>F2310</f>
        <v>194</v>
      </c>
      <c r="G2321" s="457">
        <f>INT(D2321*F2321*100)/100</f>
        <v>248.32</v>
      </c>
      <c r="H2321" s="457"/>
    </row>
    <row r="2322" spans="1:8">
      <c r="B2322" s="855" t="s">
        <v>172</v>
      </c>
      <c r="C2322" s="855"/>
      <c r="D2322" s="856" t="s">
        <v>61</v>
      </c>
      <c r="E2322" s="856"/>
      <c r="F2322" s="856"/>
      <c r="G2322" s="457">
        <f>SUM(G2318:G2321)</f>
        <v>7317.32</v>
      </c>
      <c r="H2322" s="457"/>
    </row>
    <row r="2323" spans="1:8">
      <c r="B2323" s="855"/>
      <c r="C2323" s="855"/>
      <c r="D2323" s="857" t="s">
        <v>573</v>
      </c>
      <c r="E2323" s="857"/>
      <c r="F2323" s="857"/>
      <c r="G2323" s="457">
        <f>INT(15%*G2322*100)/100</f>
        <v>1097.5899999999999</v>
      </c>
      <c r="H2323" s="457"/>
    </row>
    <row r="2324" spans="1:8">
      <c r="B2324" s="855"/>
      <c r="C2324" s="855"/>
      <c r="D2324" s="856" t="s">
        <v>47</v>
      </c>
      <c r="E2324" s="856"/>
      <c r="F2324" s="856"/>
      <c r="G2324" s="457">
        <f>SUM(G2322:G2323)</f>
        <v>8414.91</v>
      </c>
      <c r="H2324" s="457"/>
    </row>
    <row r="2325" spans="1:8">
      <c r="F2325" s="460"/>
      <c r="G2325" s="460"/>
      <c r="H2325" s="460"/>
    </row>
    <row r="2326" spans="1:8" s="605" customFormat="1" ht="13.8">
      <c r="A2326" s="603">
        <v>10.039999999999999</v>
      </c>
      <c r="B2326" s="604" t="s">
        <v>460</v>
      </c>
      <c r="C2326" s="876" t="s">
        <v>1159</v>
      </c>
      <c r="D2326" s="877"/>
      <c r="E2326" s="877"/>
      <c r="F2326" s="447" t="s">
        <v>50</v>
      </c>
      <c r="G2326" s="447">
        <f>TRUNC(G2332/100,2)</f>
        <v>88.04</v>
      </c>
      <c r="H2326" s="448">
        <f>TRUNC(G2334/100,2)</f>
        <v>101.25</v>
      </c>
    </row>
    <row r="2327" spans="1:8">
      <c r="B2327" s="450" t="s">
        <v>80</v>
      </c>
      <c r="C2327" s="451" t="s">
        <v>81</v>
      </c>
      <c r="D2327" s="451" t="s">
        <v>44</v>
      </c>
      <c r="E2327" s="451" t="s">
        <v>45</v>
      </c>
      <c r="F2327" s="452" t="s">
        <v>58</v>
      </c>
      <c r="G2327" s="452" t="s">
        <v>59</v>
      </c>
      <c r="H2327" s="452" t="s">
        <v>52</v>
      </c>
    </row>
    <row r="2328" spans="1:8">
      <c r="B2328" s="864" t="s">
        <v>60</v>
      </c>
      <c r="C2328" s="484" t="s">
        <v>69</v>
      </c>
      <c r="D2328" s="488">
        <f>TRUNC(3*1.25,3)</f>
        <v>3.75</v>
      </c>
      <c r="E2328" s="451" t="s">
        <v>46</v>
      </c>
      <c r="F2328" s="457">
        <f>F2318</f>
        <v>1200</v>
      </c>
      <c r="G2328" s="457">
        <f>INT(D2328*F2328*100)/100</f>
        <v>4500</v>
      </c>
      <c r="H2328" s="921" t="s">
        <v>1158</v>
      </c>
    </row>
    <row r="2329" spans="1:8">
      <c r="B2329" s="865"/>
      <c r="C2329" s="484" t="s">
        <v>43</v>
      </c>
      <c r="D2329" s="488">
        <f>TRUNC(2.7*1.25,3)</f>
        <v>3.375</v>
      </c>
      <c r="E2329" s="451" t="s">
        <v>46</v>
      </c>
      <c r="F2329" s="457">
        <f>F2319</f>
        <v>870</v>
      </c>
      <c r="G2329" s="457">
        <f>INT(D2329*F2329*100)/100</f>
        <v>2936.25</v>
      </c>
      <c r="H2329" s="922"/>
    </row>
    <row r="2330" spans="1:8">
      <c r="B2330" s="864" t="s">
        <v>63</v>
      </c>
      <c r="C2330" s="484" t="s">
        <v>114</v>
      </c>
      <c r="D2330" s="488">
        <v>32</v>
      </c>
      <c r="E2330" s="451" t="s">
        <v>74</v>
      </c>
      <c r="F2330" s="457">
        <f>F2320</f>
        <v>35</v>
      </c>
      <c r="G2330" s="457">
        <f>INT(D2330*F2330*100)/100</f>
        <v>1120</v>
      </c>
      <c r="H2330" s="457"/>
    </row>
    <row r="2331" spans="1:8">
      <c r="B2331" s="865"/>
      <c r="C2331" s="484" t="s">
        <v>115</v>
      </c>
      <c r="D2331" s="488">
        <v>1.28</v>
      </c>
      <c r="E2331" s="451" t="s">
        <v>74</v>
      </c>
      <c r="F2331" s="457">
        <f>F2321</f>
        <v>194</v>
      </c>
      <c r="G2331" s="457">
        <f>INT(D2331*F2331*100)/100</f>
        <v>248.32</v>
      </c>
      <c r="H2331" s="457"/>
    </row>
    <row r="2332" spans="1:8">
      <c r="B2332" s="855" t="s">
        <v>172</v>
      </c>
      <c r="C2332" s="855"/>
      <c r="D2332" s="856" t="s">
        <v>61</v>
      </c>
      <c r="E2332" s="856"/>
      <c r="F2332" s="856"/>
      <c r="G2332" s="457">
        <f>SUM(G2328:G2331)</f>
        <v>8804.57</v>
      </c>
      <c r="H2332" s="457"/>
    </row>
    <row r="2333" spans="1:8">
      <c r="B2333" s="855"/>
      <c r="C2333" s="855"/>
      <c r="D2333" s="857" t="s">
        <v>573</v>
      </c>
      <c r="E2333" s="857"/>
      <c r="F2333" s="857"/>
      <c r="G2333" s="457">
        <f>INT(15%*G2332*100)/100</f>
        <v>1320.68</v>
      </c>
      <c r="H2333" s="457"/>
    </row>
    <row r="2334" spans="1:8">
      <c r="B2334" s="855"/>
      <c r="C2334" s="855"/>
      <c r="D2334" s="856" t="s">
        <v>47</v>
      </c>
      <c r="E2334" s="856"/>
      <c r="F2334" s="856"/>
      <c r="G2334" s="457">
        <f>SUM(G2332:G2333)</f>
        <v>10125.25</v>
      </c>
      <c r="H2334" s="457"/>
    </row>
    <row r="2335" spans="1:8">
      <c r="C2335" s="444"/>
      <c r="F2335" s="462"/>
      <c r="G2335" s="460"/>
      <c r="H2335" s="460"/>
    </row>
    <row r="2336" spans="1:8" s="605" customFormat="1" ht="13.8">
      <c r="A2336" s="603">
        <v>10.050000000000001</v>
      </c>
      <c r="B2336" s="604" t="s">
        <v>461</v>
      </c>
      <c r="C2336" s="891" t="s">
        <v>1546</v>
      </c>
      <c r="D2336" s="892"/>
      <c r="E2336" s="892"/>
      <c r="F2336" s="447" t="s">
        <v>50</v>
      </c>
      <c r="G2336" s="447">
        <f>TRUNC(G2342/100,2)</f>
        <v>19.96</v>
      </c>
      <c r="H2336" s="448">
        <f>TRUNC(G2344/100,2)</f>
        <v>22.96</v>
      </c>
    </row>
    <row r="2337" spans="1:8">
      <c r="B2337" s="450" t="s">
        <v>80</v>
      </c>
      <c r="C2337" s="451" t="s">
        <v>81</v>
      </c>
      <c r="D2337" s="451" t="s">
        <v>44</v>
      </c>
      <c r="E2337" s="451" t="s">
        <v>45</v>
      </c>
      <c r="F2337" s="452" t="s">
        <v>58</v>
      </c>
      <c r="G2337" s="452" t="s">
        <v>59</v>
      </c>
      <c r="H2337" s="452" t="s">
        <v>52</v>
      </c>
    </row>
    <row r="2338" spans="1:8">
      <c r="B2338" s="864" t="s">
        <v>60</v>
      </c>
      <c r="C2338" s="484" t="s">
        <v>69</v>
      </c>
      <c r="D2338" s="488">
        <v>0.8</v>
      </c>
      <c r="E2338" s="451" t="s">
        <v>46</v>
      </c>
      <c r="F2338" s="457">
        <f>F2328</f>
        <v>1200</v>
      </c>
      <c r="G2338" s="457">
        <f>INT(D2338*F2338*100)/100</f>
        <v>960</v>
      </c>
      <c r="H2338" s="457"/>
    </row>
    <row r="2339" spans="1:8">
      <c r="B2339" s="865"/>
      <c r="C2339" s="484" t="s">
        <v>43</v>
      </c>
      <c r="D2339" s="488">
        <v>0.7</v>
      </c>
      <c r="E2339" s="451" t="s">
        <v>46</v>
      </c>
      <c r="F2339" s="457">
        <f>F2329</f>
        <v>870</v>
      </c>
      <c r="G2339" s="457">
        <f>INT(D2339*F2339*100)/100</f>
        <v>609</v>
      </c>
      <c r="H2339" s="457"/>
    </row>
    <row r="2340" spans="1:8">
      <c r="B2340" s="864" t="s">
        <v>63</v>
      </c>
      <c r="C2340" s="484" t="s">
        <v>114</v>
      </c>
      <c r="D2340" s="488">
        <v>10</v>
      </c>
      <c r="E2340" s="451" t="s">
        <v>74</v>
      </c>
      <c r="F2340" s="457">
        <f>F2330</f>
        <v>35</v>
      </c>
      <c r="G2340" s="457">
        <f>INT(D2340*F2340*100)/100</f>
        <v>350</v>
      </c>
      <c r="H2340" s="457"/>
    </row>
    <row r="2341" spans="1:8">
      <c r="B2341" s="865"/>
      <c r="C2341" s="484" t="s">
        <v>115</v>
      </c>
      <c r="D2341" s="488">
        <v>0.4</v>
      </c>
      <c r="E2341" s="451" t="s">
        <v>74</v>
      </c>
      <c r="F2341" s="457">
        <f>F2331</f>
        <v>194</v>
      </c>
      <c r="G2341" s="457">
        <f>INT(D2341*F2341*100)/100</f>
        <v>77.599999999999994</v>
      </c>
      <c r="H2341" s="457"/>
    </row>
    <row r="2342" spans="1:8">
      <c r="B2342" s="855" t="s">
        <v>172</v>
      </c>
      <c r="C2342" s="855"/>
      <c r="D2342" s="856" t="s">
        <v>61</v>
      </c>
      <c r="E2342" s="856"/>
      <c r="F2342" s="856"/>
      <c r="G2342" s="457">
        <f>SUM(G2338:G2341)</f>
        <v>1996.6</v>
      </c>
      <c r="H2342" s="457"/>
    </row>
    <row r="2343" spans="1:8">
      <c r="B2343" s="855"/>
      <c r="C2343" s="855"/>
      <c r="D2343" s="857" t="s">
        <v>573</v>
      </c>
      <c r="E2343" s="857"/>
      <c r="F2343" s="857"/>
      <c r="G2343" s="457">
        <f>INT(15%*G2342*100)/100</f>
        <v>299.49</v>
      </c>
      <c r="H2343" s="457"/>
    </row>
    <row r="2344" spans="1:8">
      <c r="A2344" s="453"/>
      <c r="B2344" s="855"/>
      <c r="C2344" s="855"/>
      <c r="D2344" s="856" t="s">
        <v>47</v>
      </c>
      <c r="E2344" s="856"/>
      <c r="F2344" s="856"/>
      <c r="G2344" s="457">
        <f>SUM(G2342:G2343)</f>
        <v>2296.09</v>
      </c>
      <c r="H2344" s="457"/>
    </row>
    <row r="2345" spans="1:8">
      <c r="C2345" s="459"/>
      <c r="F2345" s="462"/>
      <c r="G2345" s="460"/>
      <c r="H2345" s="460"/>
    </row>
    <row r="2346" spans="1:8" s="605" customFormat="1" ht="13.8">
      <c r="A2346" s="603">
        <v>10.06</v>
      </c>
      <c r="B2346" s="604" t="s">
        <v>462</v>
      </c>
      <c r="C2346" s="891" t="s">
        <v>1547</v>
      </c>
      <c r="D2346" s="892"/>
      <c r="E2346" s="892"/>
      <c r="F2346" s="447" t="s">
        <v>50</v>
      </c>
      <c r="G2346" s="447">
        <f>TRUNC(G2352/100,2)</f>
        <v>110.94</v>
      </c>
      <c r="H2346" s="448">
        <f>TRUNC(G2354/100,2)</f>
        <v>127.58</v>
      </c>
    </row>
    <row r="2347" spans="1:8">
      <c r="B2347" s="450" t="s">
        <v>80</v>
      </c>
      <c r="C2347" s="451" t="s">
        <v>81</v>
      </c>
      <c r="D2347" s="451" t="s">
        <v>44</v>
      </c>
      <c r="E2347" s="451" t="s">
        <v>45</v>
      </c>
      <c r="F2347" s="452" t="s">
        <v>58</v>
      </c>
      <c r="G2347" s="452" t="s">
        <v>59</v>
      </c>
      <c r="H2347" s="452" t="s">
        <v>52</v>
      </c>
    </row>
    <row r="2348" spans="1:8">
      <c r="B2348" s="864" t="s">
        <v>60</v>
      </c>
      <c r="C2348" s="484" t="s">
        <v>69</v>
      </c>
      <c r="D2348" s="456">
        <v>4</v>
      </c>
      <c r="E2348" s="451" t="s">
        <v>46</v>
      </c>
      <c r="F2348" s="457">
        <f>F2338</f>
        <v>1200</v>
      </c>
      <c r="G2348" s="457">
        <f>INT(D2348*F2348*100)/100</f>
        <v>4800</v>
      </c>
      <c r="H2348" s="457"/>
    </row>
    <row r="2349" spans="1:8">
      <c r="B2349" s="865"/>
      <c r="C2349" s="484" t="s">
        <v>43</v>
      </c>
      <c r="D2349" s="456">
        <v>4</v>
      </c>
      <c r="E2349" s="451" t="s">
        <v>46</v>
      </c>
      <c r="F2349" s="457">
        <f>F2339</f>
        <v>870</v>
      </c>
      <c r="G2349" s="457">
        <f>INT(D2349*F2349*100)/100</f>
        <v>3480</v>
      </c>
      <c r="H2349" s="457"/>
    </row>
    <row r="2350" spans="1:8">
      <c r="B2350" s="864" t="s">
        <v>63</v>
      </c>
      <c r="C2350" s="484" t="s">
        <v>210</v>
      </c>
      <c r="D2350" s="456">
        <v>8</v>
      </c>
      <c r="E2350" s="451" t="s">
        <v>107</v>
      </c>
      <c r="F2350" s="457">
        <f>'Basic Rate'!$F$65</f>
        <v>173</v>
      </c>
      <c r="G2350" s="457">
        <f>INT(D2350*F2350*100)/100</f>
        <v>1384</v>
      </c>
      <c r="H2350" s="457"/>
    </row>
    <row r="2351" spans="1:8">
      <c r="B2351" s="865"/>
      <c r="C2351" s="484" t="s">
        <v>464</v>
      </c>
      <c r="D2351" s="456">
        <v>6.5</v>
      </c>
      <c r="E2351" s="451" t="s">
        <v>74</v>
      </c>
      <c r="F2351" s="457">
        <f>'Basic Rate'!$F$66</f>
        <v>220</v>
      </c>
      <c r="G2351" s="457">
        <f>INT(D2351*F2351*100)/100</f>
        <v>1430</v>
      </c>
      <c r="H2351" s="457"/>
    </row>
    <row r="2352" spans="1:8">
      <c r="B2352" s="855" t="s">
        <v>172</v>
      </c>
      <c r="C2352" s="855"/>
      <c r="D2352" s="856" t="s">
        <v>61</v>
      </c>
      <c r="E2352" s="856"/>
      <c r="F2352" s="856"/>
      <c r="G2352" s="457">
        <f>SUM(G2348:G2351)</f>
        <v>11094</v>
      </c>
      <c r="H2352" s="457"/>
    </row>
    <row r="2353" spans="1:8">
      <c r="B2353" s="855"/>
      <c r="C2353" s="855"/>
      <c r="D2353" s="857" t="s">
        <v>573</v>
      </c>
      <c r="E2353" s="857"/>
      <c r="F2353" s="857"/>
      <c r="G2353" s="457">
        <f>INT(15%*G2352*100)/100</f>
        <v>1664.1</v>
      </c>
      <c r="H2353" s="457"/>
    </row>
    <row r="2354" spans="1:8">
      <c r="B2354" s="855"/>
      <c r="C2354" s="855"/>
      <c r="D2354" s="856" t="s">
        <v>47</v>
      </c>
      <c r="E2354" s="856"/>
      <c r="F2354" s="856"/>
      <c r="G2354" s="457">
        <f>SUM(G2352:G2353)</f>
        <v>12758.1</v>
      </c>
      <c r="H2354" s="457"/>
    </row>
    <row r="2355" spans="1:8">
      <c r="C2355" s="629"/>
      <c r="D2355" s="473"/>
      <c r="E2355" s="473"/>
      <c r="F2355" s="460"/>
      <c r="G2355" s="460"/>
      <c r="H2355" s="460"/>
    </row>
    <row r="2356" spans="1:8" s="605" customFormat="1" ht="26.4">
      <c r="A2356" s="603">
        <v>10.07</v>
      </c>
      <c r="B2356" s="604" t="s">
        <v>463</v>
      </c>
      <c r="C2356" s="891" t="s">
        <v>1548</v>
      </c>
      <c r="D2356" s="892"/>
      <c r="E2356" s="892"/>
      <c r="F2356" s="447" t="s">
        <v>50</v>
      </c>
      <c r="G2356" s="447">
        <f>TRUNC(G2362/100,2)</f>
        <v>159.19999999999999</v>
      </c>
      <c r="H2356" s="448">
        <f>TRUNC(G2364/100,2)</f>
        <v>183.08</v>
      </c>
    </row>
    <row r="2357" spans="1:8">
      <c r="B2357" s="450" t="s">
        <v>80</v>
      </c>
      <c r="C2357" s="451" t="s">
        <v>81</v>
      </c>
      <c r="D2357" s="451" t="s">
        <v>44</v>
      </c>
      <c r="E2357" s="451" t="s">
        <v>45</v>
      </c>
      <c r="F2357" s="452" t="s">
        <v>58</v>
      </c>
      <c r="G2357" s="452" t="s">
        <v>59</v>
      </c>
      <c r="H2357" s="452" t="s">
        <v>52</v>
      </c>
    </row>
    <row r="2358" spans="1:8">
      <c r="B2358" s="864" t="s">
        <v>60</v>
      </c>
      <c r="C2358" s="484" t="s">
        <v>69</v>
      </c>
      <c r="D2358" s="588">
        <v>5.8</v>
      </c>
      <c r="E2358" s="451" t="s">
        <v>46</v>
      </c>
      <c r="F2358" s="457">
        <f>F2348</f>
        <v>1200</v>
      </c>
      <c r="G2358" s="457">
        <f>INT(D2358*F2358*100)/100</f>
        <v>6960</v>
      </c>
      <c r="H2358" s="457"/>
    </row>
    <row r="2359" spans="1:8">
      <c r="B2359" s="865"/>
      <c r="C2359" s="484" t="s">
        <v>43</v>
      </c>
      <c r="D2359" s="588">
        <v>5.8</v>
      </c>
      <c r="E2359" s="451" t="s">
        <v>46</v>
      </c>
      <c r="F2359" s="457">
        <f>F2349</f>
        <v>870</v>
      </c>
      <c r="G2359" s="457">
        <f>INT(D2359*F2359*100)/100</f>
        <v>5046</v>
      </c>
      <c r="H2359" s="457"/>
    </row>
    <row r="2360" spans="1:8">
      <c r="B2360" s="864" t="s">
        <v>63</v>
      </c>
      <c r="C2360" s="484" t="s">
        <v>210</v>
      </c>
      <c r="D2360" s="588">
        <v>8</v>
      </c>
      <c r="E2360" s="451" t="s">
        <v>107</v>
      </c>
      <c r="F2360" s="457">
        <f>F2350</f>
        <v>173</v>
      </c>
      <c r="G2360" s="457">
        <f>INT(D2360*F2360*100)/100</f>
        <v>1384</v>
      </c>
      <c r="H2360" s="457"/>
    </row>
    <row r="2361" spans="1:8">
      <c r="B2361" s="865"/>
      <c r="C2361" s="484" t="s">
        <v>464</v>
      </c>
      <c r="D2361" s="588">
        <v>11.5</v>
      </c>
      <c r="E2361" s="451" t="s">
        <v>74</v>
      </c>
      <c r="F2361" s="457">
        <f>F2351</f>
        <v>220</v>
      </c>
      <c r="G2361" s="457">
        <f>INT(D2361*F2361*100)/100</f>
        <v>2530</v>
      </c>
      <c r="H2361" s="457"/>
    </row>
    <row r="2362" spans="1:8">
      <c r="B2362" s="855" t="s">
        <v>172</v>
      </c>
      <c r="C2362" s="855"/>
      <c r="D2362" s="856" t="s">
        <v>61</v>
      </c>
      <c r="E2362" s="856"/>
      <c r="F2362" s="856"/>
      <c r="G2362" s="457">
        <f>SUM(G2358:G2361)</f>
        <v>15920</v>
      </c>
      <c r="H2362" s="457"/>
    </row>
    <row r="2363" spans="1:8">
      <c r="B2363" s="855"/>
      <c r="C2363" s="855"/>
      <c r="D2363" s="857" t="s">
        <v>573</v>
      </c>
      <c r="E2363" s="857"/>
      <c r="F2363" s="857"/>
      <c r="G2363" s="457">
        <f>INT(15%*G2362*100)/100</f>
        <v>2388</v>
      </c>
      <c r="H2363" s="457"/>
    </row>
    <row r="2364" spans="1:8">
      <c r="B2364" s="855"/>
      <c r="C2364" s="855"/>
      <c r="D2364" s="856" t="s">
        <v>47</v>
      </c>
      <c r="E2364" s="856"/>
      <c r="F2364" s="856"/>
      <c r="G2364" s="457">
        <f>SUM(G2362:G2363)</f>
        <v>18308</v>
      </c>
      <c r="H2364" s="457"/>
    </row>
    <row r="2365" spans="1:8" ht="12.75" customHeight="1">
      <c r="F2365" s="460"/>
      <c r="G2365" s="460"/>
      <c r="H2365" s="460"/>
    </row>
    <row r="2366" spans="1:8">
      <c r="F2366" s="460"/>
      <c r="G2366" s="460"/>
      <c r="H2366" s="460"/>
    </row>
    <row r="2367" spans="1:8" s="605" customFormat="1" ht="13.8">
      <c r="A2367" s="603">
        <v>10.08</v>
      </c>
      <c r="B2367" s="604" t="s">
        <v>465</v>
      </c>
      <c r="C2367" s="891" t="s">
        <v>1549</v>
      </c>
      <c r="D2367" s="892"/>
      <c r="E2367" s="892"/>
      <c r="F2367" s="447" t="s">
        <v>50</v>
      </c>
      <c r="G2367" s="447">
        <f>TRUNC(G2372/100,2)</f>
        <v>55.7</v>
      </c>
      <c r="H2367" s="448">
        <f>TRUNC(G2374/100,2)</f>
        <v>64.05</v>
      </c>
    </row>
    <row r="2368" spans="1:8">
      <c r="B2368" s="450" t="s">
        <v>80</v>
      </c>
      <c r="C2368" s="451" t="s">
        <v>81</v>
      </c>
      <c r="D2368" s="451" t="s">
        <v>44</v>
      </c>
      <c r="E2368" s="451" t="s">
        <v>45</v>
      </c>
      <c r="F2368" s="452" t="s">
        <v>58</v>
      </c>
      <c r="G2368" s="452" t="s">
        <v>59</v>
      </c>
      <c r="H2368" s="452" t="s">
        <v>52</v>
      </c>
    </row>
    <row r="2369" spans="1:8">
      <c r="B2369" s="864" t="s">
        <v>60</v>
      </c>
      <c r="C2369" s="484" t="s">
        <v>69</v>
      </c>
      <c r="D2369" s="456">
        <v>2</v>
      </c>
      <c r="E2369" s="451" t="s">
        <v>46</v>
      </c>
      <c r="F2369" s="457">
        <f>F2358</f>
        <v>1200</v>
      </c>
      <c r="G2369" s="457">
        <f>INT(D2369*F2369*100)/100</f>
        <v>2400</v>
      </c>
      <c r="H2369" s="457"/>
    </row>
    <row r="2370" spans="1:8">
      <c r="B2370" s="865"/>
      <c r="C2370" s="484" t="s">
        <v>43</v>
      </c>
      <c r="D2370" s="456">
        <v>2</v>
      </c>
      <c r="E2370" s="451" t="s">
        <v>46</v>
      </c>
      <c r="F2370" s="457">
        <f>F2359</f>
        <v>870</v>
      </c>
      <c r="G2370" s="457">
        <f>INT(D2370*F2370*100)/100</f>
        <v>1740</v>
      </c>
      <c r="H2370" s="457"/>
    </row>
    <row r="2371" spans="1:8">
      <c r="B2371" s="450" t="s">
        <v>63</v>
      </c>
      <c r="C2371" s="484" t="s">
        <v>1111</v>
      </c>
      <c r="D2371" s="456">
        <v>6.5</v>
      </c>
      <c r="E2371" s="451" t="s">
        <v>74</v>
      </c>
      <c r="F2371" s="457">
        <f>'Basic Rate'!$F$66</f>
        <v>220</v>
      </c>
      <c r="G2371" s="457">
        <f>INT(D2371*F2371*100)/100</f>
        <v>1430</v>
      </c>
      <c r="H2371" s="457"/>
    </row>
    <row r="2372" spans="1:8">
      <c r="B2372" s="855" t="s">
        <v>172</v>
      </c>
      <c r="C2372" s="855"/>
      <c r="D2372" s="856" t="s">
        <v>61</v>
      </c>
      <c r="E2372" s="856"/>
      <c r="F2372" s="856"/>
      <c r="G2372" s="457">
        <f>SUM(G2369:G2371)</f>
        <v>5570</v>
      </c>
      <c r="H2372" s="457"/>
    </row>
    <row r="2373" spans="1:8">
      <c r="B2373" s="855"/>
      <c r="C2373" s="855"/>
      <c r="D2373" s="857" t="s">
        <v>573</v>
      </c>
      <c r="E2373" s="857"/>
      <c r="F2373" s="857"/>
      <c r="G2373" s="457">
        <f>INT(15%*G2372*100)/100</f>
        <v>835.5</v>
      </c>
      <c r="H2373" s="457"/>
    </row>
    <row r="2374" spans="1:8" ht="12.75" customHeight="1">
      <c r="B2374" s="855"/>
      <c r="C2374" s="855"/>
      <c r="D2374" s="856" t="s">
        <v>47</v>
      </c>
      <c r="E2374" s="856"/>
      <c r="F2374" s="856"/>
      <c r="G2374" s="457">
        <f>SUM(G2372:G2373)</f>
        <v>6405.5</v>
      </c>
      <c r="H2374" s="457"/>
    </row>
    <row r="2375" spans="1:8">
      <c r="C2375" s="629"/>
      <c r="D2375" s="473"/>
      <c r="E2375" s="473"/>
      <c r="F2375" s="460"/>
      <c r="G2375" s="460"/>
      <c r="H2375" s="460"/>
    </row>
    <row r="2376" spans="1:8" s="605" customFormat="1" ht="13.8">
      <c r="A2376" s="603">
        <v>10.09</v>
      </c>
      <c r="B2376" s="604" t="s">
        <v>466</v>
      </c>
      <c r="C2376" s="891" t="s">
        <v>1550</v>
      </c>
      <c r="D2376" s="892"/>
      <c r="E2376" s="892"/>
      <c r="F2376" s="447" t="s">
        <v>50</v>
      </c>
      <c r="G2376" s="447">
        <f>TRUNC(G2381/100,2)</f>
        <v>103.96</v>
      </c>
      <c r="H2376" s="448">
        <f>TRUNC(G2383/100,2)</f>
        <v>119.55</v>
      </c>
    </row>
    <row r="2377" spans="1:8">
      <c r="B2377" s="450" t="s">
        <v>80</v>
      </c>
      <c r="C2377" s="451" t="s">
        <v>81</v>
      </c>
      <c r="D2377" s="451" t="s">
        <v>44</v>
      </c>
      <c r="E2377" s="451" t="s">
        <v>45</v>
      </c>
      <c r="F2377" s="452" t="s">
        <v>58</v>
      </c>
      <c r="G2377" s="452" t="s">
        <v>59</v>
      </c>
      <c r="H2377" s="452" t="s">
        <v>52</v>
      </c>
    </row>
    <row r="2378" spans="1:8">
      <c r="B2378" s="864" t="s">
        <v>60</v>
      </c>
      <c r="C2378" s="484" t="s">
        <v>69</v>
      </c>
      <c r="D2378" s="588">
        <v>3.8</v>
      </c>
      <c r="E2378" s="451" t="s">
        <v>46</v>
      </c>
      <c r="F2378" s="457">
        <f>F2369</f>
        <v>1200</v>
      </c>
      <c r="G2378" s="457">
        <f>INT(D2378*F2378*100)/100</f>
        <v>4560</v>
      </c>
      <c r="H2378" s="457"/>
    </row>
    <row r="2379" spans="1:8">
      <c r="B2379" s="865"/>
      <c r="C2379" s="484" t="s">
        <v>43</v>
      </c>
      <c r="D2379" s="588">
        <v>3.8</v>
      </c>
      <c r="E2379" s="451" t="s">
        <v>46</v>
      </c>
      <c r="F2379" s="457">
        <f>F2370</f>
        <v>870</v>
      </c>
      <c r="G2379" s="457">
        <f>INT(D2379*F2379*100)/100</f>
        <v>3306</v>
      </c>
      <c r="H2379" s="457"/>
    </row>
    <row r="2380" spans="1:8">
      <c r="B2380" s="450" t="s">
        <v>63</v>
      </c>
      <c r="C2380" s="484" t="s">
        <v>1111</v>
      </c>
      <c r="D2380" s="588">
        <v>11.5</v>
      </c>
      <c r="E2380" s="451" t="s">
        <v>74</v>
      </c>
      <c r="F2380" s="457">
        <f>F2371</f>
        <v>220</v>
      </c>
      <c r="G2380" s="457">
        <f>INT(D2380*F2380*100)/100</f>
        <v>2530</v>
      </c>
      <c r="H2380" s="457"/>
    </row>
    <row r="2381" spans="1:8">
      <c r="B2381" s="855" t="s">
        <v>172</v>
      </c>
      <c r="C2381" s="855"/>
      <c r="D2381" s="856" t="s">
        <v>61</v>
      </c>
      <c r="E2381" s="856"/>
      <c r="F2381" s="856"/>
      <c r="G2381" s="457">
        <f>SUM(G2378:G2380)</f>
        <v>10396</v>
      </c>
      <c r="H2381" s="457"/>
    </row>
    <row r="2382" spans="1:8">
      <c r="B2382" s="855"/>
      <c r="C2382" s="855"/>
      <c r="D2382" s="857" t="s">
        <v>573</v>
      </c>
      <c r="E2382" s="857"/>
      <c r="F2382" s="857"/>
      <c r="G2382" s="457">
        <f>INT(15%*G2381*100)/100</f>
        <v>1559.4</v>
      </c>
      <c r="H2382" s="457"/>
    </row>
    <row r="2383" spans="1:8">
      <c r="B2383" s="855"/>
      <c r="C2383" s="855"/>
      <c r="D2383" s="856" t="s">
        <v>47</v>
      </c>
      <c r="E2383" s="856"/>
      <c r="F2383" s="856"/>
      <c r="G2383" s="457">
        <f>SUM(G2381:G2382)</f>
        <v>11955.4</v>
      </c>
      <c r="H2383" s="457"/>
    </row>
    <row r="2384" spans="1:8">
      <c r="C2384" s="444"/>
      <c r="F2384" s="462"/>
      <c r="G2384" s="460"/>
      <c r="H2384" s="460"/>
    </row>
    <row r="2385" spans="1:8" s="605" customFormat="1" ht="27.6">
      <c r="A2385" s="507">
        <v>10.1</v>
      </c>
      <c r="B2385" s="446" t="s">
        <v>462</v>
      </c>
      <c r="C2385" s="891" t="s">
        <v>1551</v>
      </c>
      <c r="D2385" s="892"/>
      <c r="E2385" s="892"/>
      <c r="F2385" s="447" t="s">
        <v>50</v>
      </c>
      <c r="G2385" s="447">
        <f>TRUNC(G2391/100,2)</f>
        <v>82.8</v>
      </c>
      <c r="H2385" s="448">
        <f>TRUNC(G2393/100,2)</f>
        <v>95.22</v>
      </c>
    </row>
    <row r="2386" spans="1:8">
      <c r="B2386" s="450" t="s">
        <v>80</v>
      </c>
      <c r="C2386" s="451" t="s">
        <v>81</v>
      </c>
      <c r="D2386" s="451" t="s">
        <v>44</v>
      </c>
      <c r="E2386" s="451" t="s">
        <v>45</v>
      </c>
      <c r="F2386" s="452" t="s">
        <v>58</v>
      </c>
      <c r="G2386" s="452" t="s">
        <v>59</v>
      </c>
      <c r="H2386" s="452" t="s">
        <v>52</v>
      </c>
    </row>
    <row r="2387" spans="1:8">
      <c r="B2387" s="864" t="s">
        <v>60</v>
      </c>
      <c r="C2387" s="484" t="s">
        <v>69</v>
      </c>
      <c r="D2387" s="588">
        <v>4</v>
      </c>
      <c r="E2387" s="451" t="s">
        <v>46</v>
      </c>
      <c r="F2387" s="457">
        <f>F2378</f>
        <v>1200</v>
      </c>
      <c r="G2387" s="457">
        <f>INT(D2387*F2387*100)/100</f>
        <v>4800</v>
      </c>
      <c r="H2387" s="457"/>
    </row>
    <row r="2388" spans="1:8">
      <c r="B2388" s="865"/>
      <c r="C2388" s="484" t="s">
        <v>43</v>
      </c>
      <c r="D2388" s="588">
        <v>4</v>
      </c>
      <c r="E2388" s="451" t="s">
        <v>46</v>
      </c>
      <c r="F2388" s="457">
        <f>F2379</f>
        <v>870</v>
      </c>
      <c r="G2388" s="457">
        <f>INT(D2388*F2388*100)/100</f>
        <v>3480</v>
      </c>
      <c r="H2388" s="457"/>
    </row>
    <row r="2389" spans="1:8">
      <c r="B2389" s="864" t="s">
        <v>63</v>
      </c>
      <c r="C2389" s="484" t="s">
        <v>188</v>
      </c>
      <c r="D2389" s="588">
        <v>8</v>
      </c>
      <c r="E2389" s="451" t="s">
        <v>107</v>
      </c>
      <c r="F2389" s="457">
        <f>'Basic Rate'!F219</f>
        <v>0</v>
      </c>
      <c r="G2389" s="457">
        <f>INT(D2389*F2389*100)/100</f>
        <v>0</v>
      </c>
      <c r="H2389" s="457"/>
    </row>
    <row r="2390" spans="1:8">
      <c r="B2390" s="865"/>
      <c r="C2390" s="484" t="s">
        <v>189</v>
      </c>
      <c r="D2390" s="588">
        <v>9</v>
      </c>
      <c r="E2390" s="451" t="s">
        <v>107</v>
      </c>
      <c r="F2390" s="457">
        <f>'Basic Rate'!F218</f>
        <v>0</v>
      </c>
      <c r="G2390" s="457">
        <f>INT(D2390*F2390*100)/100</f>
        <v>0</v>
      </c>
      <c r="H2390" s="457"/>
    </row>
    <row r="2391" spans="1:8">
      <c r="B2391" s="855" t="s">
        <v>172</v>
      </c>
      <c r="C2391" s="855"/>
      <c r="D2391" s="856" t="s">
        <v>61</v>
      </c>
      <c r="E2391" s="856"/>
      <c r="F2391" s="856"/>
      <c r="G2391" s="457">
        <f>SUM(G2387:G2390)</f>
        <v>8280</v>
      </c>
      <c r="H2391" s="457"/>
    </row>
    <row r="2392" spans="1:8">
      <c r="B2392" s="855"/>
      <c r="C2392" s="855"/>
      <c r="D2392" s="857" t="s">
        <v>573</v>
      </c>
      <c r="E2392" s="857"/>
      <c r="F2392" s="857"/>
      <c r="G2392" s="457">
        <f>INT(15%*G2391*100)/100</f>
        <v>1242</v>
      </c>
      <c r="H2392" s="457"/>
    </row>
    <row r="2393" spans="1:8">
      <c r="B2393" s="855"/>
      <c r="C2393" s="855"/>
      <c r="D2393" s="856" t="s">
        <v>47</v>
      </c>
      <c r="E2393" s="856"/>
      <c r="F2393" s="856"/>
      <c r="G2393" s="457">
        <f>SUM(G2391:G2392)</f>
        <v>9522</v>
      </c>
      <c r="H2393" s="457"/>
    </row>
    <row r="2394" spans="1:8">
      <c r="C2394" s="629"/>
      <c r="D2394" s="473"/>
      <c r="E2394" s="473"/>
      <c r="F2394" s="460"/>
      <c r="G2394" s="460"/>
      <c r="H2394" s="460"/>
    </row>
    <row r="2395" spans="1:8" s="605" customFormat="1" ht="27.6">
      <c r="A2395" s="507">
        <v>10.11</v>
      </c>
      <c r="B2395" s="446" t="s">
        <v>463</v>
      </c>
      <c r="C2395" s="891" t="s">
        <v>1552</v>
      </c>
      <c r="D2395" s="892"/>
      <c r="E2395" s="892"/>
      <c r="F2395" s="447" t="s">
        <v>50</v>
      </c>
      <c r="G2395" s="447">
        <f>TRUNC(G2401/100,2)</f>
        <v>213.6</v>
      </c>
      <c r="H2395" s="448">
        <f>TRUNC(G2403/100,2)</f>
        <v>245.64</v>
      </c>
    </row>
    <row r="2396" spans="1:8">
      <c r="B2396" s="450" t="s">
        <v>80</v>
      </c>
      <c r="C2396" s="451" t="s">
        <v>81</v>
      </c>
      <c r="D2396" s="451" t="s">
        <v>44</v>
      </c>
      <c r="E2396" s="451" t="s">
        <v>45</v>
      </c>
      <c r="F2396" s="452" t="s">
        <v>58</v>
      </c>
      <c r="G2396" s="452" t="s">
        <v>59</v>
      </c>
      <c r="H2396" s="452" t="s">
        <v>52</v>
      </c>
    </row>
    <row r="2397" spans="1:8">
      <c r="B2397" s="864" t="s">
        <v>60</v>
      </c>
      <c r="C2397" s="484" t="s">
        <v>69</v>
      </c>
      <c r="D2397" s="588">
        <v>12</v>
      </c>
      <c r="E2397" s="451" t="s">
        <v>46</v>
      </c>
      <c r="F2397" s="457">
        <f>F2387</f>
        <v>1200</v>
      </c>
      <c r="G2397" s="457">
        <f>INT(D2397*F2397*100)/100</f>
        <v>14400</v>
      </c>
      <c r="H2397" s="457"/>
    </row>
    <row r="2398" spans="1:8">
      <c r="B2398" s="865"/>
      <c r="C2398" s="484" t="s">
        <v>43</v>
      </c>
      <c r="D2398" s="588">
        <v>8</v>
      </c>
      <c r="E2398" s="451" t="s">
        <v>46</v>
      </c>
      <c r="F2398" s="457">
        <f>F2388</f>
        <v>870</v>
      </c>
      <c r="G2398" s="457">
        <f>INT(D2398*F2398*100)/100</f>
        <v>6960</v>
      </c>
      <c r="H2398" s="457"/>
    </row>
    <row r="2399" spans="1:8">
      <c r="B2399" s="864" t="s">
        <v>63</v>
      </c>
      <c r="C2399" s="484" t="s">
        <v>188</v>
      </c>
      <c r="D2399" s="588">
        <v>8</v>
      </c>
      <c r="E2399" s="451" t="s">
        <v>107</v>
      </c>
      <c r="F2399" s="457">
        <f>F2389</f>
        <v>0</v>
      </c>
      <c r="G2399" s="457">
        <f>INT(D2399*F2399*100)/100</f>
        <v>0</v>
      </c>
      <c r="H2399" s="457"/>
    </row>
    <row r="2400" spans="1:8">
      <c r="B2400" s="865"/>
      <c r="C2400" s="484" t="s">
        <v>189</v>
      </c>
      <c r="D2400" s="588">
        <v>16</v>
      </c>
      <c r="E2400" s="451" t="s">
        <v>107</v>
      </c>
      <c r="F2400" s="457">
        <f>F2390</f>
        <v>0</v>
      </c>
      <c r="G2400" s="457">
        <f>INT(D2400*F2400*100)/100</f>
        <v>0</v>
      </c>
      <c r="H2400" s="457"/>
    </row>
    <row r="2401" spans="1:8">
      <c r="B2401" s="855" t="s">
        <v>172</v>
      </c>
      <c r="C2401" s="855"/>
      <c r="D2401" s="856" t="s">
        <v>61</v>
      </c>
      <c r="E2401" s="856"/>
      <c r="F2401" s="856"/>
      <c r="G2401" s="457">
        <f>SUM(G2397:G2400)</f>
        <v>21360</v>
      </c>
      <c r="H2401" s="457"/>
    </row>
    <row r="2402" spans="1:8">
      <c r="B2402" s="855"/>
      <c r="C2402" s="855"/>
      <c r="D2402" s="857" t="s">
        <v>573</v>
      </c>
      <c r="E2402" s="857"/>
      <c r="F2402" s="857"/>
      <c r="G2402" s="457">
        <f>INT(15%*G2401*100)/100</f>
        <v>3204</v>
      </c>
      <c r="H2402" s="457"/>
    </row>
    <row r="2403" spans="1:8">
      <c r="B2403" s="855"/>
      <c r="C2403" s="855"/>
      <c r="D2403" s="856" t="s">
        <v>47</v>
      </c>
      <c r="E2403" s="856"/>
      <c r="F2403" s="856"/>
      <c r="G2403" s="457">
        <f>SUM(G2401:G2402)</f>
        <v>24564</v>
      </c>
      <c r="H2403" s="457"/>
    </row>
    <row r="2404" spans="1:8" ht="12.75" customHeight="1">
      <c r="F2404" s="460"/>
      <c r="G2404" s="460"/>
      <c r="H2404" s="460"/>
    </row>
    <row r="2405" spans="1:8">
      <c r="F2405" s="460"/>
      <c r="G2405" s="460"/>
      <c r="H2405" s="460"/>
    </row>
    <row r="2406" spans="1:8" s="605" customFormat="1" ht="25.5" customHeight="1">
      <c r="A2406" s="507">
        <v>10.119999999999999</v>
      </c>
      <c r="B2406" s="604" t="s">
        <v>465</v>
      </c>
      <c r="C2406" s="891" t="s">
        <v>1553</v>
      </c>
      <c r="D2406" s="892"/>
      <c r="E2406" s="892"/>
      <c r="F2406" s="447" t="s">
        <v>50</v>
      </c>
      <c r="G2406" s="447">
        <f>TRUNC(G2411/100,2)</f>
        <v>41.4</v>
      </c>
      <c r="H2406" s="448">
        <f>TRUNC(G2413/100,2)</f>
        <v>47.61</v>
      </c>
    </row>
    <row r="2407" spans="1:8">
      <c r="B2407" s="450" t="s">
        <v>80</v>
      </c>
      <c r="C2407" s="451" t="s">
        <v>81</v>
      </c>
      <c r="D2407" s="451" t="s">
        <v>44</v>
      </c>
      <c r="E2407" s="451" t="s">
        <v>45</v>
      </c>
      <c r="F2407" s="452" t="s">
        <v>58</v>
      </c>
      <c r="G2407" s="452" t="s">
        <v>59</v>
      </c>
      <c r="H2407" s="452" t="s">
        <v>52</v>
      </c>
    </row>
    <row r="2408" spans="1:8">
      <c r="B2408" s="864" t="s">
        <v>60</v>
      </c>
      <c r="C2408" s="484" t="s">
        <v>69</v>
      </c>
      <c r="D2408" s="588">
        <v>2</v>
      </c>
      <c r="E2408" s="451" t="s">
        <v>46</v>
      </c>
      <c r="F2408" s="457">
        <f>F2397</f>
        <v>1200</v>
      </c>
      <c r="G2408" s="457">
        <f>INT(D2408*F2408*100)/100</f>
        <v>2400</v>
      </c>
      <c r="H2408" s="457"/>
    </row>
    <row r="2409" spans="1:8">
      <c r="B2409" s="865"/>
      <c r="C2409" s="484" t="s">
        <v>43</v>
      </c>
      <c r="D2409" s="588">
        <v>2</v>
      </c>
      <c r="E2409" s="451" t="s">
        <v>46</v>
      </c>
      <c r="F2409" s="457">
        <f>F2398</f>
        <v>870</v>
      </c>
      <c r="G2409" s="457">
        <f>INT(D2409*F2409*100)/100</f>
        <v>1740</v>
      </c>
      <c r="H2409" s="457"/>
    </row>
    <row r="2410" spans="1:8">
      <c r="B2410" s="450" t="s">
        <v>63</v>
      </c>
      <c r="C2410" s="484" t="s">
        <v>189</v>
      </c>
      <c r="D2410" s="588">
        <v>9</v>
      </c>
      <c r="E2410" s="451" t="s">
        <v>987</v>
      </c>
      <c r="F2410" s="457">
        <f>F2400</f>
        <v>0</v>
      </c>
      <c r="G2410" s="457">
        <f>INT(D2410*F2410*100)/100</f>
        <v>0</v>
      </c>
      <c r="H2410" s="457"/>
    </row>
    <row r="2411" spans="1:8">
      <c r="B2411" s="855" t="s">
        <v>172</v>
      </c>
      <c r="C2411" s="855"/>
      <c r="D2411" s="856" t="s">
        <v>61</v>
      </c>
      <c r="E2411" s="856"/>
      <c r="F2411" s="856"/>
      <c r="G2411" s="457">
        <f>SUM(G2408:G2410)</f>
        <v>4140</v>
      </c>
      <c r="H2411" s="457"/>
    </row>
    <row r="2412" spans="1:8">
      <c r="B2412" s="855"/>
      <c r="C2412" s="855"/>
      <c r="D2412" s="857" t="s">
        <v>573</v>
      </c>
      <c r="E2412" s="857"/>
      <c r="F2412" s="857"/>
      <c r="G2412" s="457">
        <f>INT(15%*G2411*100)/100</f>
        <v>621</v>
      </c>
      <c r="H2412" s="457"/>
    </row>
    <row r="2413" spans="1:8" ht="12.75" customHeight="1">
      <c r="B2413" s="855"/>
      <c r="C2413" s="855"/>
      <c r="D2413" s="856" t="s">
        <v>47</v>
      </c>
      <c r="E2413" s="856"/>
      <c r="F2413" s="856"/>
      <c r="G2413" s="457">
        <f>SUM(G2411:G2412)</f>
        <v>4761</v>
      </c>
      <c r="H2413" s="457"/>
    </row>
    <row r="2414" spans="1:8">
      <c r="F2414" s="460"/>
      <c r="G2414" s="460"/>
      <c r="H2414" s="460"/>
    </row>
    <row r="2415" spans="1:8">
      <c r="C2415" s="629"/>
      <c r="D2415" s="473"/>
      <c r="E2415" s="473"/>
      <c r="F2415" s="460"/>
      <c r="G2415" s="460"/>
      <c r="H2415" s="460"/>
    </row>
    <row r="2416" spans="1:8" s="605" customFormat="1" ht="25.5" customHeight="1">
      <c r="A2416" s="507">
        <v>10.130000000000001</v>
      </c>
      <c r="B2416" s="604" t="s">
        <v>466</v>
      </c>
      <c r="C2416" s="891" t="s">
        <v>1554</v>
      </c>
      <c r="D2416" s="892"/>
      <c r="E2416" s="892"/>
      <c r="F2416" s="447" t="s">
        <v>50</v>
      </c>
      <c r="G2416" s="447">
        <f>TRUNC(G2421/100,2)</f>
        <v>151.5</v>
      </c>
      <c r="H2416" s="448">
        <f>TRUNC(G2423/100,2)</f>
        <v>174.22</v>
      </c>
    </row>
    <row r="2417" spans="1:8">
      <c r="B2417" s="450" t="s">
        <v>80</v>
      </c>
      <c r="C2417" s="451" t="s">
        <v>81</v>
      </c>
      <c r="D2417" s="451" t="s">
        <v>44</v>
      </c>
      <c r="E2417" s="451" t="s">
        <v>45</v>
      </c>
      <c r="F2417" s="452" t="s">
        <v>58</v>
      </c>
      <c r="G2417" s="452" t="s">
        <v>59</v>
      </c>
      <c r="H2417" s="452" t="s">
        <v>52</v>
      </c>
    </row>
    <row r="2418" spans="1:8">
      <c r="B2418" s="864" t="s">
        <v>60</v>
      </c>
      <c r="C2418" s="484" t="s">
        <v>69</v>
      </c>
      <c r="D2418" s="588">
        <v>9</v>
      </c>
      <c r="E2418" s="451" t="s">
        <v>46</v>
      </c>
      <c r="F2418" s="457">
        <f>F2408</f>
        <v>1200</v>
      </c>
      <c r="G2418" s="457">
        <f>INT(D2418*F2418*100)/100</f>
        <v>10800</v>
      </c>
      <c r="H2418" s="457"/>
    </row>
    <row r="2419" spans="1:8">
      <c r="B2419" s="865"/>
      <c r="C2419" s="484" t="s">
        <v>43</v>
      </c>
      <c r="D2419" s="588">
        <v>5</v>
      </c>
      <c r="E2419" s="451" t="s">
        <v>46</v>
      </c>
      <c r="F2419" s="457">
        <f>F2409</f>
        <v>870</v>
      </c>
      <c r="G2419" s="457">
        <f>INT(D2419*F2419*100)/100</f>
        <v>4350</v>
      </c>
      <c r="H2419" s="457"/>
    </row>
    <row r="2420" spans="1:8">
      <c r="B2420" s="450" t="s">
        <v>63</v>
      </c>
      <c r="C2420" s="484" t="s">
        <v>189</v>
      </c>
      <c r="D2420" s="588">
        <v>16</v>
      </c>
      <c r="E2420" s="451" t="s">
        <v>987</v>
      </c>
      <c r="F2420" s="457">
        <f>F2410</f>
        <v>0</v>
      </c>
      <c r="G2420" s="457">
        <f>INT(D2420*F2420*100)/100</f>
        <v>0</v>
      </c>
      <c r="H2420" s="457"/>
    </row>
    <row r="2421" spans="1:8">
      <c r="B2421" s="855" t="s">
        <v>172</v>
      </c>
      <c r="C2421" s="855"/>
      <c r="D2421" s="856" t="s">
        <v>61</v>
      </c>
      <c r="E2421" s="856"/>
      <c r="F2421" s="856"/>
      <c r="G2421" s="457">
        <f>SUM(G2418:G2420)</f>
        <v>15150</v>
      </c>
      <c r="H2421" s="457"/>
    </row>
    <row r="2422" spans="1:8">
      <c r="B2422" s="855"/>
      <c r="C2422" s="855"/>
      <c r="D2422" s="857" t="s">
        <v>573</v>
      </c>
      <c r="E2422" s="857"/>
      <c r="F2422" s="857"/>
      <c r="G2422" s="457">
        <f>INT(15%*G2421*100)/100</f>
        <v>2272.5</v>
      </c>
      <c r="H2422" s="457"/>
    </row>
    <row r="2423" spans="1:8">
      <c r="B2423" s="855"/>
      <c r="C2423" s="855"/>
      <c r="D2423" s="856" t="s">
        <v>47</v>
      </c>
      <c r="E2423" s="856"/>
      <c r="F2423" s="856"/>
      <c r="G2423" s="457">
        <f>SUM(G2421:G2422)</f>
        <v>17422.5</v>
      </c>
      <c r="H2423" s="457"/>
    </row>
    <row r="2424" spans="1:8">
      <c r="C2424" s="444"/>
      <c r="F2424" s="462"/>
      <c r="G2424" s="460"/>
      <c r="H2424" s="460"/>
    </row>
    <row r="2425" spans="1:8">
      <c r="C2425" s="444"/>
      <c r="F2425" s="462"/>
      <c r="G2425" s="460"/>
      <c r="H2425" s="460"/>
    </row>
    <row r="2426" spans="1:8" s="605" customFormat="1" ht="25.5" customHeight="1">
      <c r="A2426" s="603">
        <v>10.14</v>
      </c>
      <c r="B2426" s="604" t="s">
        <v>467</v>
      </c>
      <c r="C2426" s="891" t="s">
        <v>1555</v>
      </c>
      <c r="D2426" s="892"/>
      <c r="E2426" s="892"/>
      <c r="F2426" s="447" t="s">
        <v>50</v>
      </c>
      <c r="G2426" s="447">
        <f>TRUNC(G2431/100,2)</f>
        <v>68.19</v>
      </c>
      <c r="H2426" s="448">
        <f>TRUNC(G2433/100,2)</f>
        <v>78.41</v>
      </c>
    </row>
    <row r="2427" spans="1:8">
      <c r="B2427" s="450" t="s">
        <v>80</v>
      </c>
      <c r="C2427" s="451" t="s">
        <v>81</v>
      </c>
      <c r="D2427" s="451" t="s">
        <v>44</v>
      </c>
      <c r="E2427" s="451" t="s">
        <v>45</v>
      </c>
      <c r="F2427" s="452" t="s">
        <v>58</v>
      </c>
      <c r="G2427" s="452" t="s">
        <v>59</v>
      </c>
      <c r="H2427" s="452" t="s">
        <v>52</v>
      </c>
    </row>
    <row r="2428" spans="1:8">
      <c r="B2428" s="864" t="s">
        <v>60</v>
      </c>
      <c r="C2428" s="484" t="s">
        <v>69</v>
      </c>
      <c r="D2428" s="588">
        <v>1.7</v>
      </c>
      <c r="E2428" s="451" t="s">
        <v>46</v>
      </c>
      <c r="F2428" s="457">
        <f>F2418</f>
        <v>1200</v>
      </c>
      <c r="G2428" s="457">
        <f>INT(D2428*F2428*100)/100</f>
        <v>2040</v>
      </c>
      <c r="H2428" s="457"/>
    </row>
    <row r="2429" spans="1:8">
      <c r="B2429" s="865"/>
      <c r="C2429" s="484" t="s">
        <v>43</v>
      </c>
      <c r="D2429" s="588">
        <v>1.7</v>
      </c>
      <c r="E2429" s="451" t="s">
        <v>46</v>
      </c>
      <c r="F2429" s="457">
        <f>F2419</f>
        <v>870</v>
      </c>
      <c r="G2429" s="457">
        <f>INT(D2429*F2429*100)/100</f>
        <v>1479</v>
      </c>
      <c r="H2429" s="457"/>
    </row>
    <row r="2430" spans="1:8">
      <c r="B2430" s="450" t="s">
        <v>63</v>
      </c>
      <c r="C2430" s="484" t="s">
        <v>144</v>
      </c>
      <c r="D2430" s="588">
        <v>30</v>
      </c>
      <c r="E2430" s="451" t="s">
        <v>74</v>
      </c>
      <c r="F2430" s="457">
        <f>'Basic Rate'!F216</f>
        <v>110</v>
      </c>
      <c r="G2430" s="457">
        <f>INT(D2430*F2430*100)/100</f>
        <v>3300</v>
      </c>
      <c r="H2430" s="457"/>
    </row>
    <row r="2431" spans="1:8">
      <c r="B2431" s="855" t="s">
        <v>172</v>
      </c>
      <c r="C2431" s="855"/>
      <c r="D2431" s="856" t="s">
        <v>61</v>
      </c>
      <c r="E2431" s="856"/>
      <c r="F2431" s="856"/>
      <c r="G2431" s="457">
        <f>SUM(G2428:G2430)</f>
        <v>6819</v>
      </c>
      <c r="H2431" s="457"/>
    </row>
    <row r="2432" spans="1:8">
      <c r="B2432" s="855"/>
      <c r="C2432" s="855"/>
      <c r="D2432" s="857" t="s">
        <v>573</v>
      </c>
      <c r="E2432" s="857"/>
      <c r="F2432" s="857"/>
      <c r="G2432" s="457">
        <f>INT(15%*G2431*100)/100</f>
        <v>1022.85</v>
      </c>
      <c r="H2432" s="457"/>
    </row>
    <row r="2433" spans="1:8">
      <c r="B2433" s="855"/>
      <c r="C2433" s="855"/>
      <c r="D2433" s="856" t="s">
        <v>47</v>
      </c>
      <c r="E2433" s="856"/>
      <c r="F2433" s="856"/>
      <c r="G2433" s="457">
        <f>SUM(G2431:G2432)</f>
        <v>7841.85</v>
      </c>
      <c r="H2433" s="457"/>
    </row>
    <row r="2434" spans="1:8">
      <c r="F2434" s="460"/>
      <c r="G2434" s="460"/>
      <c r="H2434" s="460"/>
    </row>
    <row r="2435" spans="1:8">
      <c r="F2435" s="460"/>
      <c r="G2435" s="460"/>
      <c r="H2435" s="460"/>
    </row>
    <row r="2436" spans="1:8" s="605" customFormat="1" ht="25.5" customHeight="1">
      <c r="A2436" s="603">
        <v>10.15</v>
      </c>
      <c r="B2436" s="604" t="s">
        <v>468</v>
      </c>
      <c r="C2436" s="891" t="s">
        <v>1556</v>
      </c>
      <c r="D2436" s="892"/>
      <c r="E2436" s="892"/>
      <c r="F2436" s="447" t="s">
        <v>50</v>
      </c>
      <c r="G2436" s="447">
        <f>TRUNC(G2441/100,2)</f>
        <v>156.85</v>
      </c>
      <c r="H2436" s="448">
        <f>TRUNC(G2443/100,2)</f>
        <v>180.37</v>
      </c>
    </row>
    <row r="2437" spans="1:8">
      <c r="B2437" s="450" t="s">
        <v>80</v>
      </c>
      <c r="C2437" s="451" t="s">
        <v>81</v>
      </c>
      <c r="D2437" s="451" t="s">
        <v>44</v>
      </c>
      <c r="E2437" s="451" t="s">
        <v>45</v>
      </c>
      <c r="F2437" s="452" t="s">
        <v>58</v>
      </c>
      <c r="G2437" s="452" t="s">
        <v>59</v>
      </c>
      <c r="H2437" s="452" t="s">
        <v>52</v>
      </c>
    </row>
    <row r="2438" spans="1:8">
      <c r="B2438" s="864" t="s">
        <v>60</v>
      </c>
      <c r="C2438" s="484" t="s">
        <v>69</v>
      </c>
      <c r="D2438" s="588">
        <v>5</v>
      </c>
      <c r="E2438" s="451" t="s">
        <v>46</v>
      </c>
      <c r="F2438" s="457">
        <f>F2428</f>
        <v>1200</v>
      </c>
      <c r="G2438" s="457">
        <f>INT(D2438*F2438*100)/100</f>
        <v>6000</v>
      </c>
      <c r="H2438" s="457"/>
    </row>
    <row r="2439" spans="1:8">
      <c r="B2439" s="865"/>
      <c r="C2439" s="484" t="s">
        <v>43</v>
      </c>
      <c r="D2439" s="588">
        <v>5</v>
      </c>
      <c r="E2439" s="451" t="s">
        <v>46</v>
      </c>
      <c r="F2439" s="457">
        <f>F2429</f>
        <v>870</v>
      </c>
      <c r="G2439" s="457">
        <f>INT(D2439*F2439*100)/100</f>
        <v>4350</v>
      </c>
      <c r="H2439" s="457"/>
    </row>
    <row r="2440" spans="1:8">
      <c r="B2440" s="450" t="s">
        <v>63</v>
      </c>
      <c r="C2440" s="484" t="s">
        <v>144</v>
      </c>
      <c r="D2440" s="588">
        <v>48.5</v>
      </c>
      <c r="E2440" s="451" t="s">
        <v>74</v>
      </c>
      <c r="F2440" s="457">
        <f>F2430</f>
        <v>110</v>
      </c>
      <c r="G2440" s="457">
        <f>INT(D2440*F2440*100)/100</f>
        <v>5335</v>
      </c>
      <c r="H2440" s="457"/>
    </row>
    <row r="2441" spans="1:8">
      <c r="B2441" s="855" t="s">
        <v>172</v>
      </c>
      <c r="C2441" s="855"/>
      <c r="D2441" s="856" t="s">
        <v>61</v>
      </c>
      <c r="E2441" s="856"/>
      <c r="F2441" s="856"/>
      <c r="G2441" s="457">
        <f>SUM(G2438:G2440)</f>
        <v>15685</v>
      </c>
      <c r="H2441" s="457"/>
    </row>
    <row r="2442" spans="1:8">
      <c r="B2442" s="855"/>
      <c r="C2442" s="855"/>
      <c r="D2442" s="857" t="s">
        <v>573</v>
      </c>
      <c r="E2442" s="857"/>
      <c r="F2442" s="857"/>
      <c r="G2442" s="457">
        <f>INT(15%*G2441*100)/100</f>
        <v>2352.75</v>
      </c>
      <c r="H2442" s="457"/>
    </row>
    <row r="2443" spans="1:8">
      <c r="B2443" s="855"/>
      <c r="C2443" s="855"/>
      <c r="D2443" s="856" t="s">
        <v>47</v>
      </c>
      <c r="E2443" s="856"/>
      <c r="F2443" s="856"/>
      <c r="G2443" s="457">
        <f>SUM(G2441:G2442)</f>
        <v>18037.75</v>
      </c>
      <c r="H2443" s="457"/>
    </row>
    <row r="2444" spans="1:8">
      <c r="C2444" s="444"/>
      <c r="F2444" s="462"/>
      <c r="G2444" s="460"/>
      <c r="H2444" s="460"/>
    </row>
    <row r="2445" spans="1:8">
      <c r="C2445" s="444"/>
      <c r="F2445" s="462"/>
      <c r="G2445" s="460"/>
      <c r="H2445" s="460"/>
    </row>
    <row r="2446" spans="1:8" ht="12" customHeight="1">
      <c r="A2446" s="603">
        <v>10.16</v>
      </c>
      <c r="B2446" s="604" t="s">
        <v>467</v>
      </c>
      <c r="C2446" s="891" t="s">
        <v>1557</v>
      </c>
      <c r="D2446" s="892"/>
      <c r="E2446" s="892"/>
      <c r="F2446" s="447" t="s">
        <v>50</v>
      </c>
      <c r="G2446" s="447">
        <f>TRUNC(G2451/100,2)</f>
        <v>43.11</v>
      </c>
      <c r="H2446" s="448">
        <f>TRUNC(G2453/100,2)</f>
        <v>49.57</v>
      </c>
    </row>
    <row r="2447" spans="1:8">
      <c r="B2447" s="450" t="s">
        <v>80</v>
      </c>
      <c r="C2447" s="451" t="s">
        <v>81</v>
      </c>
      <c r="D2447" s="451" t="s">
        <v>44</v>
      </c>
      <c r="E2447" s="451" t="s">
        <v>45</v>
      </c>
      <c r="F2447" s="452" t="s">
        <v>58</v>
      </c>
      <c r="G2447" s="452" t="s">
        <v>59</v>
      </c>
      <c r="H2447" s="452" t="s">
        <v>52</v>
      </c>
    </row>
    <row r="2448" spans="1:8">
      <c r="B2448" s="864" t="s">
        <v>60</v>
      </c>
      <c r="C2448" s="484" t="s">
        <v>69</v>
      </c>
      <c r="D2448" s="588">
        <v>1.7</v>
      </c>
      <c r="E2448" s="451" t="s">
        <v>46</v>
      </c>
      <c r="F2448" s="457">
        <f>F2438</f>
        <v>1200</v>
      </c>
      <c r="G2448" s="457">
        <f>INT(D2448*F2448*100)/100</f>
        <v>2040</v>
      </c>
      <c r="H2448" s="457"/>
    </row>
    <row r="2449" spans="1:8">
      <c r="B2449" s="865"/>
      <c r="C2449" s="484" t="s">
        <v>43</v>
      </c>
      <c r="D2449" s="588">
        <v>1.7</v>
      </c>
      <c r="E2449" s="451" t="s">
        <v>46</v>
      </c>
      <c r="F2449" s="457">
        <f>F2439</f>
        <v>870</v>
      </c>
      <c r="G2449" s="457">
        <f>INT(D2449*F2449*100)/100</f>
        <v>1479</v>
      </c>
      <c r="H2449" s="457"/>
    </row>
    <row r="2450" spans="1:8">
      <c r="B2450" s="450" t="s">
        <v>63</v>
      </c>
      <c r="C2450" s="484" t="s">
        <v>104</v>
      </c>
      <c r="D2450" s="588">
        <v>30</v>
      </c>
      <c r="E2450" s="451" t="s">
        <v>74</v>
      </c>
      <c r="F2450" s="457">
        <f>'Basic Rate'!F220/1000</f>
        <v>26.4</v>
      </c>
      <c r="G2450" s="457">
        <f>INT(D2450*F2450*100)/100</f>
        <v>792</v>
      </c>
      <c r="H2450" s="457"/>
    </row>
    <row r="2451" spans="1:8">
      <c r="B2451" s="855" t="s">
        <v>172</v>
      </c>
      <c r="C2451" s="855"/>
      <c r="D2451" s="856" t="s">
        <v>61</v>
      </c>
      <c r="E2451" s="856"/>
      <c r="F2451" s="856"/>
      <c r="G2451" s="457">
        <f>SUM(G2448:G2450)</f>
        <v>4311</v>
      </c>
      <c r="H2451" s="457"/>
    </row>
    <row r="2452" spans="1:8">
      <c r="B2452" s="855"/>
      <c r="C2452" s="855"/>
      <c r="D2452" s="857" t="s">
        <v>573</v>
      </c>
      <c r="E2452" s="857"/>
      <c r="F2452" s="857"/>
      <c r="G2452" s="457">
        <f>INT(15%*G2451*100)/100</f>
        <v>646.65</v>
      </c>
      <c r="H2452" s="457"/>
    </row>
    <row r="2453" spans="1:8">
      <c r="B2453" s="855"/>
      <c r="C2453" s="855"/>
      <c r="D2453" s="856" t="s">
        <v>47</v>
      </c>
      <c r="E2453" s="856"/>
      <c r="F2453" s="856"/>
      <c r="G2453" s="457">
        <f>SUM(G2451:G2452)</f>
        <v>4957.6499999999996</v>
      </c>
      <c r="H2453" s="457"/>
    </row>
    <row r="2454" spans="1:8">
      <c r="F2454" s="460"/>
      <c r="G2454" s="460"/>
      <c r="H2454" s="460"/>
    </row>
    <row r="2455" spans="1:8">
      <c r="F2455" s="460"/>
      <c r="G2455" s="460"/>
      <c r="H2455" s="460"/>
    </row>
    <row r="2456" spans="1:8" ht="12" customHeight="1">
      <c r="A2456" s="603">
        <v>10.17</v>
      </c>
      <c r="B2456" s="604" t="s">
        <v>468</v>
      </c>
      <c r="C2456" s="891" t="s">
        <v>1558</v>
      </c>
      <c r="D2456" s="892"/>
      <c r="E2456" s="892"/>
      <c r="F2456" s="447" t="s">
        <v>50</v>
      </c>
      <c r="G2456" s="447">
        <f>TRUNC(G2461/100,2)</f>
        <v>116.3</v>
      </c>
      <c r="H2456" s="448">
        <f>TRUNC(G2463/100,2)</f>
        <v>133.74</v>
      </c>
    </row>
    <row r="2457" spans="1:8">
      <c r="B2457" s="450" t="s">
        <v>80</v>
      </c>
      <c r="C2457" s="451" t="s">
        <v>81</v>
      </c>
      <c r="D2457" s="451" t="s">
        <v>44</v>
      </c>
      <c r="E2457" s="451" t="s">
        <v>45</v>
      </c>
      <c r="F2457" s="452" t="s">
        <v>58</v>
      </c>
      <c r="G2457" s="452" t="s">
        <v>59</v>
      </c>
      <c r="H2457" s="452" t="s">
        <v>52</v>
      </c>
    </row>
    <row r="2458" spans="1:8">
      <c r="B2458" s="864" t="s">
        <v>60</v>
      </c>
      <c r="C2458" s="484" t="s">
        <v>69</v>
      </c>
      <c r="D2458" s="456">
        <v>5</v>
      </c>
      <c r="E2458" s="451" t="s">
        <v>46</v>
      </c>
      <c r="F2458" s="457">
        <f>F2448</f>
        <v>1200</v>
      </c>
      <c r="G2458" s="457">
        <f>INT(D2458*F2458*100)/100</f>
        <v>6000</v>
      </c>
      <c r="H2458" s="457"/>
    </row>
    <row r="2459" spans="1:8">
      <c r="B2459" s="865"/>
      <c r="C2459" s="484" t="s">
        <v>43</v>
      </c>
      <c r="D2459" s="456">
        <v>5</v>
      </c>
      <c r="E2459" s="451" t="s">
        <v>46</v>
      </c>
      <c r="F2459" s="457">
        <f>F2449</f>
        <v>870</v>
      </c>
      <c r="G2459" s="457">
        <f>INT(D2459*F2459*100)/100</f>
        <v>4350</v>
      </c>
      <c r="H2459" s="457"/>
    </row>
    <row r="2460" spans="1:8">
      <c r="B2460" s="450" t="s">
        <v>63</v>
      </c>
      <c r="C2460" s="484" t="s">
        <v>104</v>
      </c>
      <c r="D2460" s="456">
        <v>48.5</v>
      </c>
      <c r="E2460" s="451" t="s">
        <v>74</v>
      </c>
      <c r="F2460" s="457">
        <f>F2450</f>
        <v>26.4</v>
      </c>
      <c r="G2460" s="457">
        <f>INT(D2460*F2460*100)/100</f>
        <v>1280.4000000000001</v>
      </c>
      <c r="H2460" s="457"/>
    </row>
    <row r="2461" spans="1:8">
      <c r="B2461" s="855" t="s">
        <v>172</v>
      </c>
      <c r="C2461" s="855"/>
      <c r="D2461" s="856" t="s">
        <v>61</v>
      </c>
      <c r="E2461" s="856"/>
      <c r="F2461" s="856"/>
      <c r="G2461" s="457">
        <f>SUM(G2458:G2460)</f>
        <v>11630.4</v>
      </c>
      <c r="H2461" s="457"/>
    </row>
    <row r="2462" spans="1:8">
      <c r="B2462" s="855"/>
      <c r="C2462" s="855"/>
      <c r="D2462" s="857" t="s">
        <v>573</v>
      </c>
      <c r="E2462" s="857"/>
      <c r="F2462" s="857"/>
      <c r="G2462" s="457">
        <f>INT(15%*G2461*100)/100</f>
        <v>1744.56</v>
      </c>
      <c r="H2462" s="457"/>
    </row>
    <row r="2463" spans="1:8">
      <c r="B2463" s="855"/>
      <c r="C2463" s="855"/>
      <c r="D2463" s="856" t="s">
        <v>47</v>
      </c>
      <c r="E2463" s="856"/>
      <c r="F2463" s="856"/>
      <c r="G2463" s="457">
        <f>SUM(G2461:G2462)</f>
        <v>13374.96</v>
      </c>
      <c r="H2463" s="457"/>
    </row>
    <row r="2464" spans="1:8">
      <c r="C2464" s="444"/>
      <c r="F2464" s="462"/>
      <c r="G2464" s="460"/>
      <c r="H2464" s="460"/>
    </row>
    <row r="2465" spans="1:8">
      <c r="C2465" s="444"/>
      <c r="F2465" s="462"/>
      <c r="G2465" s="460"/>
      <c r="H2465" s="460"/>
    </row>
    <row r="2466" spans="1:8" s="605" customFormat="1" ht="25.5" customHeight="1">
      <c r="A2466" s="603">
        <v>10.18</v>
      </c>
      <c r="B2466" s="604" t="s">
        <v>469</v>
      </c>
      <c r="C2466" s="891" t="s">
        <v>1559</v>
      </c>
      <c r="D2466" s="892"/>
      <c r="E2466" s="892"/>
      <c r="F2466" s="447" t="s">
        <v>50</v>
      </c>
      <c r="G2466" s="447">
        <f>TRUNC(G2472/100,2)</f>
        <v>207.9</v>
      </c>
      <c r="H2466" s="448">
        <f>TRUNC(G2474/100,2)</f>
        <v>239.08</v>
      </c>
    </row>
    <row r="2467" spans="1:8">
      <c r="B2467" s="450" t="s">
        <v>80</v>
      </c>
      <c r="C2467" s="451" t="s">
        <v>81</v>
      </c>
      <c r="D2467" s="451" t="s">
        <v>44</v>
      </c>
      <c r="E2467" s="451" t="s">
        <v>45</v>
      </c>
      <c r="F2467" s="452" t="s">
        <v>58</v>
      </c>
      <c r="G2467" s="452" t="s">
        <v>59</v>
      </c>
      <c r="H2467" s="452" t="s">
        <v>52</v>
      </c>
    </row>
    <row r="2468" spans="1:8">
      <c r="B2468" s="864" t="s">
        <v>60</v>
      </c>
      <c r="C2468" s="484" t="s">
        <v>69</v>
      </c>
      <c r="D2468" s="588">
        <v>8</v>
      </c>
      <c r="E2468" s="451" t="s">
        <v>46</v>
      </c>
      <c r="F2468" s="457">
        <f>F2458</f>
        <v>1200</v>
      </c>
      <c r="G2468" s="457">
        <f>INT(D2468*F2468*100)/100</f>
        <v>9600</v>
      </c>
      <c r="H2468" s="457"/>
    </row>
    <row r="2469" spans="1:8">
      <c r="B2469" s="865"/>
      <c r="C2469" s="484" t="s">
        <v>43</v>
      </c>
      <c r="D2469" s="588">
        <v>5</v>
      </c>
      <c r="E2469" s="451" t="s">
        <v>46</v>
      </c>
      <c r="F2469" s="457">
        <f>F2459</f>
        <v>870</v>
      </c>
      <c r="G2469" s="457">
        <f>INT(D2469*F2469*100)/100</f>
        <v>4350</v>
      </c>
      <c r="H2469" s="457"/>
    </row>
    <row r="2470" spans="1:8">
      <c r="B2470" s="864" t="s">
        <v>63</v>
      </c>
      <c r="C2470" s="484" t="s">
        <v>1560</v>
      </c>
      <c r="D2470" s="588">
        <v>8.1</v>
      </c>
      <c r="E2470" s="451" t="s">
        <v>107</v>
      </c>
      <c r="F2470" s="510">
        <f>'Basic Rate'!$F$70</f>
        <v>400</v>
      </c>
      <c r="G2470" s="457">
        <f>INT(D2470*F2470*100)/100</f>
        <v>3240</v>
      </c>
      <c r="H2470" s="457"/>
    </row>
    <row r="2471" spans="1:8">
      <c r="B2471" s="865"/>
      <c r="C2471" s="484" t="s">
        <v>116</v>
      </c>
      <c r="D2471" s="588">
        <v>9</v>
      </c>
      <c r="E2471" s="451" t="s">
        <v>107</v>
      </c>
      <c r="F2471" s="457">
        <f>'Basic Rate'!$F$69</f>
        <v>400</v>
      </c>
      <c r="G2471" s="457">
        <f>INT(D2471*F2471*100)/100</f>
        <v>3600</v>
      </c>
      <c r="H2471" s="457"/>
    </row>
    <row r="2472" spans="1:8">
      <c r="B2472" s="855" t="s">
        <v>172</v>
      </c>
      <c r="C2472" s="855"/>
      <c r="D2472" s="856" t="s">
        <v>61</v>
      </c>
      <c r="E2472" s="856"/>
      <c r="F2472" s="856"/>
      <c r="G2472" s="457">
        <f>SUM(G2468:G2471)</f>
        <v>20790</v>
      </c>
      <c r="H2472" s="457"/>
    </row>
    <row r="2473" spans="1:8">
      <c r="B2473" s="855"/>
      <c r="C2473" s="855"/>
      <c r="D2473" s="857" t="s">
        <v>573</v>
      </c>
      <c r="E2473" s="857"/>
      <c r="F2473" s="857"/>
      <c r="G2473" s="457">
        <f>INT(15%*G2472*100)/100</f>
        <v>3118.5</v>
      </c>
      <c r="H2473" s="457"/>
    </row>
    <row r="2474" spans="1:8">
      <c r="B2474" s="855"/>
      <c r="C2474" s="855"/>
      <c r="D2474" s="856" t="s">
        <v>47</v>
      </c>
      <c r="E2474" s="856"/>
      <c r="F2474" s="856"/>
      <c r="G2474" s="457">
        <f>SUM(G2472:G2473)</f>
        <v>23908.5</v>
      </c>
      <c r="H2474" s="457"/>
    </row>
    <row r="2475" spans="1:8">
      <c r="C2475" s="444"/>
      <c r="F2475" s="462"/>
      <c r="G2475" s="460"/>
      <c r="H2475" s="460"/>
    </row>
    <row r="2476" spans="1:8" s="605" customFormat="1" ht="25.5" customHeight="1">
      <c r="A2476" s="603">
        <v>10.19</v>
      </c>
      <c r="B2476" s="604" t="s">
        <v>470</v>
      </c>
      <c r="C2476" s="891" t="s">
        <v>1561</v>
      </c>
      <c r="D2476" s="892"/>
      <c r="E2476" s="892"/>
      <c r="F2476" s="447" t="s">
        <v>50</v>
      </c>
      <c r="G2476" s="447">
        <f>TRUNC(G2482/100,2)</f>
        <v>310</v>
      </c>
      <c r="H2476" s="448">
        <f>TRUNC(G2484/100,2)</f>
        <v>356.5</v>
      </c>
    </row>
    <row r="2477" spans="1:8">
      <c r="B2477" s="450" t="s">
        <v>80</v>
      </c>
      <c r="C2477" s="451" t="s">
        <v>81</v>
      </c>
      <c r="D2477" s="451" t="s">
        <v>44</v>
      </c>
      <c r="E2477" s="451" t="s">
        <v>45</v>
      </c>
      <c r="F2477" s="452" t="s">
        <v>58</v>
      </c>
      <c r="G2477" s="452" t="s">
        <v>59</v>
      </c>
      <c r="H2477" s="452" t="s">
        <v>52</v>
      </c>
    </row>
    <row r="2478" spans="1:8">
      <c r="B2478" s="864" t="s">
        <v>60</v>
      </c>
      <c r="C2478" s="484" t="s">
        <v>69</v>
      </c>
      <c r="D2478" s="588">
        <v>12</v>
      </c>
      <c r="E2478" s="451" t="s">
        <v>46</v>
      </c>
      <c r="F2478" s="457">
        <f>F2468</f>
        <v>1200</v>
      </c>
      <c r="G2478" s="457">
        <f>INT(D2478*F2478*100)/100</f>
        <v>14400</v>
      </c>
      <c r="H2478" s="457"/>
    </row>
    <row r="2479" spans="1:8">
      <c r="B2479" s="865"/>
      <c r="C2479" s="484" t="s">
        <v>43</v>
      </c>
      <c r="D2479" s="588">
        <v>8</v>
      </c>
      <c r="E2479" s="451" t="s">
        <v>46</v>
      </c>
      <c r="F2479" s="457">
        <f>F2469</f>
        <v>870</v>
      </c>
      <c r="G2479" s="457">
        <f>INT(D2479*F2479*100)/100</f>
        <v>6960</v>
      </c>
      <c r="H2479" s="457"/>
    </row>
    <row r="2480" spans="1:8">
      <c r="B2480" s="864" t="s">
        <v>63</v>
      </c>
      <c r="C2480" s="484" t="s">
        <v>1560</v>
      </c>
      <c r="D2480" s="588">
        <v>8.1</v>
      </c>
      <c r="E2480" s="451" t="s">
        <v>107</v>
      </c>
      <c r="F2480" s="457">
        <f>F2470</f>
        <v>400</v>
      </c>
      <c r="G2480" s="457">
        <f>INT(D2480*F2480*100)/100</f>
        <v>3240</v>
      </c>
      <c r="H2480" s="457"/>
    </row>
    <row r="2481" spans="1:8">
      <c r="B2481" s="865"/>
      <c r="C2481" s="484" t="s">
        <v>116</v>
      </c>
      <c r="D2481" s="588">
        <v>16</v>
      </c>
      <c r="E2481" s="451" t="s">
        <v>107</v>
      </c>
      <c r="F2481" s="457">
        <f>F2471</f>
        <v>400</v>
      </c>
      <c r="G2481" s="457">
        <f>INT(D2481*F2481*100)/100</f>
        <v>6400</v>
      </c>
      <c r="H2481" s="457"/>
    </row>
    <row r="2482" spans="1:8">
      <c r="B2482" s="855" t="s">
        <v>172</v>
      </c>
      <c r="C2482" s="855"/>
      <c r="D2482" s="856" t="s">
        <v>61</v>
      </c>
      <c r="E2482" s="856"/>
      <c r="F2482" s="856"/>
      <c r="G2482" s="457">
        <f>SUM(G2478:G2481)</f>
        <v>31000</v>
      </c>
      <c r="H2482" s="457"/>
    </row>
    <row r="2483" spans="1:8">
      <c r="B2483" s="855"/>
      <c r="C2483" s="855"/>
      <c r="D2483" s="857" t="s">
        <v>573</v>
      </c>
      <c r="E2483" s="857"/>
      <c r="F2483" s="857"/>
      <c r="G2483" s="457">
        <f>INT(15%*G2482*100)/100</f>
        <v>4650</v>
      </c>
      <c r="H2483" s="457"/>
    </row>
    <row r="2484" spans="1:8">
      <c r="B2484" s="855"/>
      <c r="C2484" s="855"/>
      <c r="D2484" s="856" t="s">
        <v>47</v>
      </c>
      <c r="E2484" s="856"/>
      <c r="F2484" s="856"/>
      <c r="G2484" s="457">
        <f>SUM(G2482:G2483)</f>
        <v>35650</v>
      </c>
      <c r="H2484" s="457"/>
    </row>
    <row r="2485" spans="1:8" ht="12.75" customHeight="1">
      <c r="F2485" s="460"/>
      <c r="G2485" s="460"/>
      <c r="H2485" s="460"/>
    </row>
    <row r="2486" spans="1:8" s="605" customFormat="1" ht="25.5" customHeight="1">
      <c r="A2486" s="603">
        <v>10.199999999999999</v>
      </c>
      <c r="B2486" s="604" t="s">
        <v>469</v>
      </c>
      <c r="C2486" s="891" t="s">
        <v>1562</v>
      </c>
      <c r="D2486" s="892"/>
      <c r="E2486" s="892"/>
      <c r="F2486" s="447" t="s">
        <v>50</v>
      </c>
      <c r="G2486" s="447">
        <f>TRUNC(G2492/100,2)</f>
        <v>234.9</v>
      </c>
      <c r="H2486" s="448">
        <f>TRUNC(G2494/100,2)</f>
        <v>270.13</v>
      </c>
    </row>
    <row r="2487" spans="1:8">
      <c r="B2487" s="450" t="s">
        <v>80</v>
      </c>
      <c r="C2487" s="451" t="s">
        <v>81</v>
      </c>
      <c r="D2487" s="451" t="s">
        <v>44</v>
      </c>
      <c r="E2487" s="451" t="s">
        <v>45</v>
      </c>
      <c r="F2487" s="452" t="s">
        <v>58</v>
      </c>
      <c r="G2487" s="452" t="s">
        <v>59</v>
      </c>
      <c r="H2487" s="452" t="s">
        <v>52</v>
      </c>
    </row>
    <row r="2488" spans="1:8">
      <c r="B2488" s="864" t="s">
        <v>60</v>
      </c>
      <c r="C2488" s="484" t="s">
        <v>69</v>
      </c>
      <c r="D2488" s="588">
        <v>8</v>
      </c>
      <c r="E2488" s="451" t="s">
        <v>46</v>
      </c>
      <c r="F2488" s="457">
        <f>F2478</f>
        <v>1200</v>
      </c>
      <c r="G2488" s="457">
        <f>INT(D2488*F2488*100)/100</f>
        <v>9600</v>
      </c>
      <c r="H2488" s="457"/>
    </row>
    <row r="2489" spans="1:8">
      <c r="B2489" s="865"/>
      <c r="C2489" s="484" t="s">
        <v>43</v>
      </c>
      <c r="D2489" s="588">
        <v>5</v>
      </c>
      <c r="E2489" s="451" t="s">
        <v>46</v>
      </c>
      <c r="F2489" s="457">
        <f>F2479</f>
        <v>870</v>
      </c>
      <c r="G2489" s="457">
        <f>INT(D2489*F2489*100)/100</f>
        <v>4350</v>
      </c>
      <c r="H2489" s="457"/>
    </row>
    <row r="2490" spans="1:8">
      <c r="B2490" s="864" t="s">
        <v>63</v>
      </c>
      <c r="C2490" s="484" t="s">
        <v>1560</v>
      </c>
      <c r="D2490" s="588">
        <v>8.1</v>
      </c>
      <c r="E2490" s="451" t="s">
        <v>107</v>
      </c>
      <c r="F2490" s="457">
        <f>F2480</f>
        <v>400</v>
      </c>
      <c r="G2490" s="457">
        <f>INT(D2490*F2490*100)/100</f>
        <v>3240</v>
      </c>
      <c r="H2490" s="457"/>
    </row>
    <row r="2491" spans="1:8">
      <c r="B2491" s="865"/>
      <c r="C2491" s="484" t="s">
        <v>145</v>
      </c>
      <c r="D2491" s="588">
        <v>9</v>
      </c>
      <c r="E2491" s="451" t="s">
        <v>107</v>
      </c>
      <c r="F2491" s="457">
        <f>'Basic Rate'!F150</f>
        <v>700</v>
      </c>
      <c r="G2491" s="457">
        <f>INT(D2491*F2491*100)/100</f>
        <v>6300</v>
      </c>
      <c r="H2491" s="457"/>
    </row>
    <row r="2492" spans="1:8">
      <c r="B2492" s="855" t="s">
        <v>172</v>
      </c>
      <c r="C2492" s="855"/>
      <c r="D2492" s="856" t="s">
        <v>61</v>
      </c>
      <c r="E2492" s="856"/>
      <c r="F2492" s="856"/>
      <c r="G2492" s="457">
        <f>SUM(G2488:G2491)</f>
        <v>23490</v>
      </c>
      <c r="H2492" s="457"/>
    </row>
    <row r="2493" spans="1:8">
      <c r="B2493" s="855"/>
      <c r="C2493" s="855"/>
      <c r="D2493" s="857" t="s">
        <v>573</v>
      </c>
      <c r="E2493" s="857"/>
      <c r="F2493" s="857"/>
      <c r="G2493" s="457">
        <f>INT(15%*G2492*100)/100</f>
        <v>3523.5</v>
      </c>
      <c r="H2493" s="457"/>
    </row>
    <row r="2494" spans="1:8">
      <c r="B2494" s="855"/>
      <c r="C2494" s="855"/>
      <c r="D2494" s="856" t="s">
        <v>47</v>
      </c>
      <c r="E2494" s="856"/>
      <c r="F2494" s="856"/>
      <c r="G2494" s="457">
        <f>SUM(G2492:G2493)</f>
        <v>27013.5</v>
      </c>
      <c r="H2494" s="457"/>
    </row>
    <row r="2495" spans="1:8">
      <c r="B2495" s="458"/>
      <c r="C2495" s="458"/>
      <c r="F2495" s="459"/>
      <c r="G2495" s="460"/>
      <c r="H2495" s="460"/>
    </row>
    <row r="2496" spans="1:8">
      <c r="F2496" s="474"/>
      <c r="G2496" s="474"/>
      <c r="H2496" s="474"/>
    </row>
    <row r="2497" spans="1:8" s="605" customFormat="1" ht="27" customHeight="1">
      <c r="A2497" s="603">
        <v>10.210000000000001</v>
      </c>
      <c r="B2497" s="604" t="s">
        <v>469</v>
      </c>
      <c r="C2497" s="891" t="s">
        <v>1563</v>
      </c>
      <c r="D2497" s="892"/>
      <c r="E2497" s="892"/>
      <c r="F2497" s="447" t="s">
        <v>50</v>
      </c>
      <c r="G2497" s="447">
        <f>TRUNC(G2503/100,2)</f>
        <v>358</v>
      </c>
      <c r="H2497" s="448">
        <f>TRUNC(G2505/100,2)</f>
        <v>411.7</v>
      </c>
    </row>
    <row r="2498" spans="1:8">
      <c r="B2498" s="450" t="s">
        <v>80</v>
      </c>
      <c r="C2498" s="451" t="s">
        <v>81</v>
      </c>
      <c r="D2498" s="451" t="s">
        <v>44</v>
      </c>
      <c r="E2498" s="451" t="s">
        <v>45</v>
      </c>
      <c r="F2498" s="452" t="s">
        <v>58</v>
      </c>
      <c r="G2498" s="452" t="s">
        <v>59</v>
      </c>
      <c r="H2498" s="452" t="s">
        <v>52</v>
      </c>
    </row>
    <row r="2499" spans="1:8">
      <c r="B2499" s="864" t="s">
        <v>60</v>
      </c>
      <c r="C2499" s="484" t="s">
        <v>69</v>
      </c>
      <c r="D2499" s="588">
        <v>12</v>
      </c>
      <c r="E2499" s="451" t="s">
        <v>46</v>
      </c>
      <c r="F2499" s="457">
        <f>F2488</f>
        <v>1200</v>
      </c>
      <c r="G2499" s="457">
        <f>INT(D2499*F2499*100)/100</f>
        <v>14400</v>
      </c>
      <c r="H2499" s="457"/>
    </row>
    <row r="2500" spans="1:8">
      <c r="B2500" s="865"/>
      <c r="C2500" s="484" t="s">
        <v>43</v>
      </c>
      <c r="D2500" s="588">
        <v>8</v>
      </c>
      <c r="E2500" s="451" t="s">
        <v>46</v>
      </c>
      <c r="F2500" s="457">
        <f>F2489</f>
        <v>870</v>
      </c>
      <c r="G2500" s="457">
        <f>INT(D2500*F2500*100)/100</f>
        <v>6960</v>
      </c>
      <c r="H2500" s="457"/>
    </row>
    <row r="2501" spans="1:8">
      <c r="B2501" s="864" t="s">
        <v>63</v>
      </c>
      <c r="C2501" s="484" t="s">
        <v>1560</v>
      </c>
      <c r="D2501" s="588">
        <v>8.1</v>
      </c>
      <c r="E2501" s="451" t="s">
        <v>107</v>
      </c>
      <c r="F2501" s="457">
        <f>F2490</f>
        <v>400</v>
      </c>
      <c r="G2501" s="457">
        <f>INT(D2501*F2501*100)/100</f>
        <v>3240</v>
      </c>
      <c r="H2501" s="457"/>
    </row>
    <row r="2502" spans="1:8">
      <c r="B2502" s="865"/>
      <c r="C2502" s="484" t="s">
        <v>145</v>
      </c>
      <c r="D2502" s="588">
        <v>16</v>
      </c>
      <c r="E2502" s="451" t="s">
        <v>107</v>
      </c>
      <c r="F2502" s="457">
        <f>F2491</f>
        <v>700</v>
      </c>
      <c r="G2502" s="457">
        <f>INT(D2502*F2502*100)/100</f>
        <v>11200</v>
      </c>
      <c r="H2502" s="457"/>
    </row>
    <row r="2503" spans="1:8">
      <c r="B2503" s="855" t="s">
        <v>172</v>
      </c>
      <c r="C2503" s="855"/>
      <c r="D2503" s="856" t="s">
        <v>61</v>
      </c>
      <c r="E2503" s="856"/>
      <c r="F2503" s="856"/>
      <c r="G2503" s="457">
        <f>SUM(G2499:G2502)</f>
        <v>35800</v>
      </c>
      <c r="H2503" s="457"/>
    </row>
    <row r="2504" spans="1:8">
      <c r="B2504" s="855"/>
      <c r="C2504" s="855"/>
      <c r="D2504" s="857" t="s">
        <v>573</v>
      </c>
      <c r="E2504" s="857"/>
      <c r="F2504" s="857"/>
      <c r="G2504" s="457">
        <f>INT(15%*G2503*100)/100</f>
        <v>5370</v>
      </c>
      <c r="H2504" s="457"/>
    </row>
    <row r="2505" spans="1:8">
      <c r="B2505" s="855"/>
      <c r="C2505" s="855"/>
      <c r="D2505" s="856" t="s">
        <v>47</v>
      </c>
      <c r="E2505" s="856"/>
      <c r="F2505" s="856"/>
      <c r="G2505" s="457">
        <f>SUM(G2503:G2504)</f>
        <v>41170</v>
      </c>
      <c r="H2505" s="457"/>
    </row>
    <row r="2506" spans="1:8">
      <c r="B2506" s="458"/>
      <c r="C2506" s="458"/>
      <c r="F2506" s="459"/>
      <c r="G2506" s="460"/>
      <c r="H2506" s="460"/>
    </row>
    <row r="2507" spans="1:8">
      <c r="C2507" s="459"/>
      <c r="F2507" s="462"/>
      <c r="G2507" s="460"/>
      <c r="H2507" s="460"/>
    </row>
    <row r="2508" spans="1:8" s="605" customFormat="1" ht="24" customHeight="1">
      <c r="A2508" s="603">
        <v>10.220000000000001</v>
      </c>
      <c r="B2508" s="604" t="s">
        <v>471</v>
      </c>
      <c r="C2508" s="891" t="s">
        <v>1564</v>
      </c>
      <c r="D2508" s="892"/>
      <c r="E2508" s="892"/>
      <c r="F2508" s="447" t="s">
        <v>50</v>
      </c>
      <c r="G2508" s="447">
        <f>TRUNC(G2515/100,2)</f>
        <v>316.2</v>
      </c>
      <c r="H2508" s="448">
        <f>TRUNC(G2517/100,2)</f>
        <v>363.63</v>
      </c>
    </row>
    <row r="2509" spans="1:8">
      <c r="B2509" s="450" t="s">
        <v>80</v>
      </c>
      <c r="C2509" s="451" t="s">
        <v>81</v>
      </c>
      <c r="D2509" s="451" t="s">
        <v>44</v>
      </c>
      <c r="E2509" s="451" t="s">
        <v>45</v>
      </c>
      <c r="F2509" s="452" t="s">
        <v>58</v>
      </c>
      <c r="G2509" s="452" t="s">
        <v>59</v>
      </c>
      <c r="H2509" s="452" t="s">
        <v>52</v>
      </c>
    </row>
    <row r="2510" spans="1:8">
      <c r="B2510" s="864" t="s">
        <v>60</v>
      </c>
      <c r="C2510" s="484" t="s">
        <v>69</v>
      </c>
      <c r="D2510" s="528">
        <v>10.75</v>
      </c>
      <c r="E2510" s="451" t="s">
        <v>46</v>
      </c>
      <c r="F2510" s="457">
        <f>F2499</f>
        <v>1200</v>
      </c>
      <c r="G2510" s="457">
        <f>INT(D2510*F2510*100)/100</f>
        <v>12900</v>
      </c>
      <c r="H2510" s="457"/>
    </row>
    <row r="2511" spans="1:8">
      <c r="B2511" s="865"/>
      <c r="C2511" s="484" t="s">
        <v>43</v>
      </c>
      <c r="D2511" s="528">
        <v>10.75</v>
      </c>
      <c r="E2511" s="451" t="s">
        <v>46</v>
      </c>
      <c r="F2511" s="457">
        <f>F2500</f>
        <v>870</v>
      </c>
      <c r="G2511" s="457">
        <f>INT(D2511*F2511*100)/100</f>
        <v>9352.5</v>
      </c>
      <c r="H2511" s="457"/>
    </row>
    <row r="2512" spans="1:8">
      <c r="B2512" s="864" t="s">
        <v>63</v>
      </c>
      <c r="C2512" s="484" t="s">
        <v>1565</v>
      </c>
      <c r="D2512" s="528">
        <v>8.1</v>
      </c>
      <c r="E2512" s="451" t="s">
        <v>107</v>
      </c>
      <c r="F2512" s="457">
        <f>F2501</f>
        <v>400</v>
      </c>
      <c r="G2512" s="457">
        <f>INT(D2512*F2512*100)/100</f>
        <v>3240</v>
      </c>
      <c r="H2512" s="457"/>
    </row>
    <row r="2513" spans="1:8">
      <c r="B2513" s="868"/>
      <c r="C2513" s="484" t="s">
        <v>118</v>
      </c>
      <c r="D2513" s="528">
        <v>10.76</v>
      </c>
      <c r="E2513" s="451" t="s">
        <v>107</v>
      </c>
      <c r="F2513" s="457">
        <f>'Basic Rate'!F19</f>
        <v>561</v>
      </c>
      <c r="G2513" s="457">
        <f>INT(D2513*F2513*100)/100</f>
        <v>6036.36</v>
      </c>
      <c r="H2513" s="457"/>
    </row>
    <row r="2514" spans="1:8">
      <c r="B2514" s="865"/>
      <c r="C2514" s="484" t="s">
        <v>117</v>
      </c>
      <c r="D2514" s="528">
        <v>4</v>
      </c>
      <c r="E2514" s="451" t="s">
        <v>46</v>
      </c>
      <c r="F2514" s="457">
        <f>'Basic Rate'!F176</f>
        <v>23</v>
      </c>
      <c r="G2514" s="457">
        <f>INT(D2514*F2514*100)/100</f>
        <v>92</v>
      </c>
      <c r="H2514" s="457"/>
    </row>
    <row r="2515" spans="1:8">
      <c r="B2515" s="855" t="s">
        <v>172</v>
      </c>
      <c r="C2515" s="855"/>
      <c r="D2515" s="856" t="s">
        <v>61</v>
      </c>
      <c r="E2515" s="856"/>
      <c r="F2515" s="856"/>
      <c r="G2515" s="457">
        <f>SUM(G2510:G2514)</f>
        <v>31620.86</v>
      </c>
      <c r="H2515" s="457"/>
    </row>
    <row r="2516" spans="1:8">
      <c r="B2516" s="855"/>
      <c r="C2516" s="855"/>
      <c r="D2516" s="857" t="s">
        <v>573</v>
      </c>
      <c r="E2516" s="857"/>
      <c r="F2516" s="857"/>
      <c r="G2516" s="457">
        <f>INT(15%*G2515*100)/100</f>
        <v>4743.12</v>
      </c>
      <c r="H2516" s="457"/>
    </row>
    <row r="2517" spans="1:8">
      <c r="B2517" s="855"/>
      <c r="C2517" s="855"/>
      <c r="D2517" s="856" t="s">
        <v>47</v>
      </c>
      <c r="E2517" s="856"/>
      <c r="F2517" s="856"/>
      <c r="G2517" s="457">
        <f>SUM(G2515:G2516)</f>
        <v>36363.980000000003</v>
      </c>
      <c r="H2517" s="457"/>
    </row>
    <row r="2518" spans="1:8">
      <c r="B2518" s="458"/>
      <c r="C2518" s="458"/>
      <c r="F2518" s="459"/>
      <c r="G2518" s="460"/>
      <c r="H2518" s="460"/>
    </row>
    <row r="2519" spans="1:8">
      <c r="C2519" s="459"/>
      <c r="F2519" s="462"/>
      <c r="G2519" s="460"/>
      <c r="H2519" s="460"/>
    </row>
    <row r="2520" spans="1:8" s="605" customFormat="1" ht="13.8">
      <c r="A2520" s="603">
        <v>10.25</v>
      </c>
      <c r="B2520" s="604" t="s">
        <v>472</v>
      </c>
      <c r="C2520" s="891" t="s">
        <v>744</v>
      </c>
      <c r="D2520" s="892"/>
      <c r="E2520" s="892"/>
      <c r="F2520" s="610" t="s">
        <v>50</v>
      </c>
      <c r="G2520" s="447">
        <f>TRUNC(G2525/100,2)</f>
        <v>49.8</v>
      </c>
      <c r="H2520" s="448">
        <f>TRUNC(G2527/100,2)</f>
        <v>57.27</v>
      </c>
    </row>
    <row r="2521" spans="1:8">
      <c r="B2521" s="450" t="s">
        <v>80</v>
      </c>
      <c r="C2521" s="451" t="s">
        <v>81</v>
      </c>
      <c r="D2521" s="451" t="s">
        <v>44</v>
      </c>
      <c r="E2521" s="451" t="s">
        <v>45</v>
      </c>
      <c r="F2521" s="452" t="s">
        <v>58</v>
      </c>
      <c r="G2521" s="452" t="s">
        <v>59</v>
      </c>
      <c r="H2521" s="452" t="s">
        <v>52</v>
      </c>
    </row>
    <row r="2522" spans="1:8">
      <c r="B2522" s="864" t="s">
        <v>60</v>
      </c>
      <c r="C2522" s="484" t="s">
        <v>69</v>
      </c>
      <c r="D2522" s="588">
        <v>2</v>
      </c>
      <c r="E2522" s="451" t="s">
        <v>46</v>
      </c>
      <c r="F2522" s="457">
        <f>F2510</f>
        <v>1200</v>
      </c>
      <c r="G2522" s="457">
        <f>INT(D2522*F2522*100)/100</f>
        <v>2400</v>
      </c>
      <c r="H2522" s="457"/>
    </row>
    <row r="2523" spans="1:8">
      <c r="B2523" s="865"/>
      <c r="C2523" s="484" t="s">
        <v>43</v>
      </c>
      <c r="D2523" s="588">
        <v>2</v>
      </c>
      <c r="E2523" s="451" t="s">
        <v>46</v>
      </c>
      <c r="F2523" s="457">
        <f>F2511</f>
        <v>870</v>
      </c>
      <c r="G2523" s="457">
        <f>INT(D2523*F2523*100)/100</f>
        <v>1740</v>
      </c>
      <c r="H2523" s="457"/>
    </row>
    <row r="2524" spans="1:8">
      <c r="B2524" s="450" t="s">
        <v>63</v>
      </c>
      <c r="C2524" s="484" t="s">
        <v>704</v>
      </c>
      <c r="D2524" s="588">
        <v>6</v>
      </c>
      <c r="E2524" s="451" t="s">
        <v>107</v>
      </c>
      <c r="F2524" s="457">
        <f>'Basic Rate'!F111</f>
        <v>140</v>
      </c>
      <c r="G2524" s="457">
        <f>INT(D2524*F2524*100)/100</f>
        <v>840</v>
      </c>
      <c r="H2524" s="457"/>
    </row>
    <row r="2525" spans="1:8">
      <c r="B2525" s="855" t="s">
        <v>172</v>
      </c>
      <c r="C2525" s="855"/>
      <c r="D2525" s="856" t="s">
        <v>61</v>
      </c>
      <c r="E2525" s="856"/>
      <c r="F2525" s="856"/>
      <c r="G2525" s="457">
        <f>SUM(G2522:G2524)</f>
        <v>4980</v>
      </c>
      <c r="H2525" s="457"/>
    </row>
    <row r="2526" spans="1:8">
      <c r="B2526" s="855"/>
      <c r="C2526" s="855"/>
      <c r="D2526" s="857" t="s">
        <v>573</v>
      </c>
      <c r="E2526" s="857"/>
      <c r="F2526" s="857"/>
      <c r="G2526" s="457">
        <f>INT(15%*G2525*100)/100</f>
        <v>747</v>
      </c>
      <c r="H2526" s="457"/>
    </row>
    <row r="2527" spans="1:8">
      <c r="B2527" s="855"/>
      <c r="C2527" s="855"/>
      <c r="D2527" s="856" t="s">
        <v>47</v>
      </c>
      <c r="E2527" s="856"/>
      <c r="F2527" s="856"/>
      <c r="G2527" s="457">
        <f>SUM(G2525:G2526)</f>
        <v>5727</v>
      </c>
      <c r="H2527" s="457"/>
    </row>
    <row r="2528" spans="1:8">
      <c r="B2528" s="458"/>
      <c r="C2528" s="458"/>
      <c r="F2528" s="459"/>
      <c r="G2528" s="460"/>
      <c r="H2528" s="460"/>
    </row>
    <row r="2529" spans="1:8">
      <c r="C2529" s="444"/>
      <c r="F2529" s="462"/>
      <c r="G2529" s="460"/>
      <c r="H2529" s="460"/>
    </row>
    <row r="2530" spans="1:8" s="605" customFormat="1" ht="13.8">
      <c r="A2530" s="603">
        <v>10.23</v>
      </c>
      <c r="B2530" s="604" t="s">
        <v>473</v>
      </c>
      <c r="C2530" s="891" t="s">
        <v>745</v>
      </c>
      <c r="D2530" s="892"/>
      <c r="E2530" s="892"/>
      <c r="F2530" s="610" t="s">
        <v>50</v>
      </c>
      <c r="G2530" s="447">
        <f>TRUNC(G2535/100,2)</f>
        <v>98.2</v>
      </c>
      <c r="H2530" s="448">
        <f>TRUNC(G2537/100,2)</f>
        <v>112.93</v>
      </c>
    </row>
    <row r="2531" spans="1:8">
      <c r="B2531" s="450" t="s">
        <v>80</v>
      </c>
      <c r="C2531" s="451" t="s">
        <v>81</v>
      </c>
      <c r="D2531" s="451" t="s">
        <v>44</v>
      </c>
      <c r="E2531" s="451" t="s">
        <v>45</v>
      </c>
      <c r="F2531" s="452" t="s">
        <v>58</v>
      </c>
      <c r="G2531" s="452" t="s">
        <v>59</v>
      </c>
      <c r="H2531" s="452" t="s">
        <v>52</v>
      </c>
    </row>
    <row r="2532" spans="1:8">
      <c r="B2532" s="864" t="s">
        <v>60</v>
      </c>
      <c r="C2532" s="484" t="s">
        <v>69</v>
      </c>
      <c r="D2532" s="588">
        <v>4</v>
      </c>
      <c r="E2532" s="451" t="s">
        <v>46</v>
      </c>
      <c r="F2532" s="457">
        <f>F2522</f>
        <v>1200</v>
      </c>
      <c r="G2532" s="457">
        <f>INT(D2532*F2532*100)/100</f>
        <v>4800</v>
      </c>
      <c r="H2532" s="457"/>
    </row>
    <row r="2533" spans="1:8">
      <c r="B2533" s="865"/>
      <c r="C2533" s="484" t="s">
        <v>43</v>
      </c>
      <c r="D2533" s="588">
        <v>4</v>
      </c>
      <c r="E2533" s="451" t="s">
        <v>46</v>
      </c>
      <c r="F2533" s="457">
        <f>F2523</f>
        <v>870</v>
      </c>
      <c r="G2533" s="457">
        <f>INT(D2533*F2533*100)/100</f>
        <v>3480</v>
      </c>
      <c r="H2533" s="457"/>
    </row>
    <row r="2534" spans="1:8">
      <c r="B2534" s="450" t="s">
        <v>63</v>
      </c>
      <c r="C2534" s="484" t="s">
        <v>704</v>
      </c>
      <c r="D2534" s="588">
        <v>11</v>
      </c>
      <c r="E2534" s="451" t="s">
        <v>107</v>
      </c>
      <c r="F2534" s="457">
        <f>F2524</f>
        <v>140</v>
      </c>
      <c r="G2534" s="457">
        <f>INT(D2534*F2534*100)/100</f>
        <v>1540</v>
      </c>
      <c r="H2534" s="457"/>
    </row>
    <row r="2535" spans="1:8">
      <c r="B2535" s="855" t="s">
        <v>172</v>
      </c>
      <c r="C2535" s="855"/>
      <c r="D2535" s="856" t="s">
        <v>61</v>
      </c>
      <c r="E2535" s="856"/>
      <c r="F2535" s="856"/>
      <c r="G2535" s="457">
        <f>SUM(G2532:G2534)</f>
        <v>9820</v>
      </c>
      <c r="H2535" s="457"/>
    </row>
    <row r="2536" spans="1:8">
      <c r="B2536" s="855"/>
      <c r="C2536" s="855"/>
      <c r="D2536" s="857" t="s">
        <v>573</v>
      </c>
      <c r="E2536" s="857"/>
      <c r="F2536" s="857"/>
      <c r="G2536" s="457">
        <f>INT(15%*G2535*100)/100</f>
        <v>1473</v>
      </c>
      <c r="H2536" s="457"/>
    </row>
    <row r="2537" spans="1:8">
      <c r="B2537" s="855"/>
      <c r="C2537" s="855"/>
      <c r="D2537" s="856" t="s">
        <v>47</v>
      </c>
      <c r="E2537" s="856"/>
      <c r="F2537" s="856"/>
      <c r="G2537" s="457">
        <f>SUM(G2535:G2536)</f>
        <v>11293</v>
      </c>
      <c r="H2537" s="457"/>
    </row>
    <row r="2538" spans="1:8">
      <c r="B2538" s="458"/>
      <c r="C2538" s="458"/>
      <c r="F2538" s="459"/>
      <c r="G2538" s="460"/>
      <c r="H2538" s="460"/>
    </row>
    <row r="2539" spans="1:8" s="605" customFormat="1" ht="13.8">
      <c r="A2539" s="603">
        <v>10.24</v>
      </c>
      <c r="B2539" s="604" t="s">
        <v>474</v>
      </c>
      <c r="C2539" s="891" t="s">
        <v>1566</v>
      </c>
      <c r="D2539" s="892"/>
      <c r="E2539" s="892"/>
      <c r="F2539" s="610" t="s">
        <v>50</v>
      </c>
      <c r="G2539" s="447">
        <f>TRUNC(G2544/100,2)</f>
        <v>63.3</v>
      </c>
      <c r="H2539" s="448">
        <f>TRUNC(G2546/100,2)</f>
        <v>72.790000000000006</v>
      </c>
    </row>
    <row r="2540" spans="1:8">
      <c r="B2540" s="450" t="s">
        <v>80</v>
      </c>
      <c r="C2540" s="451" t="s">
        <v>81</v>
      </c>
      <c r="D2540" s="451" t="s">
        <v>44</v>
      </c>
      <c r="E2540" s="451" t="s">
        <v>45</v>
      </c>
      <c r="F2540" s="452" t="s">
        <v>58</v>
      </c>
      <c r="G2540" s="452" t="s">
        <v>59</v>
      </c>
      <c r="H2540" s="452" t="s">
        <v>52</v>
      </c>
    </row>
    <row r="2541" spans="1:8">
      <c r="B2541" s="864" t="s">
        <v>60</v>
      </c>
      <c r="C2541" s="484" t="s">
        <v>69</v>
      </c>
      <c r="D2541" s="588">
        <v>3</v>
      </c>
      <c r="E2541" s="451" t="s">
        <v>46</v>
      </c>
      <c r="F2541" s="457">
        <f>F2532</f>
        <v>1200</v>
      </c>
      <c r="G2541" s="457">
        <f>INT(D2541*F2541*100)/100</f>
        <v>3600</v>
      </c>
      <c r="H2541" s="457"/>
    </row>
    <row r="2542" spans="1:8">
      <c r="B2542" s="865"/>
      <c r="C2542" s="484" t="s">
        <v>43</v>
      </c>
      <c r="D2542" s="588">
        <v>2</v>
      </c>
      <c r="E2542" s="451" t="s">
        <v>46</v>
      </c>
      <c r="F2542" s="457">
        <f>F2533</f>
        <v>870</v>
      </c>
      <c r="G2542" s="457">
        <f>INT(D2542*F2542*100)/100</f>
        <v>1740</v>
      </c>
      <c r="H2542" s="457"/>
    </row>
    <row r="2543" spans="1:8">
      <c r="B2543" s="450" t="s">
        <v>63</v>
      </c>
      <c r="C2543" s="484" t="s">
        <v>146</v>
      </c>
      <c r="D2543" s="588">
        <v>6</v>
      </c>
      <c r="E2543" s="451" t="s">
        <v>107</v>
      </c>
      <c r="F2543" s="457">
        <f>'Basic Rate'!F210</f>
        <v>165</v>
      </c>
      <c r="G2543" s="457">
        <f>INT(D2543*F2543*100)/100</f>
        <v>990</v>
      </c>
      <c r="H2543" s="457"/>
    </row>
    <row r="2544" spans="1:8">
      <c r="B2544" s="855" t="s">
        <v>172</v>
      </c>
      <c r="C2544" s="855"/>
      <c r="D2544" s="856" t="s">
        <v>61</v>
      </c>
      <c r="E2544" s="856"/>
      <c r="F2544" s="856"/>
      <c r="G2544" s="457">
        <f>SUM(G2541:G2543)</f>
        <v>6330</v>
      </c>
      <c r="H2544" s="457"/>
    </row>
    <row r="2545" spans="1:8">
      <c r="B2545" s="855"/>
      <c r="C2545" s="855"/>
      <c r="D2545" s="857" t="s">
        <v>573</v>
      </c>
      <c r="E2545" s="857"/>
      <c r="F2545" s="857"/>
      <c r="G2545" s="457">
        <f>INT(15%*G2544*100)/100</f>
        <v>949.5</v>
      </c>
      <c r="H2545" s="457"/>
    </row>
    <row r="2546" spans="1:8">
      <c r="B2546" s="855"/>
      <c r="C2546" s="855"/>
      <c r="D2546" s="856" t="s">
        <v>47</v>
      </c>
      <c r="E2546" s="856"/>
      <c r="F2546" s="856"/>
      <c r="G2546" s="457">
        <f>SUM(G2544:G2545)</f>
        <v>7279.5</v>
      </c>
      <c r="H2546" s="457"/>
    </row>
    <row r="2547" spans="1:8">
      <c r="C2547" s="444"/>
      <c r="F2547" s="462"/>
      <c r="G2547" s="460"/>
      <c r="H2547" s="460"/>
    </row>
    <row r="2548" spans="1:8">
      <c r="A2548" s="499"/>
      <c r="B2548" s="596"/>
      <c r="C2548" s="597"/>
      <c r="D2548" s="464"/>
      <c r="E2548" s="464"/>
      <c r="F2548" s="500"/>
      <c r="G2548" s="466"/>
      <c r="H2548" s="466"/>
    </row>
    <row r="2549" spans="1:8" s="605" customFormat="1" ht="13.8">
      <c r="A2549" s="603" t="s">
        <v>756</v>
      </c>
      <c r="B2549" s="604" t="s">
        <v>475</v>
      </c>
      <c r="C2549" s="891" t="s">
        <v>1567</v>
      </c>
      <c r="D2549" s="892"/>
      <c r="E2549" s="892"/>
      <c r="F2549" s="610" t="s">
        <v>50</v>
      </c>
      <c r="G2549" s="447">
        <f>TRUNC(G2554/100,2)</f>
        <v>124.95</v>
      </c>
      <c r="H2549" s="448">
        <f>TRUNC(G2556/100,2)</f>
        <v>143.69</v>
      </c>
    </row>
    <row r="2550" spans="1:8">
      <c r="B2550" s="450" t="s">
        <v>80</v>
      </c>
      <c r="C2550" s="451" t="s">
        <v>81</v>
      </c>
      <c r="D2550" s="451" t="s">
        <v>44</v>
      </c>
      <c r="E2550" s="451" t="s">
        <v>45</v>
      </c>
      <c r="F2550" s="452" t="s">
        <v>58</v>
      </c>
      <c r="G2550" s="452" t="s">
        <v>59</v>
      </c>
      <c r="H2550" s="452" t="s">
        <v>52</v>
      </c>
    </row>
    <row r="2551" spans="1:8">
      <c r="B2551" s="864" t="s">
        <v>60</v>
      </c>
      <c r="C2551" s="484" t="s">
        <v>69</v>
      </c>
      <c r="D2551" s="588">
        <v>6</v>
      </c>
      <c r="E2551" s="451" t="s">
        <v>46</v>
      </c>
      <c r="F2551" s="457">
        <f>F2541</f>
        <v>1200</v>
      </c>
      <c r="G2551" s="457">
        <f>INT(D2551*F2551*100)/100</f>
        <v>7200</v>
      </c>
      <c r="H2551" s="457"/>
    </row>
    <row r="2552" spans="1:8">
      <c r="B2552" s="865"/>
      <c r="C2552" s="484" t="s">
        <v>43</v>
      </c>
      <c r="D2552" s="588">
        <v>4</v>
      </c>
      <c r="E2552" s="451" t="s">
        <v>46</v>
      </c>
      <c r="F2552" s="457">
        <f>F2542</f>
        <v>870</v>
      </c>
      <c r="G2552" s="457">
        <f>INT(D2552*F2552*100)/100</f>
        <v>3480</v>
      </c>
      <c r="H2552" s="457"/>
    </row>
    <row r="2553" spans="1:8">
      <c r="B2553" s="450" t="s">
        <v>63</v>
      </c>
      <c r="C2553" s="484" t="s">
        <v>146</v>
      </c>
      <c r="D2553" s="588">
        <v>11</v>
      </c>
      <c r="E2553" s="451" t="s">
        <v>107</v>
      </c>
      <c r="F2553" s="457">
        <f>F2543</f>
        <v>165</v>
      </c>
      <c r="G2553" s="457">
        <f>INT(D2553*F2553*100)/100</f>
        <v>1815</v>
      </c>
      <c r="H2553" s="457"/>
    </row>
    <row r="2554" spans="1:8">
      <c r="B2554" s="855" t="s">
        <v>172</v>
      </c>
      <c r="C2554" s="855"/>
      <c r="D2554" s="856" t="s">
        <v>61</v>
      </c>
      <c r="E2554" s="856"/>
      <c r="F2554" s="856"/>
      <c r="G2554" s="457">
        <f>SUM(G2551:G2553)</f>
        <v>12495</v>
      </c>
      <c r="H2554" s="457"/>
    </row>
    <row r="2555" spans="1:8">
      <c r="B2555" s="855"/>
      <c r="C2555" s="855"/>
      <c r="D2555" s="857" t="s">
        <v>573</v>
      </c>
      <c r="E2555" s="857"/>
      <c r="F2555" s="857"/>
      <c r="G2555" s="457">
        <f>INT(15%*G2554*100)/100</f>
        <v>1874.25</v>
      </c>
      <c r="H2555" s="457"/>
    </row>
    <row r="2556" spans="1:8">
      <c r="B2556" s="855"/>
      <c r="C2556" s="855"/>
      <c r="D2556" s="856" t="s">
        <v>47</v>
      </c>
      <c r="E2556" s="856"/>
      <c r="F2556" s="856"/>
      <c r="G2556" s="457">
        <f>SUM(G2554:G2555)</f>
        <v>14369.25</v>
      </c>
      <c r="H2556" s="457"/>
    </row>
    <row r="2557" spans="1:8">
      <c r="C2557" s="444"/>
      <c r="F2557" s="462"/>
      <c r="G2557" s="460"/>
      <c r="H2557" s="460"/>
    </row>
    <row r="2558" spans="1:8">
      <c r="C2558" s="444"/>
      <c r="F2558" s="462"/>
      <c r="G2558" s="460"/>
      <c r="H2558" s="460"/>
    </row>
    <row r="2559" spans="1:8" s="605" customFormat="1" ht="13.8">
      <c r="A2559" s="630">
        <v>10.26</v>
      </c>
      <c r="B2559" s="604" t="s">
        <v>476</v>
      </c>
      <c r="C2559" s="891" t="s">
        <v>729</v>
      </c>
      <c r="D2559" s="892"/>
      <c r="E2559" s="892"/>
      <c r="F2559" s="610" t="s">
        <v>50</v>
      </c>
      <c r="G2559" s="447">
        <f>TRUNC(G2564/100,2)</f>
        <v>38.81</v>
      </c>
      <c r="H2559" s="448">
        <f>TRUNC(G2566/100,2)</f>
        <v>44.63</v>
      </c>
    </row>
    <row r="2560" spans="1:8">
      <c r="B2560" s="450" t="s">
        <v>80</v>
      </c>
      <c r="C2560" s="451" t="s">
        <v>81</v>
      </c>
      <c r="D2560" s="451" t="s">
        <v>44</v>
      </c>
      <c r="E2560" s="451" t="s">
        <v>45</v>
      </c>
      <c r="F2560" s="452" t="s">
        <v>58</v>
      </c>
      <c r="G2560" s="452" t="s">
        <v>59</v>
      </c>
      <c r="H2560" s="452" t="s">
        <v>52</v>
      </c>
    </row>
    <row r="2561" spans="1:8">
      <c r="B2561" s="864" t="s">
        <v>60</v>
      </c>
      <c r="C2561" s="484" t="s">
        <v>69</v>
      </c>
      <c r="D2561" s="588">
        <v>1.5</v>
      </c>
      <c r="E2561" s="451" t="s">
        <v>46</v>
      </c>
      <c r="F2561" s="457">
        <f>F2551</f>
        <v>1200</v>
      </c>
      <c r="G2561" s="457">
        <f>INT(D2561*F2561*100)/100</f>
        <v>1800</v>
      </c>
      <c r="H2561" s="457"/>
    </row>
    <row r="2562" spans="1:8">
      <c r="B2562" s="865"/>
      <c r="C2562" s="484" t="s">
        <v>43</v>
      </c>
      <c r="D2562" s="588">
        <v>1</v>
      </c>
      <c r="E2562" s="451" t="s">
        <v>46</v>
      </c>
      <c r="F2562" s="457">
        <f>F2552</f>
        <v>870</v>
      </c>
      <c r="G2562" s="457">
        <f>INT(D2562*F2562*100)/100</f>
        <v>870</v>
      </c>
      <c r="H2562" s="457"/>
    </row>
    <row r="2563" spans="1:8">
      <c r="B2563" s="450" t="s">
        <v>63</v>
      </c>
      <c r="C2563" s="484" t="s">
        <v>730</v>
      </c>
      <c r="D2563" s="588">
        <v>7</v>
      </c>
      <c r="E2563" s="451" t="s">
        <v>107</v>
      </c>
      <c r="F2563" s="457">
        <f>'Basic Rate'!F30</f>
        <v>173</v>
      </c>
      <c r="G2563" s="457">
        <f>INT(D2563*F2563*100)/100</f>
        <v>1211</v>
      </c>
      <c r="H2563" s="457"/>
    </row>
    <row r="2564" spans="1:8">
      <c r="B2564" s="855" t="s">
        <v>172</v>
      </c>
      <c r="C2564" s="855"/>
      <c r="D2564" s="856" t="s">
        <v>61</v>
      </c>
      <c r="E2564" s="856"/>
      <c r="F2564" s="856"/>
      <c r="G2564" s="457">
        <f>SUM(G2561:G2563)</f>
        <v>3881</v>
      </c>
      <c r="H2564" s="457"/>
    </row>
    <row r="2565" spans="1:8">
      <c r="B2565" s="855"/>
      <c r="C2565" s="855"/>
      <c r="D2565" s="857" t="s">
        <v>573</v>
      </c>
      <c r="E2565" s="857"/>
      <c r="F2565" s="857"/>
      <c r="G2565" s="457">
        <f>INT(15%*G2564*100)/100</f>
        <v>582.15</v>
      </c>
      <c r="H2565" s="457"/>
    </row>
    <row r="2566" spans="1:8">
      <c r="B2566" s="855"/>
      <c r="C2566" s="855"/>
      <c r="D2566" s="856" t="s">
        <v>47</v>
      </c>
      <c r="E2566" s="856"/>
      <c r="F2566" s="856"/>
      <c r="G2566" s="457">
        <f>SUM(G2564:G2565)</f>
        <v>4463.1499999999996</v>
      </c>
      <c r="H2566" s="457"/>
    </row>
    <row r="2567" spans="1:8">
      <c r="F2567" s="460"/>
      <c r="G2567" s="460"/>
      <c r="H2567" s="460"/>
    </row>
    <row r="2568" spans="1:8" s="605" customFormat="1" ht="13.8">
      <c r="A2568" s="603">
        <v>10.27</v>
      </c>
      <c r="B2568" s="604" t="s">
        <v>477</v>
      </c>
      <c r="C2568" s="891" t="s">
        <v>731</v>
      </c>
      <c r="D2568" s="892"/>
      <c r="E2568" s="892"/>
      <c r="F2568" s="610" t="s">
        <v>50</v>
      </c>
      <c r="G2568" s="447">
        <f>TRUNC(G2573/100,2)</f>
        <v>68.16</v>
      </c>
      <c r="H2568" s="448">
        <f>TRUNC(G2575/100,2)</f>
        <v>78.38</v>
      </c>
    </row>
    <row r="2569" spans="1:8">
      <c r="B2569" s="450" t="s">
        <v>80</v>
      </c>
      <c r="C2569" s="451" t="s">
        <v>81</v>
      </c>
      <c r="D2569" s="451" t="s">
        <v>44</v>
      </c>
      <c r="E2569" s="451" t="s">
        <v>45</v>
      </c>
      <c r="F2569" s="452" t="s">
        <v>58</v>
      </c>
      <c r="G2569" s="452" t="s">
        <v>59</v>
      </c>
      <c r="H2569" s="452" t="s">
        <v>52</v>
      </c>
    </row>
    <row r="2570" spans="1:8">
      <c r="B2570" s="864" t="s">
        <v>60</v>
      </c>
      <c r="C2570" s="484" t="s">
        <v>69</v>
      </c>
      <c r="D2570" s="588">
        <v>2.5</v>
      </c>
      <c r="E2570" s="451" t="s">
        <v>46</v>
      </c>
      <c r="F2570" s="457">
        <f>F2561</f>
        <v>1200</v>
      </c>
      <c r="G2570" s="457">
        <f>INT(D2570*F2570*100)/100</f>
        <v>3000</v>
      </c>
      <c r="H2570" s="457"/>
    </row>
    <row r="2571" spans="1:8">
      <c r="B2571" s="865"/>
      <c r="C2571" s="484" t="s">
        <v>43</v>
      </c>
      <c r="D2571" s="588">
        <v>2</v>
      </c>
      <c r="E2571" s="451" t="s">
        <v>46</v>
      </c>
      <c r="F2571" s="457">
        <f>F2562</f>
        <v>870</v>
      </c>
      <c r="G2571" s="457">
        <f>INT(D2571*F2571*100)/100</f>
        <v>1740</v>
      </c>
      <c r="H2571" s="457"/>
    </row>
    <row r="2572" spans="1:8">
      <c r="B2572" s="450" t="s">
        <v>63</v>
      </c>
      <c r="C2572" s="484" t="s">
        <v>730</v>
      </c>
      <c r="D2572" s="588">
        <v>12</v>
      </c>
      <c r="E2572" s="451" t="s">
        <v>107</v>
      </c>
      <c r="F2572" s="457">
        <f>F2563</f>
        <v>173</v>
      </c>
      <c r="G2572" s="457">
        <f>INT(D2572*F2572*100)/100</f>
        <v>2076</v>
      </c>
      <c r="H2572" s="457"/>
    </row>
    <row r="2573" spans="1:8">
      <c r="B2573" s="855" t="s">
        <v>172</v>
      </c>
      <c r="C2573" s="855"/>
      <c r="D2573" s="856" t="s">
        <v>61</v>
      </c>
      <c r="E2573" s="856"/>
      <c r="F2573" s="856"/>
      <c r="G2573" s="457">
        <f>SUM(G2570:G2572)</f>
        <v>6816</v>
      </c>
      <c r="H2573" s="457"/>
    </row>
    <row r="2574" spans="1:8">
      <c r="B2574" s="855"/>
      <c r="C2574" s="855"/>
      <c r="D2574" s="857" t="s">
        <v>573</v>
      </c>
      <c r="E2574" s="857"/>
      <c r="F2574" s="857"/>
      <c r="G2574" s="457">
        <f>INT(15%*G2573*100)/100</f>
        <v>1022.4</v>
      </c>
      <c r="H2574" s="457"/>
    </row>
    <row r="2575" spans="1:8">
      <c r="B2575" s="855"/>
      <c r="C2575" s="855"/>
      <c r="D2575" s="856" t="s">
        <v>47</v>
      </c>
      <c r="E2575" s="856"/>
      <c r="F2575" s="856"/>
      <c r="G2575" s="457">
        <f>SUM(G2573:G2574)</f>
        <v>7838.4</v>
      </c>
      <c r="H2575" s="457"/>
    </row>
    <row r="2576" spans="1:8">
      <c r="C2576" s="444"/>
      <c r="F2576" s="462"/>
      <c r="G2576" s="460"/>
      <c r="H2576" s="460"/>
    </row>
    <row r="2577" spans="1:10" s="605" customFormat="1" ht="13.8">
      <c r="A2577" s="603">
        <v>10.28</v>
      </c>
      <c r="B2577" s="604" t="s">
        <v>478</v>
      </c>
      <c r="C2577" s="891" t="s">
        <v>1568</v>
      </c>
      <c r="D2577" s="892"/>
      <c r="E2577" s="892"/>
      <c r="F2577" s="610" t="s">
        <v>50</v>
      </c>
      <c r="G2577" s="447">
        <f>TRUNC(G2583/100,2)</f>
        <v>196.88</v>
      </c>
      <c r="H2577" s="448">
        <f>TRUNC(G2585/100,2)</f>
        <v>226.41</v>
      </c>
    </row>
    <row r="2578" spans="1:10">
      <c r="B2578" s="450" t="s">
        <v>80</v>
      </c>
      <c r="C2578" s="451" t="s">
        <v>81</v>
      </c>
      <c r="D2578" s="451" t="s">
        <v>44</v>
      </c>
      <c r="E2578" s="451" t="s">
        <v>45</v>
      </c>
      <c r="F2578" s="452" t="s">
        <v>58</v>
      </c>
      <c r="G2578" s="452" t="s">
        <v>59</v>
      </c>
      <c r="H2578" s="452" t="s">
        <v>52</v>
      </c>
    </row>
    <row r="2579" spans="1:10">
      <c r="B2579" s="864" t="s">
        <v>60</v>
      </c>
      <c r="C2579" s="484" t="s">
        <v>69</v>
      </c>
      <c r="D2579" s="588">
        <v>10</v>
      </c>
      <c r="E2579" s="451" t="s">
        <v>46</v>
      </c>
      <c r="F2579" s="457">
        <f>F2570</f>
        <v>1200</v>
      </c>
      <c r="G2579" s="457">
        <f>INT(D2579*F2579*100)/100</f>
        <v>12000</v>
      </c>
      <c r="H2579" s="457"/>
    </row>
    <row r="2580" spans="1:10">
      <c r="B2580" s="865"/>
      <c r="C2580" s="484" t="s">
        <v>43</v>
      </c>
      <c r="D2580" s="588">
        <v>5</v>
      </c>
      <c r="E2580" s="451" t="s">
        <v>46</v>
      </c>
      <c r="F2580" s="457">
        <f>F2571</f>
        <v>870</v>
      </c>
      <c r="G2580" s="457">
        <f>INT(D2580*F2580*100)/100</f>
        <v>4350</v>
      </c>
      <c r="H2580" s="457"/>
    </row>
    <row r="2581" spans="1:10">
      <c r="B2581" s="864" t="s">
        <v>63</v>
      </c>
      <c r="C2581" s="484" t="s">
        <v>120</v>
      </c>
      <c r="D2581" s="588">
        <v>2</v>
      </c>
      <c r="E2581" s="451" t="s">
        <v>74</v>
      </c>
      <c r="F2581" s="457">
        <f>'Basic Rate'!$F$55</f>
        <v>904</v>
      </c>
      <c r="G2581" s="457">
        <f>INT(D2581*F2581*100)/100</f>
        <v>1808</v>
      </c>
      <c r="H2581" s="457"/>
    </row>
    <row r="2582" spans="1:10">
      <c r="B2582" s="865"/>
      <c r="C2582" s="484" t="s">
        <v>121</v>
      </c>
      <c r="D2582" s="588">
        <v>10</v>
      </c>
      <c r="E2582" s="451" t="s">
        <v>107</v>
      </c>
      <c r="F2582" s="457">
        <f>'Basic Rate'!F182</f>
        <v>153</v>
      </c>
      <c r="G2582" s="457">
        <f>INT(D2582*F2582*100)/100</f>
        <v>1530</v>
      </c>
      <c r="H2582" s="457"/>
    </row>
    <row r="2583" spans="1:10">
      <c r="B2583" s="855" t="s">
        <v>172</v>
      </c>
      <c r="C2583" s="855"/>
      <c r="D2583" s="856" t="s">
        <v>61</v>
      </c>
      <c r="E2583" s="856"/>
      <c r="F2583" s="856"/>
      <c r="G2583" s="457">
        <f>SUM(G2579:G2582)</f>
        <v>19688</v>
      </c>
      <c r="H2583" s="457"/>
    </row>
    <row r="2584" spans="1:10">
      <c r="B2584" s="855"/>
      <c r="C2584" s="855"/>
      <c r="D2584" s="857" t="s">
        <v>573</v>
      </c>
      <c r="E2584" s="857"/>
      <c r="F2584" s="857"/>
      <c r="G2584" s="457">
        <f>INT(15%*G2583*100)/100</f>
        <v>2953.2</v>
      </c>
      <c r="H2584" s="457"/>
    </row>
    <row r="2585" spans="1:10">
      <c r="B2585" s="855"/>
      <c r="C2585" s="855"/>
      <c r="D2585" s="856" t="s">
        <v>47</v>
      </c>
      <c r="E2585" s="856"/>
      <c r="F2585" s="856"/>
      <c r="G2585" s="457">
        <f>SUM(G2583:G2584)</f>
        <v>22641.200000000001</v>
      </c>
      <c r="H2585" s="457"/>
    </row>
    <row r="2587" spans="1:10" s="605" customFormat="1" ht="13.8">
      <c r="A2587" s="603">
        <v>10.29</v>
      </c>
      <c r="B2587" s="604" t="s">
        <v>479</v>
      </c>
      <c r="C2587" s="891" t="s">
        <v>1569</v>
      </c>
      <c r="D2587" s="892"/>
      <c r="E2587" s="892"/>
      <c r="F2587" s="610" t="s">
        <v>50</v>
      </c>
      <c r="G2587" s="447">
        <f>TRUNC(G2592/100,2)</f>
        <v>81.09</v>
      </c>
      <c r="H2587" s="448">
        <f>TRUNC(G2594/100,2)</f>
        <v>93.25</v>
      </c>
    </row>
    <row r="2588" spans="1:10">
      <c r="B2588" s="450" t="s">
        <v>80</v>
      </c>
      <c r="C2588" s="451" t="s">
        <v>81</v>
      </c>
      <c r="D2588" s="451" t="s">
        <v>44</v>
      </c>
      <c r="E2588" s="451" t="s">
        <v>45</v>
      </c>
      <c r="F2588" s="452" t="s">
        <v>58</v>
      </c>
      <c r="G2588" s="452" t="s">
        <v>59</v>
      </c>
      <c r="H2588" s="452" t="s">
        <v>52</v>
      </c>
    </row>
    <row r="2589" spans="1:10">
      <c r="B2589" s="864" t="s">
        <v>60</v>
      </c>
      <c r="C2589" s="484" t="s">
        <v>69</v>
      </c>
      <c r="D2589" s="588">
        <v>1.7</v>
      </c>
      <c r="E2589" s="451" t="s">
        <v>46</v>
      </c>
      <c r="F2589" s="457">
        <f>F2579</f>
        <v>1200</v>
      </c>
      <c r="G2589" s="457">
        <f>INT(D2589*F2589*100)/100</f>
        <v>2040</v>
      </c>
      <c r="H2589" s="457"/>
    </row>
    <row r="2590" spans="1:10">
      <c r="B2590" s="865"/>
      <c r="C2590" s="484" t="s">
        <v>43</v>
      </c>
      <c r="D2590" s="588">
        <v>1.7</v>
      </c>
      <c r="E2590" s="451" t="s">
        <v>46</v>
      </c>
      <c r="F2590" s="457">
        <f>F2580</f>
        <v>870</v>
      </c>
      <c r="G2590" s="457">
        <f>INT(D2590*F2590*100)/100</f>
        <v>1479</v>
      </c>
      <c r="H2590" s="457"/>
      <c r="J2590" s="443">
        <f>A3270</f>
        <v>0</v>
      </c>
    </row>
    <row r="2591" spans="1:10">
      <c r="B2591" s="468" t="s">
        <v>63</v>
      </c>
      <c r="C2591" s="484" t="s">
        <v>119</v>
      </c>
      <c r="D2591" s="588">
        <v>30</v>
      </c>
      <c r="E2591" s="451" t="s">
        <v>74</v>
      </c>
      <c r="F2591" s="457">
        <f>'Basic Rate'!F165</f>
        <v>153</v>
      </c>
      <c r="G2591" s="457">
        <f>INT(D2591*F2591*100)/100</f>
        <v>4590</v>
      </c>
      <c r="H2591" s="457"/>
    </row>
    <row r="2592" spans="1:10">
      <c r="B2592" s="855" t="s">
        <v>172</v>
      </c>
      <c r="C2592" s="855"/>
      <c r="D2592" s="856" t="s">
        <v>61</v>
      </c>
      <c r="E2592" s="856"/>
      <c r="F2592" s="856"/>
      <c r="G2592" s="457">
        <f>SUM(G2589:G2591)</f>
        <v>8109</v>
      </c>
      <c r="H2592" s="457"/>
    </row>
    <row r="2593" spans="1:8">
      <c r="B2593" s="855"/>
      <c r="C2593" s="855"/>
      <c r="D2593" s="857" t="s">
        <v>573</v>
      </c>
      <c r="E2593" s="857"/>
      <c r="F2593" s="857"/>
      <c r="G2593" s="457">
        <f>INT(15%*G2592*100)/100</f>
        <v>1216.3499999999999</v>
      </c>
      <c r="H2593" s="457"/>
    </row>
    <row r="2594" spans="1:8">
      <c r="B2594" s="855"/>
      <c r="C2594" s="855"/>
      <c r="D2594" s="856" t="s">
        <v>47</v>
      </c>
      <c r="E2594" s="856"/>
      <c r="F2594" s="856"/>
      <c r="G2594" s="457">
        <f>SUM(G2592:G2593)</f>
        <v>9325.35</v>
      </c>
      <c r="H2594" s="457"/>
    </row>
    <row r="2595" spans="1:8">
      <c r="B2595" s="458"/>
      <c r="C2595" s="458"/>
      <c r="F2595" s="459"/>
      <c r="G2595" s="460"/>
      <c r="H2595" s="460"/>
    </row>
    <row r="2596" spans="1:8" s="605" customFormat="1" ht="13.8">
      <c r="A2596" s="603">
        <v>10.3</v>
      </c>
      <c r="B2596" s="604" t="s">
        <v>479</v>
      </c>
      <c r="C2596" s="891" t="s">
        <v>1570</v>
      </c>
      <c r="D2596" s="892"/>
      <c r="E2596" s="892"/>
      <c r="F2596" s="610" t="s">
        <v>50</v>
      </c>
      <c r="G2596" s="447">
        <f>TRUNC(G2601/100,2)</f>
        <v>146.65</v>
      </c>
      <c r="H2596" s="448">
        <f>TRUNC(G2603/100,2)</f>
        <v>168.65</v>
      </c>
    </row>
    <row r="2597" spans="1:8">
      <c r="B2597" s="450" t="s">
        <v>80</v>
      </c>
      <c r="C2597" s="451" t="s">
        <v>81</v>
      </c>
      <c r="D2597" s="451" t="s">
        <v>44</v>
      </c>
      <c r="E2597" s="451" t="s">
        <v>45</v>
      </c>
      <c r="F2597" s="452" t="s">
        <v>58</v>
      </c>
      <c r="G2597" s="452" t="s">
        <v>59</v>
      </c>
      <c r="H2597" s="452" t="s">
        <v>52</v>
      </c>
    </row>
    <row r="2598" spans="1:8">
      <c r="B2598" s="864" t="s">
        <v>60</v>
      </c>
      <c r="C2598" s="484" t="s">
        <v>69</v>
      </c>
      <c r="D2598" s="588">
        <v>3.5</v>
      </c>
      <c r="E2598" s="451" t="s">
        <v>46</v>
      </c>
      <c r="F2598" s="457">
        <f>F2589</f>
        <v>1200</v>
      </c>
      <c r="G2598" s="457">
        <f>INT(D2598*F2598*100)/100</f>
        <v>4200</v>
      </c>
      <c r="H2598" s="457"/>
    </row>
    <row r="2599" spans="1:8">
      <c r="B2599" s="865"/>
      <c r="C2599" s="484" t="s">
        <v>43</v>
      </c>
      <c r="D2599" s="588">
        <v>3.5</v>
      </c>
      <c r="E2599" s="451" t="s">
        <v>46</v>
      </c>
      <c r="F2599" s="457">
        <f>F2590</f>
        <v>870</v>
      </c>
      <c r="G2599" s="457">
        <f>INT(D2599*F2599*100)/100</f>
        <v>3045</v>
      </c>
      <c r="H2599" s="457"/>
    </row>
    <row r="2600" spans="1:8">
      <c r="B2600" s="468" t="s">
        <v>63</v>
      </c>
      <c r="C2600" s="484" t="s">
        <v>119</v>
      </c>
      <c r="D2600" s="588">
        <v>48.5</v>
      </c>
      <c r="E2600" s="451" t="s">
        <v>74</v>
      </c>
      <c r="F2600" s="457">
        <f>F2591</f>
        <v>153</v>
      </c>
      <c r="G2600" s="457">
        <f>INT(D2600*F2600*100)/100</f>
        <v>7420.5</v>
      </c>
      <c r="H2600" s="457"/>
    </row>
    <row r="2601" spans="1:8">
      <c r="B2601" s="855" t="s">
        <v>172</v>
      </c>
      <c r="C2601" s="855"/>
      <c r="D2601" s="856" t="s">
        <v>61</v>
      </c>
      <c r="E2601" s="856"/>
      <c r="F2601" s="856"/>
      <c r="G2601" s="457">
        <f>SUM(G2598:G2600)</f>
        <v>14665.5</v>
      </c>
      <c r="H2601" s="457"/>
    </row>
    <row r="2602" spans="1:8">
      <c r="B2602" s="855"/>
      <c r="C2602" s="855"/>
      <c r="D2602" s="857" t="s">
        <v>573</v>
      </c>
      <c r="E2602" s="857"/>
      <c r="F2602" s="857"/>
      <c r="G2602" s="457">
        <f>INT(15%*G2601*100)/100</f>
        <v>2199.8200000000002</v>
      </c>
      <c r="H2602" s="457"/>
    </row>
    <row r="2603" spans="1:8">
      <c r="B2603" s="855"/>
      <c r="C2603" s="855"/>
      <c r="D2603" s="856" t="s">
        <v>47</v>
      </c>
      <c r="E2603" s="856"/>
      <c r="F2603" s="856"/>
      <c r="G2603" s="457">
        <f>SUM(G2601:G2602)</f>
        <v>16865.32</v>
      </c>
      <c r="H2603" s="457"/>
    </row>
    <row r="2604" spans="1:8">
      <c r="B2604" s="458"/>
      <c r="C2604" s="458"/>
      <c r="F2604" s="459"/>
      <c r="G2604" s="460"/>
      <c r="H2604" s="460"/>
    </row>
    <row r="2606" spans="1:8" ht="24.75" customHeight="1">
      <c r="A2606" s="603">
        <v>10.31</v>
      </c>
      <c r="B2606" s="604" t="s">
        <v>480</v>
      </c>
      <c r="C2606" s="891" t="s">
        <v>1571</v>
      </c>
      <c r="D2606" s="892"/>
      <c r="E2606" s="892"/>
      <c r="F2606" s="610" t="s">
        <v>50</v>
      </c>
      <c r="G2606" s="447">
        <f>TRUNC(G2611/100,2)</f>
        <v>105.45</v>
      </c>
      <c r="H2606" s="448">
        <f>TRUNC(G2613/100,2)</f>
        <v>121.26</v>
      </c>
    </row>
    <row r="2607" spans="1:8">
      <c r="B2607" s="450" t="s">
        <v>80</v>
      </c>
      <c r="C2607" s="451" t="s">
        <v>81</v>
      </c>
      <c r="D2607" s="451" t="s">
        <v>44</v>
      </c>
      <c r="E2607" s="451" t="s">
        <v>45</v>
      </c>
      <c r="F2607" s="452" t="s">
        <v>58</v>
      </c>
      <c r="G2607" s="452" t="s">
        <v>59</v>
      </c>
      <c r="H2607" s="452" t="s">
        <v>52</v>
      </c>
    </row>
    <row r="2608" spans="1:8">
      <c r="B2608" s="864" t="s">
        <v>60</v>
      </c>
      <c r="C2608" s="484" t="s">
        <v>69</v>
      </c>
      <c r="D2608" s="588">
        <v>3.5</v>
      </c>
      <c r="E2608" s="451" t="s">
        <v>46</v>
      </c>
      <c r="F2608" s="457">
        <f>F2598</f>
        <v>1200</v>
      </c>
      <c r="G2608" s="457">
        <f>INT(D2608*F2608*100)/100</f>
        <v>4200</v>
      </c>
      <c r="H2608" s="457"/>
    </row>
    <row r="2609" spans="1:8">
      <c r="B2609" s="865"/>
      <c r="C2609" s="484" t="s">
        <v>43</v>
      </c>
      <c r="D2609" s="588">
        <v>3.5</v>
      </c>
      <c r="E2609" s="451" t="s">
        <v>46</v>
      </c>
      <c r="F2609" s="457">
        <f>F2599</f>
        <v>870</v>
      </c>
      <c r="G2609" s="457">
        <f>INT(D2609*F2609*100)/100</f>
        <v>3045</v>
      </c>
      <c r="H2609" s="457"/>
    </row>
    <row r="2610" spans="1:8">
      <c r="B2610" s="450" t="s">
        <v>63</v>
      </c>
      <c r="C2610" s="484" t="s">
        <v>144</v>
      </c>
      <c r="D2610" s="588">
        <v>30</v>
      </c>
      <c r="E2610" s="451" t="s">
        <v>74</v>
      </c>
      <c r="F2610" s="457">
        <f>'Basic Rate'!F216</f>
        <v>110</v>
      </c>
      <c r="G2610" s="457">
        <f>INT(D2610*F2610*100)/100</f>
        <v>3300</v>
      </c>
      <c r="H2610" s="457"/>
    </row>
    <row r="2611" spans="1:8">
      <c r="B2611" s="855" t="s">
        <v>172</v>
      </c>
      <c r="C2611" s="855"/>
      <c r="D2611" s="856" t="s">
        <v>61</v>
      </c>
      <c r="E2611" s="856"/>
      <c r="F2611" s="856"/>
      <c r="G2611" s="457">
        <f>SUM(G2608:G2610)</f>
        <v>10545</v>
      </c>
      <c r="H2611" s="457"/>
    </row>
    <row r="2612" spans="1:8">
      <c r="B2612" s="855"/>
      <c r="C2612" s="855"/>
      <c r="D2612" s="857" t="s">
        <v>573</v>
      </c>
      <c r="E2612" s="857"/>
      <c r="F2612" s="857"/>
      <c r="G2612" s="457">
        <f>INT(15%*G2611*100)/100</f>
        <v>1581.75</v>
      </c>
      <c r="H2612" s="457"/>
    </row>
    <row r="2613" spans="1:8">
      <c r="B2613" s="855"/>
      <c r="C2613" s="855"/>
      <c r="D2613" s="856" t="s">
        <v>47</v>
      </c>
      <c r="E2613" s="856"/>
      <c r="F2613" s="856"/>
      <c r="G2613" s="457">
        <f>SUM(G2611:G2612)</f>
        <v>12126.75</v>
      </c>
      <c r="H2613" s="457"/>
    </row>
    <row r="2614" spans="1:8">
      <c r="F2614" s="460"/>
      <c r="G2614" s="460"/>
      <c r="H2614" s="460"/>
    </row>
    <row r="2615" spans="1:8">
      <c r="F2615" s="460"/>
      <c r="G2615" s="460"/>
      <c r="H2615" s="460"/>
    </row>
    <row r="2616" spans="1:8" ht="25.5" customHeight="1">
      <c r="A2616" s="603">
        <v>10.32</v>
      </c>
      <c r="B2616" s="604" t="s">
        <v>481</v>
      </c>
      <c r="C2616" s="891" t="s">
        <v>1572</v>
      </c>
      <c r="D2616" s="892"/>
      <c r="E2616" s="892"/>
      <c r="F2616" s="610" t="s">
        <v>50</v>
      </c>
      <c r="G2616" s="447">
        <f>TRUNC(G2621/100,2)</f>
        <v>189.55</v>
      </c>
      <c r="H2616" s="448">
        <f>TRUNC(G2623/100,2)</f>
        <v>217.98</v>
      </c>
    </row>
    <row r="2617" spans="1:8">
      <c r="B2617" s="450" t="s">
        <v>80</v>
      </c>
      <c r="C2617" s="451" t="s">
        <v>81</v>
      </c>
      <c r="D2617" s="451" t="s">
        <v>44</v>
      </c>
      <c r="E2617" s="451" t="s">
        <v>45</v>
      </c>
      <c r="F2617" s="452" t="s">
        <v>58</v>
      </c>
      <c r="G2617" s="452" t="s">
        <v>59</v>
      </c>
      <c r="H2617" s="452" t="s">
        <v>52</v>
      </c>
    </row>
    <row r="2618" spans="1:8">
      <c r="B2618" s="864" t="s">
        <v>60</v>
      </c>
      <c r="C2618" s="484" t="s">
        <v>69</v>
      </c>
      <c r="D2618" s="588">
        <v>6.5</v>
      </c>
      <c r="E2618" s="451" t="s">
        <v>46</v>
      </c>
      <c r="F2618" s="457">
        <f>F2608</f>
        <v>1200</v>
      </c>
      <c r="G2618" s="457">
        <f>INT(D2618*F2618*100)/100</f>
        <v>7800</v>
      </c>
      <c r="H2618" s="457"/>
    </row>
    <row r="2619" spans="1:8" ht="12" customHeight="1">
      <c r="B2619" s="865"/>
      <c r="C2619" s="484" t="s">
        <v>43</v>
      </c>
      <c r="D2619" s="588">
        <v>6.5</v>
      </c>
      <c r="E2619" s="451" t="s">
        <v>46</v>
      </c>
      <c r="F2619" s="457">
        <f>F2609</f>
        <v>870</v>
      </c>
      <c r="G2619" s="457">
        <f>INT(D2619*F2619*100)/100</f>
        <v>5655</v>
      </c>
      <c r="H2619" s="457"/>
    </row>
    <row r="2620" spans="1:8" ht="12" customHeight="1">
      <c r="B2620" s="450" t="s">
        <v>63</v>
      </c>
      <c r="C2620" s="484" t="s">
        <v>144</v>
      </c>
      <c r="D2620" s="588">
        <v>50</v>
      </c>
      <c r="E2620" s="451" t="s">
        <v>74</v>
      </c>
      <c r="F2620" s="457">
        <f>F2610</f>
        <v>110</v>
      </c>
      <c r="G2620" s="457">
        <f>INT(D2620*F2620*100)/100</f>
        <v>5500</v>
      </c>
      <c r="H2620" s="457"/>
    </row>
    <row r="2621" spans="1:8">
      <c r="B2621" s="855" t="s">
        <v>172</v>
      </c>
      <c r="C2621" s="855"/>
      <c r="D2621" s="856" t="s">
        <v>61</v>
      </c>
      <c r="E2621" s="856"/>
      <c r="F2621" s="856"/>
      <c r="G2621" s="457">
        <f>SUM(G2618:G2620)</f>
        <v>18955</v>
      </c>
      <c r="H2621" s="457"/>
    </row>
    <row r="2622" spans="1:8">
      <c r="B2622" s="855"/>
      <c r="C2622" s="855"/>
      <c r="D2622" s="857" t="s">
        <v>573</v>
      </c>
      <c r="E2622" s="857"/>
      <c r="F2622" s="857"/>
      <c r="G2622" s="457">
        <f>INT(15%*G2621*100)/100</f>
        <v>2843.25</v>
      </c>
      <c r="H2622" s="457"/>
    </row>
    <row r="2623" spans="1:8">
      <c r="B2623" s="855"/>
      <c r="C2623" s="855"/>
      <c r="D2623" s="856" t="s">
        <v>47</v>
      </c>
      <c r="E2623" s="856"/>
      <c r="F2623" s="856"/>
      <c r="G2623" s="457">
        <f>SUM(G2621:G2622)</f>
        <v>21798.25</v>
      </c>
      <c r="H2623" s="457"/>
    </row>
    <row r="2624" spans="1:8" ht="25.5" customHeight="1">
      <c r="A2624" s="603">
        <v>10.33</v>
      </c>
      <c r="B2624" s="604" t="s">
        <v>483</v>
      </c>
      <c r="C2624" s="891" t="s">
        <v>1573</v>
      </c>
      <c r="D2624" s="892"/>
      <c r="E2624" s="892"/>
      <c r="F2624" s="610" t="s">
        <v>50</v>
      </c>
      <c r="G2624" s="447">
        <f>TRUNC(G2630/10,2)</f>
        <v>183.45</v>
      </c>
      <c r="H2624" s="448">
        <f>TRUNC(G2632/10,2)</f>
        <v>210.97</v>
      </c>
    </row>
    <row r="2625" spans="1:8">
      <c r="B2625" s="450" t="s">
        <v>80</v>
      </c>
      <c r="C2625" s="451" t="s">
        <v>81</v>
      </c>
      <c r="D2625" s="451" t="s">
        <v>44</v>
      </c>
      <c r="E2625" s="451" t="s">
        <v>45</v>
      </c>
      <c r="F2625" s="452" t="s">
        <v>58</v>
      </c>
      <c r="G2625" s="452" t="s">
        <v>59</v>
      </c>
      <c r="H2625" s="452" t="s">
        <v>52</v>
      </c>
    </row>
    <row r="2626" spans="1:8">
      <c r="B2626" s="864" t="s">
        <v>60</v>
      </c>
      <c r="C2626" s="484" t="s">
        <v>69</v>
      </c>
      <c r="D2626" s="631">
        <v>0.53800000000000003</v>
      </c>
      <c r="E2626" s="451" t="s">
        <v>46</v>
      </c>
      <c r="F2626" s="457">
        <f>F2618</f>
        <v>1200</v>
      </c>
      <c r="G2626" s="457">
        <f>INT(D2626*F2626*100)/100</f>
        <v>645.6</v>
      </c>
      <c r="H2626" s="457"/>
    </row>
    <row r="2627" spans="1:8">
      <c r="B2627" s="865"/>
      <c r="C2627" s="484" t="s">
        <v>43</v>
      </c>
      <c r="D2627" s="631">
        <v>0.53800000000000003</v>
      </c>
      <c r="E2627" s="451" t="s">
        <v>46</v>
      </c>
      <c r="F2627" s="457">
        <f>F2619</f>
        <v>870</v>
      </c>
      <c r="G2627" s="457">
        <f>INT(D2627*F2627*100)/100</f>
        <v>468.06</v>
      </c>
      <c r="H2627" s="457"/>
    </row>
    <row r="2628" spans="1:8" ht="12.75" customHeight="1">
      <c r="B2628" s="864" t="s">
        <v>63</v>
      </c>
      <c r="C2628" s="484" t="s">
        <v>704</v>
      </c>
      <c r="D2628" s="631">
        <v>0.53800000000000003</v>
      </c>
      <c r="E2628" s="451" t="s">
        <v>107</v>
      </c>
      <c r="F2628" s="457">
        <f>'Basic Rate'!F111</f>
        <v>140</v>
      </c>
      <c r="G2628" s="457">
        <f>INT(D2628*F2628*100)/100</f>
        <v>75.319999999999993</v>
      </c>
      <c r="H2628" s="457"/>
    </row>
    <row r="2629" spans="1:8">
      <c r="B2629" s="868"/>
      <c r="C2629" s="484" t="s">
        <v>116</v>
      </c>
      <c r="D2629" s="631">
        <v>1.6140000000000001</v>
      </c>
      <c r="E2629" s="451" t="s">
        <v>107</v>
      </c>
      <c r="F2629" s="457">
        <f>'Basic Rate'!$F$69</f>
        <v>400</v>
      </c>
      <c r="G2629" s="457">
        <f>INT(D2629*F2629*100)/100</f>
        <v>645.6</v>
      </c>
      <c r="H2629" s="457"/>
    </row>
    <row r="2630" spans="1:8">
      <c r="B2630" s="855" t="s">
        <v>165</v>
      </c>
      <c r="C2630" s="855"/>
      <c r="D2630" s="856" t="s">
        <v>61</v>
      </c>
      <c r="E2630" s="856"/>
      <c r="F2630" s="856"/>
      <c r="G2630" s="457">
        <f>SUM(G2626:G2629)</f>
        <v>1834.58</v>
      </c>
      <c r="H2630" s="457"/>
    </row>
    <row r="2631" spans="1:8">
      <c r="B2631" s="855"/>
      <c r="C2631" s="855"/>
      <c r="D2631" s="857" t="s">
        <v>573</v>
      </c>
      <c r="E2631" s="857"/>
      <c r="F2631" s="857"/>
      <c r="G2631" s="457">
        <f>INT(15%*G2630*100)/100</f>
        <v>275.18</v>
      </c>
      <c r="H2631" s="457"/>
    </row>
    <row r="2632" spans="1:8">
      <c r="B2632" s="855"/>
      <c r="C2632" s="855"/>
      <c r="D2632" s="856" t="s">
        <v>47</v>
      </c>
      <c r="E2632" s="856"/>
      <c r="F2632" s="856"/>
      <c r="G2632" s="457">
        <f>SUM(G2630:G2631)</f>
        <v>2109.7599999999998</v>
      </c>
      <c r="H2632" s="457"/>
    </row>
    <row r="2634" spans="1:8" s="605" customFormat="1" ht="25.5" customHeight="1">
      <c r="A2634" s="603">
        <v>10.34</v>
      </c>
      <c r="B2634" s="604" t="s">
        <v>482</v>
      </c>
      <c r="C2634" s="891" t="s">
        <v>1574</v>
      </c>
      <c r="D2634" s="892"/>
      <c r="E2634" s="892"/>
      <c r="F2634" s="447" t="s">
        <v>50</v>
      </c>
      <c r="G2634" s="447">
        <f>TRUNC(G2639/100,2)</f>
        <v>113.4</v>
      </c>
      <c r="H2634" s="448">
        <f>TRUNC(G2641/100,2)</f>
        <v>130.41</v>
      </c>
    </row>
    <row r="2635" spans="1:8">
      <c r="B2635" s="450" t="s">
        <v>80</v>
      </c>
      <c r="C2635" s="451" t="s">
        <v>81</v>
      </c>
      <c r="D2635" s="451" t="s">
        <v>44</v>
      </c>
      <c r="E2635" s="451" t="s">
        <v>45</v>
      </c>
      <c r="F2635" s="452" t="s">
        <v>58</v>
      </c>
      <c r="G2635" s="452" t="s">
        <v>59</v>
      </c>
      <c r="H2635" s="452" t="s">
        <v>52</v>
      </c>
    </row>
    <row r="2636" spans="1:8">
      <c r="B2636" s="864" t="s">
        <v>60</v>
      </c>
      <c r="C2636" s="484" t="s">
        <v>69</v>
      </c>
      <c r="D2636" s="588">
        <v>5</v>
      </c>
      <c r="E2636" s="451" t="s">
        <v>46</v>
      </c>
      <c r="F2636" s="457">
        <f>F2626</f>
        <v>1200</v>
      </c>
      <c r="G2636" s="457">
        <f>INT(D2636*F2636*100)/100</f>
        <v>6000</v>
      </c>
      <c r="H2636" s="457"/>
    </row>
    <row r="2637" spans="1:8">
      <c r="B2637" s="865"/>
      <c r="C2637" s="484" t="s">
        <v>43</v>
      </c>
      <c r="D2637" s="588">
        <v>2</v>
      </c>
      <c r="E2637" s="451" t="s">
        <v>46</v>
      </c>
      <c r="F2637" s="457">
        <f>F2627</f>
        <v>870</v>
      </c>
      <c r="G2637" s="457">
        <f>INT(D2637*F2637*100)/100</f>
        <v>1740</v>
      </c>
      <c r="H2637" s="457"/>
    </row>
    <row r="2638" spans="1:8">
      <c r="B2638" s="450" t="s">
        <v>63</v>
      </c>
      <c r="C2638" s="484" t="s">
        <v>116</v>
      </c>
      <c r="D2638" s="588">
        <v>9</v>
      </c>
      <c r="E2638" s="451" t="s">
        <v>107</v>
      </c>
      <c r="F2638" s="457">
        <f>'Basic Rate'!$F$69</f>
        <v>400</v>
      </c>
      <c r="G2638" s="457">
        <f>INT(D2638*F2638*100)/100</f>
        <v>3600</v>
      </c>
      <c r="H2638" s="457"/>
    </row>
    <row r="2639" spans="1:8">
      <c r="B2639" s="855" t="s">
        <v>172</v>
      </c>
      <c r="C2639" s="855"/>
      <c r="D2639" s="856" t="s">
        <v>61</v>
      </c>
      <c r="E2639" s="856"/>
      <c r="F2639" s="856"/>
      <c r="G2639" s="457">
        <f>SUM(G2636:G2638)</f>
        <v>11340</v>
      </c>
      <c r="H2639" s="457"/>
    </row>
    <row r="2640" spans="1:8">
      <c r="B2640" s="855"/>
      <c r="C2640" s="855"/>
      <c r="D2640" s="857" t="s">
        <v>573</v>
      </c>
      <c r="E2640" s="857"/>
      <c r="F2640" s="857"/>
      <c r="G2640" s="457">
        <f>INT(15%*G2639*100)/100</f>
        <v>1701</v>
      </c>
      <c r="H2640" s="457"/>
    </row>
    <row r="2641" spans="1:8">
      <c r="B2641" s="855"/>
      <c r="C2641" s="855"/>
      <c r="D2641" s="856" t="s">
        <v>47</v>
      </c>
      <c r="E2641" s="856"/>
      <c r="F2641" s="856"/>
      <c r="G2641" s="457">
        <f>SUM(G2639:G2640)</f>
        <v>13041</v>
      </c>
      <c r="H2641" s="457"/>
    </row>
    <row r="2642" spans="1:8" ht="12.75" customHeight="1">
      <c r="F2642" s="474"/>
      <c r="G2642" s="474"/>
      <c r="H2642" s="474"/>
    </row>
    <row r="2643" spans="1:8" s="605" customFormat="1" ht="25.5" customHeight="1">
      <c r="A2643" s="603">
        <v>10.35</v>
      </c>
      <c r="B2643" s="604" t="s">
        <v>484</v>
      </c>
      <c r="C2643" s="891" t="s">
        <v>1575</v>
      </c>
      <c r="D2643" s="892"/>
      <c r="E2643" s="892"/>
      <c r="F2643" s="447" t="s">
        <v>50</v>
      </c>
      <c r="G2643" s="447">
        <f>TRUNC(G2648/100,2)</f>
        <v>215.5</v>
      </c>
      <c r="H2643" s="448">
        <f>TRUNC(G2650/100,2)</f>
        <v>247.82</v>
      </c>
    </row>
    <row r="2644" spans="1:8">
      <c r="B2644" s="450" t="s">
        <v>80</v>
      </c>
      <c r="C2644" s="451" t="s">
        <v>81</v>
      </c>
      <c r="D2644" s="451" t="s">
        <v>44</v>
      </c>
      <c r="E2644" s="451" t="s">
        <v>45</v>
      </c>
      <c r="F2644" s="452" t="s">
        <v>58</v>
      </c>
      <c r="G2644" s="452" t="s">
        <v>59</v>
      </c>
      <c r="H2644" s="452" t="s">
        <v>52</v>
      </c>
    </row>
    <row r="2645" spans="1:8">
      <c r="B2645" s="864" t="s">
        <v>60</v>
      </c>
      <c r="C2645" s="484" t="s">
        <v>69</v>
      </c>
      <c r="D2645" s="588">
        <v>9</v>
      </c>
      <c r="E2645" s="451" t="s">
        <v>46</v>
      </c>
      <c r="F2645" s="457">
        <f>F2636</f>
        <v>1200</v>
      </c>
      <c r="G2645" s="457">
        <f>INT(D2645*F2645*100)/100</f>
        <v>10800</v>
      </c>
      <c r="H2645" s="457"/>
    </row>
    <row r="2646" spans="1:8">
      <c r="B2646" s="865"/>
      <c r="C2646" s="484" t="s">
        <v>43</v>
      </c>
      <c r="D2646" s="588">
        <v>5</v>
      </c>
      <c r="E2646" s="451" t="s">
        <v>46</v>
      </c>
      <c r="F2646" s="457">
        <f>F2637</f>
        <v>870</v>
      </c>
      <c r="G2646" s="457">
        <f>INT(D2646*F2646*100)/100</f>
        <v>4350</v>
      </c>
      <c r="H2646" s="457"/>
    </row>
    <row r="2647" spans="1:8">
      <c r="B2647" s="450" t="s">
        <v>63</v>
      </c>
      <c r="C2647" s="484" t="s">
        <v>116</v>
      </c>
      <c r="D2647" s="588">
        <v>16</v>
      </c>
      <c r="E2647" s="451" t="s">
        <v>107</v>
      </c>
      <c r="F2647" s="457">
        <f>F2638</f>
        <v>400</v>
      </c>
      <c r="G2647" s="457">
        <f>INT(D2647*F2647*100)/100</f>
        <v>6400</v>
      </c>
      <c r="H2647" s="457"/>
    </row>
    <row r="2648" spans="1:8">
      <c r="B2648" s="855" t="s">
        <v>172</v>
      </c>
      <c r="C2648" s="855"/>
      <c r="D2648" s="856" t="s">
        <v>61</v>
      </c>
      <c r="E2648" s="856"/>
      <c r="F2648" s="856"/>
      <c r="G2648" s="457">
        <f>SUM(G2645:G2647)</f>
        <v>21550</v>
      </c>
      <c r="H2648" s="457"/>
    </row>
    <row r="2649" spans="1:8">
      <c r="B2649" s="855"/>
      <c r="C2649" s="855"/>
      <c r="D2649" s="857" t="s">
        <v>573</v>
      </c>
      <c r="E2649" s="857"/>
      <c r="F2649" s="857"/>
      <c r="G2649" s="457">
        <f>INT(15%*G2648*100)/100</f>
        <v>3232.5</v>
      </c>
      <c r="H2649" s="457"/>
    </row>
    <row r="2650" spans="1:8">
      <c r="B2650" s="855"/>
      <c r="C2650" s="855"/>
      <c r="D2650" s="856" t="s">
        <v>47</v>
      </c>
      <c r="E2650" s="856"/>
      <c r="F2650" s="856"/>
      <c r="G2650" s="457">
        <f>SUM(G2648:G2649)</f>
        <v>24782.5</v>
      </c>
      <c r="H2650" s="457"/>
    </row>
    <row r="2651" spans="1:8">
      <c r="C2651" s="444"/>
      <c r="F2651" s="462"/>
      <c r="G2651" s="460"/>
      <c r="H2651" s="460"/>
    </row>
    <row r="2652" spans="1:8">
      <c r="F2652" s="460"/>
      <c r="G2652" s="460"/>
      <c r="H2652" s="460"/>
    </row>
    <row r="2653" spans="1:8" s="605" customFormat="1" ht="25.5" customHeight="1">
      <c r="A2653" s="603">
        <v>10.36</v>
      </c>
      <c r="B2653" s="604" t="s">
        <v>485</v>
      </c>
      <c r="C2653" s="891" t="s">
        <v>1576</v>
      </c>
      <c r="D2653" s="892"/>
      <c r="E2653" s="892"/>
      <c r="F2653" s="447" t="s">
        <v>50</v>
      </c>
      <c r="G2653" s="447">
        <f>TRUNC(G2658/100,2)</f>
        <v>140.4</v>
      </c>
      <c r="H2653" s="448">
        <f>TRUNC(G2660/100,2)</f>
        <v>161.46</v>
      </c>
    </row>
    <row r="2654" spans="1:8">
      <c r="B2654" s="450" t="s">
        <v>80</v>
      </c>
      <c r="C2654" s="451" t="s">
        <v>81</v>
      </c>
      <c r="D2654" s="451" t="s">
        <v>44</v>
      </c>
      <c r="E2654" s="451" t="s">
        <v>45</v>
      </c>
      <c r="F2654" s="452" t="s">
        <v>58</v>
      </c>
      <c r="G2654" s="452" t="s">
        <v>59</v>
      </c>
      <c r="H2654" s="452" t="s">
        <v>52</v>
      </c>
    </row>
    <row r="2655" spans="1:8">
      <c r="B2655" s="864" t="s">
        <v>60</v>
      </c>
      <c r="C2655" s="484" t="s">
        <v>69</v>
      </c>
      <c r="D2655" s="588">
        <v>5</v>
      </c>
      <c r="E2655" s="451" t="s">
        <v>46</v>
      </c>
      <c r="F2655" s="457">
        <f>F2645</f>
        <v>1200</v>
      </c>
      <c r="G2655" s="457">
        <f>INT(D2655*F2655*100)/100</f>
        <v>6000</v>
      </c>
      <c r="H2655" s="457"/>
    </row>
    <row r="2656" spans="1:8">
      <c r="B2656" s="865"/>
      <c r="C2656" s="484" t="s">
        <v>43</v>
      </c>
      <c r="D2656" s="588">
        <v>2</v>
      </c>
      <c r="E2656" s="451" t="s">
        <v>46</v>
      </c>
      <c r="F2656" s="457">
        <f>F2646</f>
        <v>870</v>
      </c>
      <c r="G2656" s="457">
        <f>INT(D2656*F2656*100)/100</f>
        <v>1740</v>
      </c>
      <c r="H2656" s="457"/>
    </row>
    <row r="2657" spans="1:8">
      <c r="B2657" s="450" t="s">
        <v>63</v>
      </c>
      <c r="C2657" s="484" t="s">
        <v>145</v>
      </c>
      <c r="D2657" s="588">
        <v>9</v>
      </c>
      <c r="E2657" s="451" t="s">
        <v>107</v>
      </c>
      <c r="F2657" s="457">
        <f>'Basic Rate'!F150</f>
        <v>700</v>
      </c>
      <c r="G2657" s="457">
        <f>INT(D2657*F2657*100)/100</f>
        <v>6300</v>
      </c>
      <c r="H2657" s="457"/>
    </row>
    <row r="2658" spans="1:8">
      <c r="B2658" s="855" t="s">
        <v>172</v>
      </c>
      <c r="C2658" s="855"/>
      <c r="D2658" s="856" t="s">
        <v>61</v>
      </c>
      <c r="E2658" s="856"/>
      <c r="F2658" s="856"/>
      <c r="G2658" s="457">
        <f>SUM(G2655:G2657)</f>
        <v>14040</v>
      </c>
      <c r="H2658" s="457"/>
    </row>
    <row r="2659" spans="1:8">
      <c r="B2659" s="855"/>
      <c r="C2659" s="855"/>
      <c r="D2659" s="857" t="s">
        <v>573</v>
      </c>
      <c r="E2659" s="857"/>
      <c r="F2659" s="857"/>
      <c r="G2659" s="457">
        <f>INT(15%*G2658*100)/100</f>
        <v>2106</v>
      </c>
      <c r="H2659" s="457"/>
    </row>
    <row r="2660" spans="1:8">
      <c r="B2660" s="855"/>
      <c r="C2660" s="855"/>
      <c r="D2660" s="856" t="s">
        <v>47</v>
      </c>
      <c r="E2660" s="856"/>
      <c r="F2660" s="856"/>
      <c r="G2660" s="457">
        <f>SUM(G2658:G2659)</f>
        <v>16146</v>
      </c>
      <c r="H2660" s="457"/>
    </row>
    <row r="2661" spans="1:8" s="605" customFormat="1" ht="27" customHeight="1">
      <c r="A2661" s="603">
        <v>10.37</v>
      </c>
      <c r="B2661" s="604" t="s">
        <v>486</v>
      </c>
      <c r="C2661" s="891" t="s">
        <v>1577</v>
      </c>
      <c r="D2661" s="892"/>
      <c r="E2661" s="892"/>
      <c r="F2661" s="447" t="s">
        <v>50</v>
      </c>
      <c r="G2661" s="447">
        <f>TRUNC(G2666/100,2)</f>
        <v>263.5</v>
      </c>
      <c r="H2661" s="448">
        <f>TRUNC(G2668/100,2)</f>
        <v>303.02</v>
      </c>
    </row>
    <row r="2662" spans="1:8">
      <c r="B2662" s="450" t="s">
        <v>80</v>
      </c>
      <c r="C2662" s="451" t="s">
        <v>81</v>
      </c>
      <c r="D2662" s="451" t="s">
        <v>44</v>
      </c>
      <c r="E2662" s="451" t="s">
        <v>45</v>
      </c>
      <c r="F2662" s="452" t="s">
        <v>58</v>
      </c>
      <c r="G2662" s="452" t="s">
        <v>59</v>
      </c>
      <c r="H2662" s="452" t="s">
        <v>52</v>
      </c>
    </row>
    <row r="2663" spans="1:8">
      <c r="B2663" s="864" t="s">
        <v>60</v>
      </c>
      <c r="C2663" s="484" t="s">
        <v>69</v>
      </c>
      <c r="D2663" s="588">
        <v>9</v>
      </c>
      <c r="E2663" s="451" t="s">
        <v>46</v>
      </c>
      <c r="F2663" s="457">
        <f>F2655</f>
        <v>1200</v>
      </c>
      <c r="G2663" s="457">
        <f>INT(D2663*F2663*100)/100</f>
        <v>10800</v>
      </c>
      <c r="H2663" s="457"/>
    </row>
    <row r="2664" spans="1:8">
      <c r="B2664" s="865"/>
      <c r="C2664" s="484" t="s">
        <v>43</v>
      </c>
      <c r="D2664" s="588">
        <v>5</v>
      </c>
      <c r="E2664" s="451" t="s">
        <v>46</v>
      </c>
      <c r="F2664" s="457">
        <f>F2656</f>
        <v>870</v>
      </c>
      <c r="G2664" s="457">
        <f>INT(D2664*F2664*100)/100</f>
        <v>4350</v>
      </c>
      <c r="H2664" s="457"/>
    </row>
    <row r="2665" spans="1:8">
      <c r="B2665" s="450" t="s">
        <v>63</v>
      </c>
      <c r="C2665" s="484" t="s">
        <v>145</v>
      </c>
      <c r="D2665" s="588">
        <v>16</v>
      </c>
      <c r="E2665" s="451" t="s">
        <v>107</v>
      </c>
      <c r="F2665" s="457">
        <f>F2657</f>
        <v>700</v>
      </c>
      <c r="G2665" s="457">
        <f>INT(D2665*F2665*100)/100</f>
        <v>11200</v>
      </c>
      <c r="H2665" s="457"/>
    </row>
    <row r="2666" spans="1:8">
      <c r="B2666" s="855" t="s">
        <v>172</v>
      </c>
      <c r="C2666" s="855"/>
      <c r="D2666" s="856" t="s">
        <v>61</v>
      </c>
      <c r="E2666" s="856"/>
      <c r="F2666" s="856"/>
      <c r="G2666" s="457">
        <f>SUM(G2663:G2665)</f>
        <v>26350</v>
      </c>
      <c r="H2666" s="457"/>
    </row>
    <row r="2667" spans="1:8">
      <c r="B2667" s="855"/>
      <c r="C2667" s="855"/>
      <c r="D2667" s="857" t="s">
        <v>573</v>
      </c>
      <c r="E2667" s="857"/>
      <c r="F2667" s="857"/>
      <c r="G2667" s="457">
        <f>INT(15%*G2666*100)/100</f>
        <v>3952.5</v>
      </c>
      <c r="H2667" s="457"/>
    </row>
    <row r="2668" spans="1:8">
      <c r="B2668" s="855"/>
      <c r="C2668" s="855"/>
      <c r="D2668" s="856" t="s">
        <v>47</v>
      </c>
      <c r="E2668" s="856"/>
      <c r="F2668" s="856"/>
      <c r="G2668" s="457">
        <f>SUM(G2666:G2667)</f>
        <v>30302.5</v>
      </c>
      <c r="H2668" s="457"/>
    </row>
    <row r="2669" spans="1:8" s="605" customFormat="1" ht="30" customHeight="1">
      <c r="A2669" s="603">
        <v>10.38</v>
      </c>
      <c r="B2669" s="604" t="s">
        <v>487</v>
      </c>
      <c r="C2669" s="891" t="s">
        <v>1578</v>
      </c>
      <c r="D2669" s="892"/>
      <c r="E2669" s="892"/>
      <c r="F2669" s="447" t="s">
        <v>50</v>
      </c>
      <c r="G2669" s="447">
        <f>TRUNC(G2675/100,2)</f>
        <v>108.49</v>
      </c>
      <c r="H2669" s="448">
        <f>TRUNC(G2677/100,2)</f>
        <v>124.77</v>
      </c>
    </row>
    <row r="2670" spans="1:8">
      <c r="B2670" s="450" t="s">
        <v>80</v>
      </c>
      <c r="C2670" s="451" t="s">
        <v>81</v>
      </c>
      <c r="D2670" s="451" t="s">
        <v>44</v>
      </c>
      <c r="E2670" s="451" t="s">
        <v>45</v>
      </c>
      <c r="F2670" s="452" t="s">
        <v>58</v>
      </c>
      <c r="G2670" s="452" t="s">
        <v>59</v>
      </c>
      <c r="H2670" s="452" t="s">
        <v>52</v>
      </c>
    </row>
    <row r="2671" spans="1:8">
      <c r="B2671" s="864" t="s">
        <v>60</v>
      </c>
      <c r="C2671" s="484" t="s">
        <v>69</v>
      </c>
      <c r="D2671" s="528">
        <v>3.75</v>
      </c>
      <c r="E2671" s="451" t="s">
        <v>46</v>
      </c>
      <c r="F2671" s="457">
        <f>F2663</f>
        <v>1200</v>
      </c>
      <c r="G2671" s="457">
        <f>INT(D2671*F2671*100)/100</f>
        <v>4500</v>
      </c>
      <c r="H2671" s="457"/>
    </row>
    <row r="2672" spans="1:8">
      <c r="B2672" s="865"/>
      <c r="C2672" s="484" t="s">
        <v>43</v>
      </c>
      <c r="D2672" s="528">
        <v>3.75</v>
      </c>
      <c r="E2672" s="451" t="s">
        <v>46</v>
      </c>
      <c r="F2672" s="457">
        <f>F2664</f>
        <v>870</v>
      </c>
      <c r="G2672" s="457">
        <f>INT(D2672*F2672*100)/100</f>
        <v>3262.5</v>
      </c>
      <c r="H2672" s="457"/>
    </row>
    <row r="2673" spans="1:8">
      <c r="B2673" s="868" t="s">
        <v>63</v>
      </c>
      <c r="C2673" s="484" t="s">
        <v>118</v>
      </c>
      <c r="D2673" s="528">
        <v>5.38</v>
      </c>
      <c r="E2673" s="451" t="s">
        <v>107</v>
      </c>
      <c r="F2673" s="457">
        <f>'Basic Rate'!F19</f>
        <v>561</v>
      </c>
      <c r="G2673" s="457">
        <f>INT(D2673*F2673*100)/100</f>
        <v>3018.18</v>
      </c>
      <c r="H2673" s="457"/>
    </row>
    <row r="2674" spans="1:8">
      <c r="B2674" s="865"/>
      <c r="C2674" s="484" t="s">
        <v>117</v>
      </c>
      <c r="D2674" s="528">
        <v>3</v>
      </c>
      <c r="E2674" s="451" t="s">
        <v>46</v>
      </c>
      <c r="F2674" s="457">
        <f>'Basic Rate'!F176</f>
        <v>23</v>
      </c>
      <c r="G2674" s="457">
        <f>INT(D2674*F2674*100)/100</f>
        <v>69</v>
      </c>
      <c r="H2674" s="457"/>
    </row>
    <row r="2675" spans="1:8">
      <c r="B2675" s="855" t="s">
        <v>172</v>
      </c>
      <c r="C2675" s="855"/>
      <c r="D2675" s="856" t="s">
        <v>61</v>
      </c>
      <c r="E2675" s="856"/>
      <c r="F2675" s="856"/>
      <c r="G2675" s="457">
        <f>SUM(G2671:G2674)</f>
        <v>10849.68</v>
      </c>
      <c r="H2675" s="457"/>
    </row>
    <row r="2676" spans="1:8">
      <c r="B2676" s="855"/>
      <c r="C2676" s="855"/>
      <c r="D2676" s="857" t="s">
        <v>573</v>
      </c>
      <c r="E2676" s="857"/>
      <c r="F2676" s="857"/>
      <c r="G2676" s="457">
        <f>INT(15%*G2675*100)/100</f>
        <v>1627.45</v>
      </c>
      <c r="H2676" s="457"/>
    </row>
    <row r="2677" spans="1:8">
      <c r="B2677" s="855"/>
      <c r="C2677" s="855"/>
      <c r="D2677" s="856" t="s">
        <v>47</v>
      </c>
      <c r="E2677" s="856"/>
      <c r="F2677" s="856"/>
      <c r="G2677" s="457">
        <f>SUM(G2675:G2676)</f>
        <v>12477.130000000001</v>
      </c>
      <c r="H2677" s="457"/>
    </row>
    <row r="2678" spans="1:8" s="605" customFormat="1" ht="24" customHeight="1">
      <c r="A2678" s="603">
        <v>10.39</v>
      </c>
      <c r="B2678" s="604" t="s">
        <v>488</v>
      </c>
      <c r="C2678" s="891" t="s">
        <v>1579</v>
      </c>
      <c r="D2678" s="892"/>
      <c r="E2678" s="892"/>
      <c r="F2678" s="447" t="s">
        <v>50</v>
      </c>
      <c r="G2678" s="447">
        <f>TRUNC(G2684/100,2)</f>
        <v>221.7</v>
      </c>
      <c r="H2678" s="448">
        <f>TRUNC(G2686/100,2)</f>
        <v>254.96</v>
      </c>
    </row>
    <row r="2679" spans="1:8">
      <c r="B2679" s="450" t="s">
        <v>80</v>
      </c>
      <c r="C2679" s="451" t="s">
        <v>81</v>
      </c>
      <c r="D2679" s="451" t="s">
        <v>44</v>
      </c>
      <c r="E2679" s="451" t="s">
        <v>45</v>
      </c>
      <c r="F2679" s="452" t="s">
        <v>58</v>
      </c>
      <c r="G2679" s="452" t="s">
        <v>59</v>
      </c>
      <c r="H2679" s="452" t="s">
        <v>52</v>
      </c>
    </row>
    <row r="2680" spans="1:8">
      <c r="B2680" s="864" t="s">
        <v>60</v>
      </c>
      <c r="C2680" s="484" t="s">
        <v>69</v>
      </c>
      <c r="D2680" s="528">
        <v>7.75</v>
      </c>
      <c r="E2680" s="451" t="s">
        <v>46</v>
      </c>
      <c r="F2680" s="457">
        <f>F2671</f>
        <v>1200</v>
      </c>
      <c r="G2680" s="457">
        <f>INT(D2680*F2680*100)/100</f>
        <v>9300</v>
      </c>
      <c r="H2680" s="457"/>
    </row>
    <row r="2681" spans="1:8">
      <c r="B2681" s="865"/>
      <c r="C2681" s="484" t="s">
        <v>43</v>
      </c>
      <c r="D2681" s="528">
        <v>7.75</v>
      </c>
      <c r="E2681" s="451" t="s">
        <v>46</v>
      </c>
      <c r="F2681" s="457">
        <f>F2672</f>
        <v>870</v>
      </c>
      <c r="G2681" s="457">
        <f>INT(D2681*F2681*100)/100</f>
        <v>6742.5</v>
      </c>
      <c r="H2681" s="457"/>
    </row>
    <row r="2682" spans="1:8">
      <c r="B2682" s="868" t="s">
        <v>63</v>
      </c>
      <c r="C2682" s="484" t="s">
        <v>118</v>
      </c>
      <c r="D2682" s="528">
        <v>10.76</v>
      </c>
      <c r="E2682" s="451" t="s">
        <v>107</v>
      </c>
      <c r="F2682" s="457">
        <f>F2673</f>
        <v>561</v>
      </c>
      <c r="G2682" s="457">
        <f>INT(D2682*F2682*100)/100</f>
        <v>6036.36</v>
      </c>
      <c r="H2682" s="457"/>
    </row>
    <row r="2683" spans="1:8">
      <c r="B2683" s="865"/>
      <c r="C2683" s="484" t="s">
        <v>117</v>
      </c>
      <c r="D2683" s="528">
        <v>4</v>
      </c>
      <c r="E2683" s="451" t="s">
        <v>46</v>
      </c>
      <c r="F2683" s="457">
        <f>F2674</f>
        <v>23</v>
      </c>
      <c r="G2683" s="457">
        <f>INT(D2683*F2683*100)/100</f>
        <v>92</v>
      </c>
      <c r="H2683" s="457"/>
    </row>
    <row r="2684" spans="1:8">
      <c r="B2684" s="855" t="s">
        <v>172</v>
      </c>
      <c r="C2684" s="855"/>
      <c r="D2684" s="856" t="s">
        <v>61</v>
      </c>
      <c r="E2684" s="856"/>
      <c r="F2684" s="856"/>
      <c r="G2684" s="457">
        <f>SUM(G2680:G2683)</f>
        <v>22170.86</v>
      </c>
      <c r="H2684" s="457"/>
    </row>
    <row r="2685" spans="1:8">
      <c r="B2685" s="855"/>
      <c r="C2685" s="855"/>
      <c r="D2685" s="857" t="s">
        <v>573</v>
      </c>
      <c r="E2685" s="857"/>
      <c r="F2685" s="857"/>
      <c r="G2685" s="457">
        <f>INT(15%*G2684*100)/100</f>
        <v>3325.62</v>
      </c>
      <c r="H2685" s="457"/>
    </row>
    <row r="2686" spans="1:8">
      <c r="B2686" s="855"/>
      <c r="C2686" s="855"/>
      <c r="D2686" s="856" t="s">
        <v>47</v>
      </c>
      <c r="E2686" s="856"/>
      <c r="F2686" s="856"/>
      <c r="G2686" s="457">
        <f>SUM(G2684:G2685)</f>
        <v>25496.48</v>
      </c>
      <c r="H2686" s="457"/>
    </row>
    <row r="2687" spans="1:8">
      <c r="C2687" s="459"/>
      <c r="F2687" s="462"/>
      <c r="G2687" s="460"/>
      <c r="H2687" s="460"/>
    </row>
    <row r="2688" spans="1:8" s="605" customFormat="1" ht="13.8">
      <c r="A2688" s="603">
        <v>10.4</v>
      </c>
      <c r="B2688" s="604" t="s">
        <v>489</v>
      </c>
      <c r="C2688" s="891" t="s">
        <v>1580</v>
      </c>
      <c r="D2688" s="892"/>
      <c r="E2688" s="892"/>
      <c r="F2688" s="447" t="s">
        <v>50</v>
      </c>
      <c r="G2688" s="447">
        <f>TRUNC(G2693/100,2)</f>
        <v>98.23</v>
      </c>
      <c r="H2688" s="448">
        <f>TRUNC(G2695/100,2)</f>
        <v>112.97</v>
      </c>
    </row>
    <row r="2689" spans="1:8">
      <c r="B2689" s="450" t="s">
        <v>80</v>
      </c>
      <c r="C2689" s="451" t="s">
        <v>81</v>
      </c>
      <c r="D2689" s="451" t="s">
        <v>44</v>
      </c>
      <c r="E2689" s="451" t="s">
        <v>45</v>
      </c>
      <c r="F2689" s="452" t="s">
        <v>58</v>
      </c>
      <c r="G2689" s="452" t="s">
        <v>59</v>
      </c>
      <c r="H2689" s="452" t="s">
        <v>52</v>
      </c>
    </row>
    <row r="2690" spans="1:8">
      <c r="B2690" s="864" t="s">
        <v>60</v>
      </c>
      <c r="C2690" s="484" t="s">
        <v>69</v>
      </c>
      <c r="D2690" s="528">
        <v>4.33</v>
      </c>
      <c r="E2690" s="451" t="s">
        <v>46</v>
      </c>
      <c r="F2690" s="457">
        <f>F2680</f>
        <v>1200</v>
      </c>
      <c r="G2690" s="457">
        <f>INT(D2690*F2690*100)/100</f>
        <v>5196</v>
      </c>
      <c r="H2690" s="457"/>
    </row>
    <row r="2691" spans="1:8">
      <c r="B2691" s="865"/>
      <c r="C2691" s="484" t="s">
        <v>43</v>
      </c>
      <c r="D2691" s="528">
        <v>4</v>
      </c>
      <c r="E2691" s="451" t="s">
        <v>46</v>
      </c>
      <c r="F2691" s="457">
        <f>F2681</f>
        <v>870</v>
      </c>
      <c r="G2691" s="457">
        <f>INT(D2691*F2691*100)/100</f>
        <v>3480</v>
      </c>
      <c r="H2691" s="457"/>
    </row>
    <row r="2692" spans="1:8">
      <c r="B2692" s="628" t="s">
        <v>63</v>
      </c>
      <c r="C2692" s="484" t="s">
        <v>119</v>
      </c>
      <c r="D2692" s="528">
        <v>7.5</v>
      </c>
      <c r="E2692" s="451" t="s">
        <v>107</v>
      </c>
      <c r="F2692" s="457">
        <f>'Basic Rate'!F165</f>
        <v>153</v>
      </c>
      <c r="G2692" s="457">
        <f>INT(D2692*F2692*100)/100</f>
        <v>1147.5</v>
      </c>
      <c r="H2692" s="457"/>
    </row>
    <row r="2693" spans="1:8">
      <c r="B2693" s="855" t="s">
        <v>172</v>
      </c>
      <c r="C2693" s="855"/>
      <c r="D2693" s="856" t="s">
        <v>61</v>
      </c>
      <c r="E2693" s="856"/>
      <c r="F2693" s="856"/>
      <c r="G2693" s="457">
        <f>SUM(G2690:G2692)</f>
        <v>9823.5</v>
      </c>
      <c r="H2693" s="457"/>
    </row>
    <row r="2694" spans="1:8">
      <c r="B2694" s="855"/>
      <c r="C2694" s="855"/>
      <c r="D2694" s="857" t="s">
        <v>573</v>
      </c>
      <c r="E2694" s="857"/>
      <c r="F2694" s="857"/>
      <c r="G2694" s="457">
        <f>INT(15%*G2693*100)/100</f>
        <v>1473.52</v>
      </c>
      <c r="H2694" s="457"/>
    </row>
    <row r="2695" spans="1:8">
      <c r="B2695" s="855"/>
      <c r="C2695" s="855"/>
      <c r="D2695" s="856" t="s">
        <v>47</v>
      </c>
      <c r="E2695" s="856"/>
      <c r="F2695" s="856"/>
      <c r="G2695" s="457">
        <f>SUM(G2693:G2694)</f>
        <v>11297.02</v>
      </c>
      <c r="H2695" s="457"/>
    </row>
    <row r="2696" spans="1:8">
      <c r="B2696" s="458"/>
      <c r="C2696" s="458"/>
      <c r="F2696" s="459"/>
      <c r="G2696" s="460"/>
      <c r="H2696" s="460"/>
    </row>
    <row r="2697" spans="1:8" s="605" customFormat="1" ht="13.8">
      <c r="A2697" s="603">
        <v>10.41</v>
      </c>
      <c r="B2697" s="604" t="s">
        <v>490</v>
      </c>
      <c r="C2697" s="891" t="s">
        <v>1581</v>
      </c>
      <c r="D2697" s="892"/>
      <c r="E2697" s="892"/>
      <c r="F2697" s="447" t="s">
        <v>50</v>
      </c>
      <c r="G2697" s="447">
        <f>TRUNC(G2702/100,2)</f>
        <v>196.59</v>
      </c>
      <c r="H2697" s="448">
        <f>TRUNC(G2704/100,2)</f>
        <v>226.07</v>
      </c>
    </row>
    <row r="2698" spans="1:8">
      <c r="B2698" s="450" t="s">
        <v>80</v>
      </c>
      <c r="C2698" s="451" t="s">
        <v>81</v>
      </c>
      <c r="D2698" s="451" t="s">
        <v>44</v>
      </c>
      <c r="E2698" s="451" t="s">
        <v>45</v>
      </c>
      <c r="F2698" s="452" t="s">
        <v>58</v>
      </c>
      <c r="G2698" s="452" t="s">
        <v>59</v>
      </c>
      <c r="H2698" s="452" t="s">
        <v>52</v>
      </c>
    </row>
    <row r="2699" spans="1:8">
      <c r="B2699" s="864" t="s">
        <v>60</v>
      </c>
      <c r="C2699" s="484" t="s">
        <v>69</v>
      </c>
      <c r="D2699" s="528">
        <v>8.67</v>
      </c>
      <c r="E2699" s="451" t="s">
        <v>46</v>
      </c>
      <c r="F2699" s="457">
        <f>F2690</f>
        <v>1200</v>
      </c>
      <c r="G2699" s="457">
        <f>INT(D2699*F2699*100)/100</f>
        <v>10404</v>
      </c>
      <c r="H2699" s="457"/>
    </row>
    <row r="2700" spans="1:8">
      <c r="B2700" s="865"/>
      <c r="C2700" s="484" t="s">
        <v>43</v>
      </c>
      <c r="D2700" s="528">
        <v>8</v>
      </c>
      <c r="E2700" s="451" t="s">
        <v>46</v>
      </c>
      <c r="F2700" s="457">
        <f>F2691</f>
        <v>870</v>
      </c>
      <c r="G2700" s="457">
        <f>INT(D2700*F2700*100)/100</f>
        <v>6960</v>
      </c>
      <c r="H2700" s="457"/>
    </row>
    <row r="2701" spans="1:8">
      <c r="B2701" s="628" t="s">
        <v>63</v>
      </c>
      <c r="C2701" s="484" t="s">
        <v>119</v>
      </c>
      <c r="D2701" s="528">
        <v>15</v>
      </c>
      <c r="E2701" s="451" t="s">
        <v>107</v>
      </c>
      <c r="F2701" s="457">
        <f>F2692</f>
        <v>153</v>
      </c>
      <c r="G2701" s="457">
        <f>INT(D2701*F2701*100)/100</f>
        <v>2295</v>
      </c>
      <c r="H2701" s="457"/>
    </row>
    <row r="2702" spans="1:8">
      <c r="B2702" s="855" t="s">
        <v>172</v>
      </c>
      <c r="C2702" s="855"/>
      <c r="D2702" s="856" t="s">
        <v>61</v>
      </c>
      <c r="E2702" s="856"/>
      <c r="F2702" s="856"/>
      <c r="G2702" s="457">
        <f>SUM(G2699:G2701)</f>
        <v>19659</v>
      </c>
      <c r="H2702" s="457"/>
    </row>
    <row r="2703" spans="1:8">
      <c r="B2703" s="855"/>
      <c r="C2703" s="855"/>
      <c r="D2703" s="857" t="s">
        <v>573</v>
      </c>
      <c r="E2703" s="857"/>
      <c r="F2703" s="857"/>
      <c r="G2703" s="457">
        <f>INT(15%*G2702*100)/100</f>
        <v>2948.85</v>
      </c>
      <c r="H2703" s="457"/>
    </row>
    <row r="2704" spans="1:8">
      <c r="B2704" s="855"/>
      <c r="C2704" s="855"/>
      <c r="D2704" s="856" t="s">
        <v>47</v>
      </c>
      <c r="E2704" s="856"/>
      <c r="F2704" s="856"/>
      <c r="G2704" s="457">
        <f>SUM(G2702:G2703)</f>
        <v>22607.85</v>
      </c>
      <c r="H2704" s="457"/>
    </row>
    <row r="2705" spans="1:8">
      <c r="B2705" s="458"/>
      <c r="C2705" s="458"/>
      <c r="F2705" s="459"/>
      <c r="G2705" s="460"/>
      <c r="H2705" s="460"/>
    </row>
    <row r="2706" spans="1:8" s="605" customFormat="1" ht="13.8">
      <c r="A2706" s="603">
        <v>10.44</v>
      </c>
      <c r="B2706" s="604" t="s">
        <v>491</v>
      </c>
      <c r="C2706" s="891" t="s">
        <v>1582</v>
      </c>
      <c r="D2706" s="892"/>
      <c r="E2706" s="892"/>
      <c r="F2706" s="447" t="s">
        <v>50</v>
      </c>
      <c r="G2706" s="447">
        <f>TRUNC(G2712/100,2)</f>
        <v>169.1</v>
      </c>
      <c r="H2706" s="448">
        <f>TRUNC(G2714/100,2)</f>
        <v>194.46</v>
      </c>
    </row>
    <row r="2707" spans="1:8">
      <c r="B2707" s="450" t="s">
        <v>80</v>
      </c>
      <c r="C2707" s="451" t="s">
        <v>81</v>
      </c>
      <c r="D2707" s="451" t="s">
        <v>44</v>
      </c>
      <c r="E2707" s="451" t="s">
        <v>45</v>
      </c>
      <c r="F2707" s="452" t="s">
        <v>58</v>
      </c>
      <c r="G2707" s="452" t="s">
        <v>59</v>
      </c>
      <c r="H2707" s="452" t="s">
        <v>52</v>
      </c>
    </row>
    <row r="2708" spans="1:8">
      <c r="B2708" s="864" t="s">
        <v>60</v>
      </c>
      <c r="C2708" s="484" t="s">
        <v>69</v>
      </c>
      <c r="D2708" s="588">
        <v>5.8</v>
      </c>
      <c r="E2708" s="451" t="s">
        <v>46</v>
      </c>
      <c r="F2708" s="457">
        <f>F2699</f>
        <v>1200</v>
      </c>
      <c r="G2708" s="457">
        <f>INT(D2708*F2708*100)/100</f>
        <v>6960</v>
      </c>
      <c r="H2708" s="457"/>
    </row>
    <row r="2709" spans="1:8">
      <c r="B2709" s="865"/>
      <c r="C2709" s="484" t="s">
        <v>43</v>
      </c>
      <c r="D2709" s="588">
        <v>5.8</v>
      </c>
      <c r="E2709" s="451" t="s">
        <v>46</v>
      </c>
      <c r="F2709" s="457">
        <f>F2700</f>
        <v>870</v>
      </c>
      <c r="G2709" s="457">
        <f>INT(D2709*F2709*100)/100</f>
        <v>5046</v>
      </c>
      <c r="H2709" s="457"/>
    </row>
    <row r="2710" spans="1:8">
      <c r="B2710" s="864" t="s">
        <v>63</v>
      </c>
      <c r="C2710" s="484" t="s">
        <v>210</v>
      </c>
      <c r="D2710" s="588">
        <v>8</v>
      </c>
      <c r="E2710" s="451" t="s">
        <v>107</v>
      </c>
      <c r="F2710" s="457">
        <f>'Basic Rate'!$F$65</f>
        <v>173</v>
      </c>
      <c r="G2710" s="457">
        <f>INT(D2710*F2710*100)/100</f>
        <v>1384</v>
      </c>
      <c r="H2710" s="457"/>
    </row>
    <row r="2711" spans="1:8">
      <c r="B2711" s="865"/>
      <c r="C2711" s="484" t="s">
        <v>143</v>
      </c>
      <c r="D2711" s="588">
        <v>16</v>
      </c>
      <c r="E2711" s="451" t="s">
        <v>74</v>
      </c>
      <c r="F2711" s="457">
        <f>'Basic Rate'!$F$66</f>
        <v>220</v>
      </c>
      <c r="G2711" s="457">
        <f>INT(D2711*F2711*100)/100</f>
        <v>3520</v>
      </c>
      <c r="H2711" s="457"/>
    </row>
    <row r="2712" spans="1:8">
      <c r="B2712" s="855" t="s">
        <v>172</v>
      </c>
      <c r="C2712" s="855"/>
      <c r="D2712" s="856" t="s">
        <v>61</v>
      </c>
      <c r="E2712" s="856"/>
      <c r="F2712" s="856"/>
      <c r="G2712" s="457">
        <f>SUM(G2708:G2711)</f>
        <v>16910</v>
      </c>
      <c r="H2712" s="457"/>
    </row>
    <row r="2713" spans="1:8">
      <c r="B2713" s="855"/>
      <c r="C2713" s="855"/>
      <c r="D2713" s="857" t="s">
        <v>573</v>
      </c>
      <c r="E2713" s="857"/>
      <c r="F2713" s="857"/>
      <c r="G2713" s="457">
        <f>INT(15%*G2712*100)/100</f>
        <v>2536.5</v>
      </c>
      <c r="H2713" s="457"/>
    </row>
    <row r="2714" spans="1:8">
      <c r="B2714" s="855"/>
      <c r="C2714" s="855"/>
      <c r="D2714" s="856" t="s">
        <v>47</v>
      </c>
      <c r="E2714" s="856"/>
      <c r="F2714" s="856"/>
      <c r="G2714" s="457">
        <f>SUM(G2712:G2713)</f>
        <v>19446.5</v>
      </c>
      <c r="H2714" s="457"/>
    </row>
    <row r="2715" spans="1:8" ht="13.65" customHeight="1">
      <c r="A2715" s="916" t="s">
        <v>492</v>
      </c>
      <c r="B2715" s="916"/>
      <c r="C2715" s="916"/>
      <c r="D2715" s="916"/>
      <c r="E2715" s="916"/>
      <c r="F2715" s="916"/>
      <c r="G2715" s="916"/>
      <c r="H2715" s="916"/>
    </row>
    <row r="2717" spans="1:8" s="605" customFormat="1" ht="26.25" customHeight="1">
      <c r="A2717" s="603">
        <v>11.01</v>
      </c>
      <c r="B2717" s="604" t="s">
        <v>493</v>
      </c>
      <c r="C2717" s="891" t="s">
        <v>1583</v>
      </c>
      <c r="D2717" s="892"/>
      <c r="E2717" s="892"/>
      <c r="F2717" s="610" t="s">
        <v>50</v>
      </c>
      <c r="G2717" s="610">
        <f>TRUNC(G2724/10,2)</f>
        <v>412.5</v>
      </c>
      <c r="H2717" s="610">
        <f>TRUNC(G2726/10,2)</f>
        <v>474.37</v>
      </c>
    </row>
    <row r="2718" spans="1:8">
      <c r="B2718" s="450" t="s">
        <v>80</v>
      </c>
      <c r="C2718" s="451" t="s">
        <v>81</v>
      </c>
      <c r="D2718" s="451" t="s">
        <v>44</v>
      </c>
      <c r="E2718" s="451" t="s">
        <v>45</v>
      </c>
      <c r="F2718" s="452" t="s">
        <v>58</v>
      </c>
      <c r="G2718" s="452" t="s">
        <v>59</v>
      </c>
      <c r="H2718" s="452" t="s">
        <v>52</v>
      </c>
    </row>
    <row r="2719" spans="1:8">
      <c r="B2719" s="864" t="s">
        <v>60</v>
      </c>
      <c r="C2719" s="484" t="s">
        <v>69</v>
      </c>
      <c r="D2719" s="488">
        <v>0.75</v>
      </c>
      <c r="E2719" s="451" t="s">
        <v>46</v>
      </c>
      <c r="F2719" s="457">
        <f>F2708</f>
        <v>1200</v>
      </c>
      <c r="G2719" s="457">
        <f>INT(D2719*F2719*100)/100</f>
        <v>900</v>
      </c>
      <c r="H2719" s="457"/>
    </row>
    <row r="2720" spans="1:8">
      <c r="B2720" s="865"/>
      <c r="C2720" s="484" t="s">
        <v>43</v>
      </c>
      <c r="D2720" s="488">
        <v>0.8</v>
      </c>
      <c r="E2720" s="451" t="s">
        <v>46</v>
      </c>
      <c r="F2720" s="457">
        <f>F2709</f>
        <v>870</v>
      </c>
      <c r="G2720" s="457">
        <f>INT(D2720*F2720*100)/100</f>
        <v>696</v>
      </c>
      <c r="H2720" s="457"/>
    </row>
    <row r="2721" spans="1:8">
      <c r="B2721" s="864" t="s">
        <v>63</v>
      </c>
      <c r="C2721" s="484" t="s">
        <v>70</v>
      </c>
      <c r="D2721" s="488">
        <v>0.13500000000000001</v>
      </c>
      <c r="E2721" s="451" t="s">
        <v>71</v>
      </c>
      <c r="F2721" s="457">
        <f>'Basic Rate'!F35</f>
        <v>14000</v>
      </c>
      <c r="G2721" s="457">
        <f>INT(D2721*F2721*100)/100</f>
        <v>1890</v>
      </c>
      <c r="H2721" s="457"/>
    </row>
    <row r="2722" spans="1:8">
      <c r="B2722" s="868"/>
      <c r="C2722" s="528" t="str">
        <f>C2098</f>
        <v xml:space="preserve">Sand  river washed </v>
      </c>
      <c r="D2722" s="488">
        <v>0.18</v>
      </c>
      <c r="E2722" s="456" t="s">
        <v>68</v>
      </c>
      <c r="F2722" s="457">
        <f>'Basic Rate'!F174</f>
        <v>1930</v>
      </c>
      <c r="G2722" s="457">
        <f>INT(D2722*F2722*100)/100</f>
        <v>347.4</v>
      </c>
      <c r="H2722" s="457"/>
    </row>
    <row r="2723" spans="1:8">
      <c r="B2723" s="865"/>
      <c r="C2723" s="484" t="s">
        <v>209</v>
      </c>
      <c r="D2723" s="488">
        <v>2.7</v>
      </c>
      <c r="E2723" s="451" t="s">
        <v>74</v>
      </c>
      <c r="F2723" s="457">
        <f>'Basic Rate'!F214</f>
        <v>108</v>
      </c>
      <c r="G2723" s="457">
        <f>INT(D2723*F2723*100)/100</f>
        <v>291.60000000000002</v>
      </c>
      <c r="H2723" s="457"/>
    </row>
    <row r="2724" spans="1:8">
      <c r="B2724" s="855" t="s">
        <v>165</v>
      </c>
      <c r="C2724" s="855"/>
      <c r="D2724" s="858" t="s">
        <v>61</v>
      </c>
      <c r="E2724" s="859"/>
      <c r="F2724" s="860"/>
      <c r="G2724" s="457">
        <f>SUM(G2719:G2723)</f>
        <v>4125</v>
      </c>
      <c r="H2724" s="457"/>
    </row>
    <row r="2725" spans="1:8" ht="12.75" customHeight="1">
      <c r="B2725" s="855"/>
      <c r="C2725" s="855"/>
      <c r="D2725" s="861" t="s">
        <v>573</v>
      </c>
      <c r="E2725" s="862"/>
      <c r="F2725" s="863"/>
      <c r="G2725" s="457">
        <f>INT(15%*G2724*100)/100</f>
        <v>618.75</v>
      </c>
      <c r="H2725" s="457"/>
    </row>
    <row r="2726" spans="1:8" ht="12.75" customHeight="1">
      <c r="B2726" s="855"/>
      <c r="C2726" s="855"/>
      <c r="D2726" s="858" t="s">
        <v>47</v>
      </c>
      <c r="E2726" s="859"/>
      <c r="F2726" s="860"/>
      <c r="G2726" s="457">
        <f>SUM(G2724:G2725)</f>
        <v>4743.75</v>
      </c>
      <c r="H2726" s="457"/>
    </row>
    <row r="2727" spans="1:8">
      <c r="F2727" s="462"/>
    </row>
    <row r="2728" spans="1:8" s="605" customFormat="1" ht="24.75" customHeight="1">
      <c r="A2728" s="603">
        <v>11.02</v>
      </c>
      <c r="B2728" s="604" t="s">
        <v>494</v>
      </c>
      <c r="C2728" s="891" t="s">
        <v>1584</v>
      </c>
      <c r="D2728" s="892"/>
      <c r="E2728" s="892"/>
      <c r="F2728" s="610" t="s">
        <v>50</v>
      </c>
      <c r="G2728" s="610">
        <f>TRUNC(G2736/10,2)</f>
        <v>478.1</v>
      </c>
      <c r="H2728" s="610">
        <f>TRUNC(G2738/10,2)</f>
        <v>549.82000000000005</v>
      </c>
    </row>
    <row r="2729" spans="1:8">
      <c r="B2729" s="450" t="s">
        <v>80</v>
      </c>
      <c r="C2729" s="451" t="s">
        <v>81</v>
      </c>
      <c r="D2729" s="451" t="s">
        <v>44</v>
      </c>
      <c r="E2729" s="451" t="s">
        <v>45</v>
      </c>
      <c r="F2729" s="452" t="s">
        <v>58</v>
      </c>
      <c r="G2729" s="452" t="s">
        <v>59</v>
      </c>
      <c r="H2729" s="452" t="s">
        <v>52</v>
      </c>
    </row>
    <row r="2730" spans="1:8">
      <c r="B2730" s="864" t="s">
        <v>60</v>
      </c>
      <c r="C2730" s="484" t="s">
        <v>69</v>
      </c>
      <c r="D2730" s="512">
        <v>1</v>
      </c>
      <c r="E2730" s="451" t="s">
        <v>46</v>
      </c>
      <c r="F2730" s="457">
        <f>F2719</f>
        <v>1200</v>
      </c>
      <c r="G2730" s="457">
        <f t="shared" ref="G2730:G2735" si="117">INT(D2730*F2730*100)/100</f>
        <v>1200</v>
      </c>
      <c r="H2730" s="457"/>
    </row>
    <row r="2731" spans="1:8">
      <c r="B2731" s="865"/>
      <c r="C2731" s="484" t="s">
        <v>43</v>
      </c>
      <c r="D2731" s="512">
        <v>1.25</v>
      </c>
      <c r="E2731" s="451" t="s">
        <v>46</v>
      </c>
      <c r="F2731" s="457">
        <f>F2720</f>
        <v>870</v>
      </c>
      <c r="G2731" s="457">
        <f t="shared" si="117"/>
        <v>1087.5</v>
      </c>
      <c r="H2731" s="457"/>
    </row>
    <row r="2732" spans="1:8">
      <c r="B2732" s="864" t="s">
        <v>63</v>
      </c>
      <c r="C2732" s="484" t="s">
        <v>70</v>
      </c>
      <c r="D2732" s="512">
        <v>0.1125</v>
      </c>
      <c r="E2732" s="451" t="s">
        <v>71</v>
      </c>
      <c r="F2732" s="457">
        <f>F2721</f>
        <v>14000</v>
      </c>
      <c r="G2732" s="457">
        <f t="shared" si="117"/>
        <v>1575</v>
      </c>
      <c r="H2732" s="457"/>
    </row>
    <row r="2733" spans="1:8">
      <c r="B2733" s="868"/>
      <c r="C2733" s="528" t="str">
        <f>C2722</f>
        <v xml:space="preserve">Sand  river washed </v>
      </c>
      <c r="D2733" s="512">
        <v>0.113</v>
      </c>
      <c r="E2733" s="456" t="s">
        <v>68</v>
      </c>
      <c r="F2733" s="457">
        <f>F2722</f>
        <v>1930</v>
      </c>
      <c r="G2733" s="457">
        <f t="shared" si="117"/>
        <v>218.09</v>
      </c>
      <c r="H2733" s="457"/>
    </row>
    <row r="2734" spans="1:8">
      <c r="B2734" s="868"/>
      <c r="C2734" s="484" t="s">
        <v>933</v>
      </c>
      <c r="D2734" s="512">
        <v>0.25</v>
      </c>
      <c r="E2734" s="451" t="s">
        <v>68</v>
      </c>
      <c r="F2734" s="457">
        <f>'Basic Rate'!F14</f>
        <v>1830</v>
      </c>
      <c r="G2734" s="457">
        <f t="shared" si="117"/>
        <v>457.5</v>
      </c>
      <c r="H2734" s="457"/>
    </row>
    <row r="2735" spans="1:8">
      <c r="B2735" s="865"/>
      <c r="C2735" s="484" t="s">
        <v>209</v>
      </c>
      <c r="D2735" s="512">
        <v>2.25</v>
      </c>
      <c r="E2735" s="451" t="s">
        <v>74</v>
      </c>
      <c r="F2735" s="457">
        <f>F2723</f>
        <v>108</v>
      </c>
      <c r="G2735" s="457">
        <f t="shared" si="117"/>
        <v>243</v>
      </c>
      <c r="H2735" s="457"/>
    </row>
    <row r="2736" spans="1:8">
      <c r="B2736" s="855" t="s">
        <v>165</v>
      </c>
      <c r="C2736" s="855"/>
      <c r="D2736" s="858" t="s">
        <v>61</v>
      </c>
      <c r="E2736" s="859"/>
      <c r="F2736" s="860"/>
      <c r="G2736" s="457">
        <f>SUM(G2730:G2735)</f>
        <v>4781.09</v>
      </c>
      <c r="H2736" s="457"/>
    </row>
    <row r="2737" spans="1:8">
      <c r="B2737" s="855"/>
      <c r="C2737" s="855"/>
      <c r="D2737" s="861" t="s">
        <v>573</v>
      </c>
      <c r="E2737" s="862"/>
      <c r="F2737" s="863"/>
      <c r="G2737" s="457">
        <f>INT(15%*G2736*100)/100</f>
        <v>717.16</v>
      </c>
      <c r="H2737" s="457"/>
    </row>
    <row r="2738" spans="1:8">
      <c r="B2738" s="855"/>
      <c r="C2738" s="855"/>
      <c r="D2738" s="858" t="s">
        <v>47</v>
      </c>
      <c r="E2738" s="859"/>
      <c r="F2738" s="860"/>
      <c r="G2738" s="457">
        <f>SUM(G2736:G2737)</f>
        <v>5498.25</v>
      </c>
      <c r="H2738" s="457"/>
    </row>
    <row r="2740" spans="1:8" s="605" customFormat="1" ht="24.75" customHeight="1">
      <c r="A2740" s="603">
        <v>11.03</v>
      </c>
      <c r="B2740" s="604" t="s">
        <v>174</v>
      </c>
      <c r="C2740" s="891" t="s">
        <v>1585</v>
      </c>
      <c r="D2740" s="892"/>
      <c r="E2740" s="892"/>
      <c r="F2740" s="610" t="s">
        <v>50</v>
      </c>
      <c r="G2740" s="610">
        <f>TRUNC(G2748/10,2)</f>
        <v>588.13</v>
      </c>
      <c r="H2740" s="610">
        <f>TRUNC(G2750/10,2)</f>
        <v>676.35</v>
      </c>
    </row>
    <row r="2741" spans="1:8">
      <c r="B2741" s="450" t="s">
        <v>80</v>
      </c>
      <c r="C2741" s="451" t="s">
        <v>81</v>
      </c>
      <c r="D2741" s="451" t="s">
        <v>44</v>
      </c>
      <c r="E2741" s="451" t="s">
        <v>45</v>
      </c>
      <c r="F2741" s="452" t="s">
        <v>58</v>
      </c>
      <c r="G2741" s="452" t="s">
        <v>59</v>
      </c>
      <c r="H2741" s="452" t="s">
        <v>52</v>
      </c>
    </row>
    <row r="2742" spans="1:8">
      <c r="B2742" s="864" t="s">
        <v>60</v>
      </c>
      <c r="C2742" s="484" t="s">
        <v>69</v>
      </c>
      <c r="D2742" s="488">
        <v>1</v>
      </c>
      <c r="E2742" s="451" t="s">
        <v>46</v>
      </c>
      <c r="F2742" s="457">
        <f t="shared" ref="F2742:F2747" si="118">F2730</f>
        <v>1200</v>
      </c>
      <c r="G2742" s="457">
        <f t="shared" ref="G2742:G2747" si="119">INT(D2742*F2742*100)/100</f>
        <v>1200</v>
      </c>
      <c r="H2742" s="457"/>
    </row>
    <row r="2743" spans="1:8">
      <c r="B2743" s="865"/>
      <c r="C2743" s="484" t="s">
        <v>43</v>
      </c>
      <c r="D2743" s="488">
        <v>2</v>
      </c>
      <c r="E2743" s="451" t="s">
        <v>46</v>
      </c>
      <c r="F2743" s="457">
        <f t="shared" si="118"/>
        <v>870</v>
      </c>
      <c r="G2743" s="457">
        <f t="shared" si="119"/>
        <v>1740</v>
      </c>
      <c r="H2743" s="457"/>
    </row>
    <row r="2744" spans="1:8">
      <c r="B2744" s="864" t="s">
        <v>63</v>
      </c>
      <c r="C2744" s="484" t="s">
        <v>70</v>
      </c>
      <c r="D2744" s="488">
        <v>0.12</v>
      </c>
      <c r="E2744" s="451" t="s">
        <v>71</v>
      </c>
      <c r="F2744" s="457">
        <f t="shared" si="118"/>
        <v>14000</v>
      </c>
      <c r="G2744" s="457">
        <f t="shared" si="119"/>
        <v>1680</v>
      </c>
      <c r="H2744" s="457"/>
    </row>
    <row r="2745" spans="1:8">
      <c r="B2745" s="868"/>
      <c r="C2745" s="528" t="str">
        <f>C2733</f>
        <v xml:space="preserve">Sand  river washed </v>
      </c>
      <c r="D2745" s="488">
        <v>0.17</v>
      </c>
      <c r="E2745" s="456" t="s">
        <v>68</v>
      </c>
      <c r="F2745" s="457">
        <f t="shared" si="118"/>
        <v>1930</v>
      </c>
      <c r="G2745" s="457">
        <f t="shared" si="119"/>
        <v>328.1</v>
      </c>
      <c r="H2745" s="457"/>
    </row>
    <row r="2746" spans="1:8">
      <c r="B2746" s="868"/>
      <c r="C2746" s="484" t="s">
        <v>933</v>
      </c>
      <c r="D2746" s="488">
        <v>0.34</v>
      </c>
      <c r="E2746" s="451" t="s">
        <v>68</v>
      </c>
      <c r="F2746" s="457">
        <f t="shared" si="118"/>
        <v>1830</v>
      </c>
      <c r="G2746" s="457">
        <f t="shared" si="119"/>
        <v>622.20000000000005</v>
      </c>
      <c r="H2746" s="457"/>
    </row>
    <row r="2747" spans="1:8">
      <c r="B2747" s="865"/>
      <c r="C2747" s="484" t="s">
        <v>209</v>
      </c>
      <c r="D2747" s="488">
        <v>2.88</v>
      </c>
      <c r="E2747" s="451" t="s">
        <v>74</v>
      </c>
      <c r="F2747" s="457">
        <f t="shared" si="118"/>
        <v>108</v>
      </c>
      <c r="G2747" s="457">
        <f t="shared" si="119"/>
        <v>311.04000000000002</v>
      </c>
      <c r="H2747" s="457"/>
    </row>
    <row r="2748" spans="1:8">
      <c r="B2748" s="855" t="s">
        <v>165</v>
      </c>
      <c r="C2748" s="855"/>
      <c r="D2748" s="858" t="s">
        <v>61</v>
      </c>
      <c r="E2748" s="859"/>
      <c r="F2748" s="860"/>
      <c r="G2748" s="457">
        <f>SUM(G2742:G2747)</f>
        <v>5881.34</v>
      </c>
      <c r="H2748" s="457"/>
    </row>
    <row r="2749" spans="1:8">
      <c r="B2749" s="855"/>
      <c r="C2749" s="855"/>
      <c r="D2749" s="861" t="s">
        <v>573</v>
      </c>
      <c r="E2749" s="862"/>
      <c r="F2749" s="863"/>
      <c r="G2749" s="457">
        <f>INT(15%*G2748*100)/100</f>
        <v>882.2</v>
      </c>
      <c r="H2749" s="457"/>
    </row>
    <row r="2750" spans="1:8">
      <c r="B2750" s="855"/>
      <c r="C2750" s="855"/>
      <c r="D2750" s="858" t="s">
        <v>47</v>
      </c>
      <c r="E2750" s="859"/>
      <c r="F2750" s="860"/>
      <c r="G2750" s="457">
        <f>SUM(G2748:G2749)</f>
        <v>6763.54</v>
      </c>
      <c r="H2750" s="457"/>
    </row>
    <row r="2751" spans="1:8">
      <c r="C2751" s="444"/>
      <c r="F2751" s="462"/>
      <c r="G2751" s="460"/>
      <c r="H2751" s="460"/>
    </row>
    <row r="2752" spans="1:8" s="605" customFormat="1">
      <c r="A2752" s="603">
        <v>11.05</v>
      </c>
      <c r="B2752" s="604" t="s">
        <v>495</v>
      </c>
      <c r="C2752" s="891" t="s">
        <v>39</v>
      </c>
      <c r="D2752" s="892"/>
      <c r="E2752" s="892"/>
      <c r="F2752" s="610" t="s">
        <v>50</v>
      </c>
      <c r="G2752" s="610">
        <f>TRUNC(G2757/10,2)</f>
        <v>184.7</v>
      </c>
      <c r="H2752" s="610">
        <f>TRUNC(G2759/10,2)</f>
        <v>212.4</v>
      </c>
    </row>
    <row r="2753" spans="1:8">
      <c r="B2753" s="450" t="s">
        <v>80</v>
      </c>
      <c r="C2753" s="451" t="s">
        <v>81</v>
      </c>
      <c r="D2753" s="451" t="s">
        <v>44</v>
      </c>
      <c r="E2753" s="451" t="s">
        <v>45</v>
      </c>
      <c r="F2753" s="452" t="s">
        <v>58</v>
      </c>
      <c r="G2753" s="452" t="s">
        <v>59</v>
      </c>
      <c r="H2753" s="452" t="s">
        <v>52</v>
      </c>
    </row>
    <row r="2754" spans="1:8">
      <c r="B2754" s="864" t="s">
        <v>60</v>
      </c>
      <c r="C2754" s="484" t="s">
        <v>69</v>
      </c>
      <c r="D2754" s="488">
        <v>0.6</v>
      </c>
      <c r="E2754" s="451" t="s">
        <v>46</v>
      </c>
      <c r="F2754" s="457">
        <f>F2742</f>
        <v>1200</v>
      </c>
      <c r="G2754" s="457">
        <f>INT(D2754*F2754*100)/100</f>
        <v>720</v>
      </c>
      <c r="H2754" s="457"/>
    </row>
    <row r="2755" spans="1:8">
      <c r="B2755" s="865"/>
      <c r="C2755" s="484" t="s">
        <v>43</v>
      </c>
      <c r="D2755" s="488">
        <v>0.6</v>
      </c>
      <c r="E2755" s="451" t="s">
        <v>46</v>
      </c>
      <c r="F2755" s="457">
        <f>F2743</f>
        <v>870</v>
      </c>
      <c r="G2755" s="457">
        <f>INT(D2755*F2755*100)/100</f>
        <v>522</v>
      </c>
      <c r="H2755" s="457"/>
    </row>
    <row r="2756" spans="1:8">
      <c r="B2756" s="468" t="s">
        <v>63</v>
      </c>
      <c r="C2756" s="484" t="s">
        <v>42</v>
      </c>
      <c r="D2756" s="488">
        <v>11</v>
      </c>
      <c r="E2756" s="451" t="s">
        <v>50</v>
      </c>
      <c r="F2756" s="457">
        <f>'Basic Rate'!F158</f>
        <v>55</v>
      </c>
      <c r="G2756" s="457">
        <f>INT(D2756*F2756*100)/100</f>
        <v>605</v>
      </c>
      <c r="H2756" s="457"/>
    </row>
    <row r="2757" spans="1:8">
      <c r="B2757" s="855" t="s">
        <v>165</v>
      </c>
      <c r="C2757" s="855"/>
      <c r="D2757" s="858" t="s">
        <v>61</v>
      </c>
      <c r="E2757" s="859"/>
      <c r="F2757" s="860"/>
      <c r="G2757" s="457">
        <f>SUM(G2754:G2756)</f>
        <v>1847</v>
      </c>
      <c r="H2757" s="457"/>
    </row>
    <row r="2758" spans="1:8">
      <c r="B2758" s="855"/>
      <c r="C2758" s="855"/>
      <c r="D2758" s="861" t="s">
        <v>573</v>
      </c>
      <c r="E2758" s="862"/>
      <c r="F2758" s="863"/>
      <c r="G2758" s="457">
        <f>INT(15%*G2757*100)/100</f>
        <v>277.05</v>
      </c>
      <c r="H2758" s="457"/>
    </row>
    <row r="2759" spans="1:8">
      <c r="B2759" s="855"/>
      <c r="C2759" s="855"/>
      <c r="D2759" s="858" t="s">
        <v>47</v>
      </c>
      <c r="E2759" s="859"/>
      <c r="F2759" s="860"/>
      <c r="G2759" s="457">
        <f>SUM(G2757:G2758)</f>
        <v>2124.0500000000002</v>
      </c>
      <c r="H2759" s="457"/>
    </row>
    <row r="2761" spans="1:8" s="605" customFormat="1">
      <c r="A2761" s="603">
        <v>11.06</v>
      </c>
      <c r="B2761" s="604" t="s">
        <v>496</v>
      </c>
      <c r="C2761" s="891" t="s">
        <v>1586</v>
      </c>
      <c r="D2761" s="892"/>
      <c r="E2761" s="892"/>
      <c r="F2761" s="610" t="s">
        <v>50</v>
      </c>
      <c r="G2761" s="610">
        <f>TRUNC(G2769/10,2)</f>
        <v>808.06</v>
      </c>
      <c r="H2761" s="610">
        <f>TRUNC(G2771/10,2)</f>
        <v>929.26</v>
      </c>
    </row>
    <row r="2762" spans="1:8">
      <c r="B2762" s="450" t="s">
        <v>80</v>
      </c>
      <c r="C2762" s="451" t="s">
        <v>81</v>
      </c>
      <c r="D2762" s="451" t="s">
        <v>44</v>
      </c>
      <c r="E2762" s="451" t="s">
        <v>45</v>
      </c>
      <c r="F2762" s="452" t="s">
        <v>58</v>
      </c>
      <c r="G2762" s="452" t="s">
        <v>59</v>
      </c>
      <c r="H2762" s="452" t="s">
        <v>52</v>
      </c>
    </row>
    <row r="2763" spans="1:8">
      <c r="B2763" s="887" t="s">
        <v>60</v>
      </c>
      <c r="C2763" s="484" t="s">
        <v>69</v>
      </c>
      <c r="D2763" s="488">
        <v>1.1000000000000001</v>
      </c>
      <c r="E2763" s="451" t="s">
        <v>46</v>
      </c>
      <c r="F2763" s="457">
        <f>F2754</f>
        <v>1200</v>
      </c>
      <c r="G2763" s="457">
        <f t="shared" ref="G2763:G2768" si="120">INT(D2763*F2763*100)/100</f>
        <v>1320</v>
      </c>
      <c r="H2763" s="457"/>
    </row>
    <row r="2764" spans="1:8" ht="12.75" customHeight="1">
      <c r="B2764" s="887"/>
      <c r="C2764" s="484" t="s">
        <v>43</v>
      </c>
      <c r="D2764" s="488">
        <v>3.5</v>
      </c>
      <c r="E2764" s="451" t="s">
        <v>46</v>
      </c>
      <c r="F2764" s="457">
        <f>F2755</f>
        <v>870</v>
      </c>
      <c r="G2764" s="457">
        <f t="shared" si="120"/>
        <v>3045</v>
      </c>
      <c r="H2764" s="457"/>
    </row>
    <row r="2765" spans="1:8">
      <c r="B2765" s="887" t="s">
        <v>63</v>
      </c>
      <c r="C2765" s="484" t="s">
        <v>123</v>
      </c>
      <c r="D2765" s="488">
        <v>11</v>
      </c>
      <c r="E2765" s="451" t="s">
        <v>50</v>
      </c>
      <c r="F2765" s="457">
        <f>'Basic Rate'!F196</f>
        <v>88.8</v>
      </c>
      <c r="G2765" s="457">
        <f t="shared" si="120"/>
        <v>976.8</v>
      </c>
      <c r="H2765" s="457"/>
    </row>
    <row r="2766" spans="1:8" ht="12.75" customHeight="1">
      <c r="B2766" s="887"/>
      <c r="C2766" s="484" t="s">
        <v>732</v>
      </c>
      <c r="D2766" s="488">
        <v>15</v>
      </c>
      <c r="E2766" s="451" t="s">
        <v>74</v>
      </c>
      <c r="F2766" s="457">
        <f>'Basic Rate'!F29</f>
        <v>110.7</v>
      </c>
      <c r="G2766" s="457">
        <f t="shared" si="120"/>
        <v>1660.5</v>
      </c>
      <c r="H2766" s="457"/>
    </row>
    <row r="2767" spans="1:8" ht="12.75" customHeight="1">
      <c r="B2767" s="887"/>
      <c r="C2767" s="484" t="s">
        <v>122</v>
      </c>
      <c r="D2767" s="488">
        <v>60</v>
      </c>
      <c r="E2767" s="451" t="s">
        <v>74</v>
      </c>
      <c r="F2767" s="457">
        <f>'Basic Rate'!$F$76</f>
        <v>8</v>
      </c>
      <c r="G2767" s="457">
        <f t="shared" si="120"/>
        <v>480</v>
      </c>
      <c r="H2767" s="457"/>
    </row>
    <row r="2768" spans="1:8" ht="12.75" customHeight="1">
      <c r="B2768" s="887"/>
      <c r="C2768" s="528" t="str">
        <f>C2745</f>
        <v xml:space="preserve">Sand  river washed </v>
      </c>
      <c r="D2768" s="488">
        <v>0.31</v>
      </c>
      <c r="E2768" s="456" t="s">
        <v>68</v>
      </c>
      <c r="F2768" s="457">
        <f>'Basic Rate'!F174</f>
        <v>1930</v>
      </c>
      <c r="G2768" s="457">
        <f t="shared" si="120"/>
        <v>598.29999999999995</v>
      </c>
      <c r="H2768" s="457"/>
    </row>
    <row r="2769" spans="1:8">
      <c r="B2769" s="855" t="s">
        <v>165</v>
      </c>
      <c r="C2769" s="855"/>
      <c r="D2769" s="858" t="s">
        <v>61</v>
      </c>
      <c r="E2769" s="859"/>
      <c r="F2769" s="860"/>
      <c r="G2769" s="457">
        <f>SUM(G2763:G2768)</f>
        <v>8080.6</v>
      </c>
      <c r="H2769" s="457"/>
    </row>
    <row r="2770" spans="1:8">
      <c r="B2770" s="855"/>
      <c r="C2770" s="855"/>
      <c r="D2770" s="861" t="s">
        <v>573</v>
      </c>
      <c r="E2770" s="862"/>
      <c r="F2770" s="863"/>
      <c r="G2770" s="457">
        <f>INT(15%*G2769*100)/100</f>
        <v>1212.0899999999999</v>
      </c>
      <c r="H2770" s="457"/>
    </row>
    <row r="2771" spans="1:8">
      <c r="B2771" s="855"/>
      <c r="C2771" s="855"/>
      <c r="D2771" s="858" t="s">
        <v>47</v>
      </c>
      <c r="E2771" s="859"/>
      <c r="F2771" s="860"/>
      <c r="G2771" s="457">
        <f>SUM(G2769:G2770)</f>
        <v>9292.69</v>
      </c>
      <c r="H2771" s="457"/>
    </row>
    <row r="2773" spans="1:8" s="605" customFormat="1">
      <c r="A2773" s="603">
        <v>11.07</v>
      </c>
      <c r="B2773" s="604" t="s">
        <v>497</v>
      </c>
      <c r="C2773" s="891" t="s">
        <v>1587</v>
      </c>
      <c r="D2773" s="892"/>
      <c r="E2773" s="892"/>
      <c r="F2773" s="610" t="s">
        <v>50</v>
      </c>
      <c r="G2773" s="610">
        <f>TRUNC(G2781/10,2)</f>
        <v>1272.1400000000001</v>
      </c>
      <c r="H2773" s="610">
        <f>TRUNC(G2783/10,2)</f>
        <v>1462.96</v>
      </c>
    </row>
    <row r="2774" spans="1:8">
      <c r="B2774" s="450" t="s">
        <v>80</v>
      </c>
      <c r="C2774" s="451" t="s">
        <v>81</v>
      </c>
      <c r="D2774" s="451" t="s">
        <v>44</v>
      </c>
      <c r="E2774" s="451" t="s">
        <v>45</v>
      </c>
      <c r="F2774" s="452" t="s">
        <v>58</v>
      </c>
      <c r="G2774" s="452" t="s">
        <v>59</v>
      </c>
      <c r="H2774" s="452" t="s">
        <v>52</v>
      </c>
    </row>
    <row r="2775" spans="1:8">
      <c r="B2775" s="864" t="s">
        <v>60</v>
      </c>
      <c r="C2775" s="484" t="s">
        <v>69</v>
      </c>
      <c r="D2775" s="488">
        <v>2.2999999999999998</v>
      </c>
      <c r="E2775" s="451" t="s">
        <v>46</v>
      </c>
      <c r="F2775" s="457">
        <f t="shared" ref="F2775:F2780" si="121">F2763</f>
        <v>1200</v>
      </c>
      <c r="G2775" s="457">
        <f t="shared" ref="G2775:G2780" si="122">INT(D2775*F2775*100)/100</f>
        <v>2760</v>
      </c>
      <c r="H2775" s="457"/>
    </row>
    <row r="2776" spans="1:8">
      <c r="B2776" s="865"/>
      <c r="C2776" s="484" t="s">
        <v>43</v>
      </c>
      <c r="D2776" s="488">
        <v>4.5999999999999996</v>
      </c>
      <c r="E2776" s="451" t="s">
        <v>46</v>
      </c>
      <c r="F2776" s="457">
        <f t="shared" si="121"/>
        <v>870</v>
      </c>
      <c r="G2776" s="457">
        <f t="shared" si="122"/>
        <v>4002</v>
      </c>
      <c r="H2776" s="457"/>
    </row>
    <row r="2777" spans="1:8">
      <c r="B2777" s="864" t="s">
        <v>63</v>
      </c>
      <c r="C2777" s="484" t="s">
        <v>123</v>
      </c>
      <c r="D2777" s="488">
        <v>22</v>
      </c>
      <c r="E2777" s="451" t="s">
        <v>50</v>
      </c>
      <c r="F2777" s="457">
        <f t="shared" si="121"/>
        <v>88.8</v>
      </c>
      <c r="G2777" s="457">
        <f t="shared" si="122"/>
        <v>1953.6</v>
      </c>
      <c r="H2777" s="457"/>
    </row>
    <row r="2778" spans="1:8">
      <c r="B2778" s="868"/>
      <c r="C2778" s="484" t="s">
        <v>732</v>
      </c>
      <c r="D2778" s="488">
        <v>25</v>
      </c>
      <c r="E2778" s="451" t="s">
        <v>74</v>
      </c>
      <c r="F2778" s="457">
        <f t="shared" si="121"/>
        <v>110.7</v>
      </c>
      <c r="G2778" s="457">
        <f t="shared" si="122"/>
        <v>2767.5</v>
      </c>
      <c r="H2778" s="457"/>
    </row>
    <row r="2779" spans="1:8">
      <c r="B2779" s="868"/>
      <c r="C2779" s="484" t="s">
        <v>122</v>
      </c>
      <c r="D2779" s="488">
        <v>80</v>
      </c>
      <c r="E2779" s="451" t="s">
        <v>74</v>
      </c>
      <c r="F2779" s="457">
        <f t="shared" si="121"/>
        <v>8</v>
      </c>
      <c r="G2779" s="457">
        <f t="shared" si="122"/>
        <v>640</v>
      </c>
      <c r="H2779" s="457"/>
    </row>
    <row r="2780" spans="1:8">
      <c r="B2780" s="865"/>
      <c r="C2780" s="528" t="str">
        <f>C2768</f>
        <v xml:space="preserve">Sand  river washed </v>
      </c>
      <c r="D2780" s="488">
        <v>0.31</v>
      </c>
      <c r="E2780" s="456" t="s">
        <v>68</v>
      </c>
      <c r="F2780" s="457">
        <f t="shared" si="121"/>
        <v>1930</v>
      </c>
      <c r="G2780" s="457">
        <f t="shared" si="122"/>
        <v>598.29999999999995</v>
      </c>
      <c r="H2780" s="457"/>
    </row>
    <row r="2781" spans="1:8">
      <c r="B2781" s="855" t="s">
        <v>165</v>
      </c>
      <c r="C2781" s="855"/>
      <c r="D2781" s="858" t="s">
        <v>61</v>
      </c>
      <c r="E2781" s="859"/>
      <c r="F2781" s="860"/>
      <c r="G2781" s="457">
        <f>SUM(G2775:G2780)</f>
        <v>12721.4</v>
      </c>
      <c r="H2781" s="457"/>
    </row>
    <row r="2782" spans="1:8">
      <c r="B2782" s="855"/>
      <c r="C2782" s="855"/>
      <c r="D2782" s="861" t="s">
        <v>573</v>
      </c>
      <c r="E2782" s="862"/>
      <c r="F2782" s="863"/>
      <c r="G2782" s="457">
        <f>INT(15%*G2781*100)/100</f>
        <v>1908.21</v>
      </c>
      <c r="H2782" s="457"/>
    </row>
    <row r="2783" spans="1:8">
      <c r="B2783" s="855"/>
      <c r="C2783" s="855"/>
      <c r="D2783" s="858" t="s">
        <v>47</v>
      </c>
      <c r="E2783" s="859"/>
      <c r="F2783" s="860"/>
      <c r="G2783" s="457">
        <f>SUM(G2781:G2782)</f>
        <v>14629.61</v>
      </c>
      <c r="H2783" s="457"/>
    </row>
    <row r="2784" spans="1:8">
      <c r="B2784" s="458"/>
      <c r="C2784" s="458"/>
      <c r="F2784" s="462"/>
      <c r="G2784" s="460"/>
      <c r="H2784" s="460"/>
    </row>
    <row r="2785" spans="1:8" s="605" customFormat="1" ht="21" customHeight="1">
      <c r="A2785" s="603">
        <v>11.08</v>
      </c>
      <c r="B2785" s="604" t="s">
        <v>498</v>
      </c>
      <c r="C2785" s="891" t="s">
        <v>1588</v>
      </c>
      <c r="D2785" s="892"/>
      <c r="E2785" s="892"/>
      <c r="F2785" s="610" t="s">
        <v>50</v>
      </c>
      <c r="G2785" s="610">
        <f>TRUNC(G2793/10,2)</f>
        <v>1075.9000000000001</v>
      </c>
      <c r="H2785" s="610">
        <f>TRUNC(G2795/10,2)</f>
        <v>1237.28</v>
      </c>
    </row>
    <row r="2786" spans="1:8">
      <c r="B2786" s="450" t="s">
        <v>80</v>
      </c>
      <c r="C2786" s="451" t="s">
        <v>81</v>
      </c>
      <c r="D2786" s="451" t="s">
        <v>44</v>
      </c>
      <c r="E2786" s="451" t="s">
        <v>45</v>
      </c>
      <c r="F2786" s="452" t="s">
        <v>58</v>
      </c>
      <c r="G2786" s="452" t="s">
        <v>59</v>
      </c>
      <c r="H2786" s="452" t="s">
        <v>52</v>
      </c>
    </row>
    <row r="2787" spans="1:8">
      <c r="B2787" s="887" t="s">
        <v>60</v>
      </c>
      <c r="C2787" s="484" t="s">
        <v>69</v>
      </c>
      <c r="D2787" s="631">
        <v>2.35</v>
      </c>
      <c r="E2787" s="451" t="s">
        <v>46</v>
      </c>
      <c r="F2787" s="457">
        <f t="shared" ref="F2787:F2792" si="123">F2775</f>
        <v>1200</v>
      </c>
      <c r="G2787" s="457">
        <f t="shared" ref="G2787:G2792" si="124">INT(D2787*F2787*100)/100</f>
        <v>2820</v>
      </c>
      <c r="H2787" s="457"/>
    </row>
    <row r="2788" spans="1:8" ht="12.75" customHeight="1">
      <c r="B2788" s="887"/>
      <c r="C2788" s="484" t="s">
        <v>43</v>
      </c>
      <c r="D2788" s="631">
        <v>4.5999999999999996</v>
      </c>
      <c r="E2788" s="451" t="s">
        <v>46</v>
      </c>
      <c r="F2788" s="457">
        <f t="shared" si="123"/>
        <v>870</v>
      </c>
      <c r="G2788" s="457">
        <f t="shared" si="124"/>
        <v>4002</v>
      </c>
      <c r="H2788" s="457"/>
    </row>
    <row r="2789" spans="1:8">
      <c r="B2789" s="887" t="s">
        <v>63</v>
      </c>
      <c r="C2789" s="484" t="str">
        <f>'Basic Rate'!B63</f>
        <v>Damp proof grade tarfelt (1mx20m)=1 Role</v>
      </c>
      <c r="D2789" s="631">
        <v>11</v>
      </c>
      <c r="E2789" s="451" t="s">
        <v>50</v>
      </c>
      <c r="F2789" s="457">
        <f t="shared" si="123"/>
        <v>88.8</v>
      </c>
      <c r="G2789" s="457">
        <f t="shared" si="124"/>
        <v>976.8</v>
      </c>
      <c r="H2789" s="457"/>
    </row>
    <row r="2790" spans="1:8" ht="12.75" customHeight="1">
      <c r="B2790" s="887"/>
      <c r="C2790" s="484" t="s">
        <v>732</v>
      </c>
      <c r="D2790" s="631">
        <v>17</v>
      </c>
      <c r="E2790" s="451" t="s">
        <v>74</v>
      </c>
      <c r="F2790" s="457">
        <f t="shared" si="123"/>
        <v>110.7</v>
      </c>
      <c r="G2790" s="457">
        <f t="shared" si="124"/>
        <v>1881.9</v>
      </c>
      <c r="H2790" s="457"/>
    </row>
    <row r="2791" spans="1:8" ht="12.75" customHeight="1">
      <c r="B2791" s="887"/>
      <c r="C2791" s="484" t="s">
        <v>122</v>
      </c>
      <c r="D2791" s="631">
        <v>60</v>
      </c>
      <c r="E2791" s="451" t="s">
        <v>74</v>
      </c>
      <c r="F2791" s="457">
        <f t="shared" si="123"/>
        <v>8</v>
      </c>
      <c r="G2791" s="457">
        <f t="shared" si="124"/>
        <v>480</v>
      </c>
      <c r="H2791" s="457"/>
    </row>
    <row r="2792" spans="1:8" ht="12.75" customHeight="1">
      <c r="B2792" s="887"/>
      <c r="C2792" s="528" t="str">
        <f>C2780</f>
        <v xml:space="preserve">Sand  river washed </v>
      </c>
      <c r="D2792" s="631">
        <v>0.31</v>
      </c>
      <c r="E2792" s="456" t="s">
        <v>68</v>
      </c>
      <c r="F2792" s="457">
        <f t="shared" si="123"/>
        <v>1930</v>
      </c>
      <c r="G2792" s="457">
        <f t="shared" si="124"/>
        <v>598.29999999999995</v>
      </c>
      <c r="H2792" s="457"/>
    </row>
    <row r="2793" spans="1:8">
      <c r="B2793" s="855" t="s">
        <v>165</v>
      </c>
      <c r="C2793" s="855"/>
      <c r="D2793" s="858" t="s">
        <v>61</v>
      </c>
      <c r="E2793" s="859"/>
      <c r="F2793" s="860"/>
      <c r="G2793" s="457">
        <f>SUM(G2787:G2792)</f>
        <v>10759</v>
      </c>
      <c r="H2793" s="457"/>
    </row>
    <row r="2794" spans="1:8">
      <c r="B2794" s="855"/>
      <c r="C2794" s="855"/>
      <c r="D2794" s="861" t="s">
        <v>573</v>
      </c>
      <c r="E2794" s="862"/>
      <c r="F2794" s="863"/>
      <c r="G2794" s="457">
        <f>INT(15%*G2793*100)/100</f>
        <v>1613.85</v>
      </c>
      <c r="H2794" s="457"/>
    </row>
    <row r="2795" spans="1:8">
      <c r="B2795" s="855"/>
      <c r="C2795" s="855"/>
      <c r="D2795" s="858" t="s">
        <v>47</v>
      </c>
      <c r="E2795" s="859"/>
      <c r="F2795" s="860"/>
      <c r="G2795" s="457">
        <f>SUM(G2793:G2794)</f>
        <v>12372.85</v>
      </c>
      <c r="H2795" s="457"/>
    </row>
    <row r="2797" spans="1:8" s="605" customFormat="1">
      <c r="A2797" s="603">
        <v>11.09</v>
      </c>
      <c r="B2797" s="604" t="s">
        <v>499</v>
      </c>
      <c r="C2797" s="891" t="s">
        <v>1589</v>
      </c>
      <c r="D2797" s="892"/>
      <c r="E2797" s="892"/>
      <c r="F2797" s="610" t="s">
        <v>50</v>
      </c>
      <c r="G2797" s="610">
        <f>TRUNC(G2805/10,2)</f>
        <v>2055.98</v>
      </c>
      <c r="H2797" s="610">
        <f>TRUNC(G2807/10,2)</f>
        <v>2364.37</v>
      </c>
    </row>
    <row r="2798" spans="1:8">
      <c r="B2798" s="450" t="s">
        <v>80</v>
      </c>
      <c r="C2798" s="451" t="s">
        <v>81</v>
      </c>
      <c r="D2798" s="451" t="s">
        <v>44</v>
      </c>
      <c r="E2798" s="451" t="s">
        <v>45</v>
      </c>
      <c r="F2798" s="452" t="s">
        <v>58</v>
      </c>
      <c r="G2798" s="452" t="s">
        <v>59</v>
      </c>
      <c r="H2798" s="452" t="s">
        <v>52</v>
      </c>
    </row>
    <row r="2799" spans="1:8">
      <c r="B2799" s="864" t="s">
        <v>60</v>
      </c>
      <c r="C2799" s="484" t="s">
        <v>69</v>
      </c>
      <c r="D2799" s="488">
        <v>3.5</v>
      </c>
      <c r="E2799" s="451" t="s">
        <v>46</v>
      </c>
      <c r="F2799" s="457">
        <f t="shared" ref="F2799:F2804" si="125">F2787</f>
        <v>1200</v>
      </c>
      <c r="G2799" s="457">
        <f t="shared" ref="G2799:G2804" si="126">INT(D2799*F2799*100)/100</f>
        <v>4200</v>
      </c>
      <c r="H2799" s="457"/>
    </row>
    <row r="2800" spans="1:8">
      <c r="B2800" s="865"/>
      <c r="C2800" s="484" t="s">
        <v>43</v>
      </c>
      <c r="D2800" s="488">
        <v>11.7</v>
      </c>
      <c r="E2800" s="451" t="s">
        <v>46</v>
      </c>
      <c r="F2800" s="457">
        <f t="shared" si="125"/>
        <v>870</v>
      </c>
      <c r="G2800" s="457">
        <f t="shared" si="126"/>
        <v>10179</v>
      </c>
      <c r="H2800" s="457"/>
    </row>
    <row r="2801" spans="1:8">
      <c r="B2801" s="864" t="s">
        <v>63</v>
      </c>
      <c r="C2801" s="484" t="s">
        <v>41</v>
      </c>
      <c r="D2801" s="488">
        <v>22</v>
      </c>
      <c r="E2801" s="451" t="s">
        <v>50</v>
      </c>
      <c r="F2801" s="457">
        <f t="shared" si="125"/>
        <v>88.8</v>
      </c>
      <c r="G2801" s="457">
        <f t="shared" si="126"/>
        <v>1953.6</v>
      </c>
      <c r="H2801" s="457"/>
    </row>
    <row r="2802" spans="1:8">
      <c r="B2802" s="868"/>
      <c r="C2802" s="484" t="s">
        <v>732</v>
      </c>
      <c r="D2802" s="488">
        <v>27</v>
      </c>
      <c r="E2802" s="451" t="s">
        <v>74</v>
      </c>
      <c r="F2802" s="457">
        <f t="shared" si="125"/>
        <v>110.7</v>
      </c>
      <c r="G2802" s="457">
        <f t="shared" si="126"/>
        <v>2988.9</v>
      </c>
      <c r="H2802" s="457"/>
    </row>
    <row r="2803" spans="1:8">
      <c r="B2803" s="868"/>
      <c r="C2803" s="484" t="s">
        <v>122</v>
      </c>
      <c r="D2803" s="488">
        <v>80</v>
      </c>
      <c r="E2803" s="451" t="s">
        <v>74</v>
      </c>
      <c r="F2803" s="457">
        <f t="shared" si="125"/>
        <v>8</v>
      </c>
      <c r="G2803" s="457">
        <f t="shared" si="126"/>
        <v>640</v>
      </c>
      <c r="H2803" s="457"/>
    </row>
    <row r="2804" spans="1:8">
      <c r="B2804" s="865"/>
      <c r="C2804" s="528" t="str">
        <f>C2792</f>
        <v xml:space="preserve">Sand  river washed </v>
      </c>
      <c r="D2804" s="488">
        <v>0.31</v>
      </c>
      <c r="E2804" s="456" t="s">
        <v>68</v>
      </c>
      <c r="F2804" s="457">
        <f t="shared" si="125"/>
        <v>1930</v>
      </c>
      <c r="G2804" s="457">
        <f t="shared" si="126"/>
        <v>598.29999999999995</v>
      </c>
      <c r="H2804" s="457"/>
    </row>
    <row r="2805" spans="1:8">
      <c r="B2805" s="855" t="s">
        <v>165</v>
      </c>
      <c r="C2805" s="855"/>
      <c r="D2805" s="858" t="s">
        <v>61</v>
      </c>
      <c r="E2805" s="859"/>
      <c r="F2805" s="860"/>
      <c r="G2805" s="457">
        <f>SUM(G2799:G2804)</f>
        <v>20559.8</v>
      </c>
      <c r="H2805" s="457"/>
    </row>
    <row r="2806" spans="1:8">
      <c r="B2806" s="855"/>
      <c r="C2806" s="855"/>
      <c r="D2806" s="861" t="s">
        <v>573</v>
      </c>
      <c r="E2806" s="862"/>
      <c r="F2806" s="863"/>
      <c r="G2806" s="457">
        <f>INT(15%*G2805*100)/100</f>
        <v>3083.97</v>
      </c>
      <c r="H2806" s="457"/>
    </row>
    <row r="2807" spans="1:8">
      <c r="B2807" s="855"/>
      <c r="C2807" s="855"/>
      <c r="D2807" s="858" t="s">
        <v>47</v>
      </c>
      <c r="E2807" s="859"/>
      <c r="F2807" s="860"/>
      <c r="G2807" s="442">
        <f>SUM(G2805:G2806)</f>
        <v>23643.77</v>
      </c>
      <c r="H2807" s="457"/>
    </row>
    <row r="2808" spans="1:8" s="605" customFormat="1" ht="25.5" customHeight="1">
      <c r="A2808" s="603">
        <v>11.1</v>
      </c>
      <c r="B2808" s="604" t="s">
        <v>500</v>
      </c>
      <c r="C2808" s="891" t="s">
        <v>501</v>
      </c>
      <c r="D2808" s="892"/>
      <c r="E2808" s="892"/>
      <c r="F2808" s="610" t="s">
        <v>50</v>
      </c>
      <c r="G2808" s="610">
        <f>TRUNC(G2813,2)</f>
        <v>0</v>
      </c>
      <c r="H2808" s="447">
        <f>TRUNC(G2815,2)</f>
        <v>0</v>
      </c>
    </row>
    <row r="2809" spans="1:8">
      <c r="B2809" s="450" t="s">
        <v>80</v>
      </c>
      <c r="C2809" s="451" t="s">
        <v>81</v>
      </c>
      <c r="D2809" s="451" t="s">
        <v>44</v>
      </c>
      <c r="E2809" s="451" t="s">
        <v>45</v>
      </c>
      <c r="F2809" s="452" t="s">
        <v>58</v>
      </c>
      <c r="G2809" s="452" t="s">
        <v>59</v>
      </c>
      <c r="H2809" s="452" t="s">
        <v>52</v>
      </c>
    </row>
    <row r="2810" spans="1:8">
      <c r="B2810" s="864" t="s">
        <v>60</v>
      </c>
      <c r="C2810" s="484" t="s">
        <v>69</v>
      </c>
      <c r="D2810" s="488">
        <v>0</v>
      </c>
      <c r="E2810" s="451" t="s">
        <v>46</v>
      </c>
      <c r="F2810" s="457">
        <f>LOOKUP(C2810,'Basic Rate'!$B$8:$B$328,'Basic Rate'!$F$8:$F$328)</f>
        <v>1200</v>
      </c>
      <c r="G2810" s="457">
        <f>INT(D2810*F2810*100)/100</f>
        <v>0</v>
      </c>
      <c r="H2810" s="457"/>
    </row>
    <row r="2811" spans="1:8">
      <c r="B2811" s="865"/>
      <c r="C2811" s="484" t="s">
        <v>43</v>
      </c>
      <c r="D2811" s="488">
        <v>0</v>
      </c>
      <c r="E2811" s="451" t="s">
        <v>46</v>
      </c>
      <c r="F2811" s="457">
        <f>LOOKUP(C2811,'Basic Rate'!$B$8:$B$328,'Basic Rate'!$F$8:$F$328)</f>
        <v>870</v>
      </c>
      <c r="G2811" s="457">
        <f>INT(D2811*F2811*100)/100</f>
        <v>0</v>
      </c>
      <c r="H2811" s="457"/>
    </row>
    <row r="2812" spans="1:8" ht="52.8">
      <c r="B2812" s="468" t="s">
        <v>63</v>
      </c>
      <c r="C2812" s="585" t="s">
        <v>984</v>
      </c>
      <c r="D2812" s="488">
        <v>1</v>
      </c>
      <c r="E2812" s="451" t="s">
        <v>50</v>
      </c>
      <c r="F2812" s="457">
        <f>'Basic Rate'!D110</f>
        <v>0</v>
      </c>
      <c r="G2812" s="457">
        <f>INT(D2812*F2812*100)/100</f>
        <v>0</v>
      </c>
      <c r="H2812" s="457"/>
    </row>
    <row r="2813" spans="1:8">
      <c r="B2813" s="855" t="s">
        <v>175</v>
      </c>
      <c r="C2813" s="855"/>
      <c r="D2813" s="858" t="s">
        <v>61</v>
      </c>
      <c r="E2813" s="859"/>
      <c r="F2813" s="860"/>
      <c r="G2813" s="457">
        <f>SUM(G2810:G2812)</f>
        <v>0</v>
      </c>
      <c r="H2813" s="457"/>
    </row>
    <row r="2814" spans="1:8">
      <c r="B2814" s="855"/>
      <c r="C2814" s="855"/>
      <c r="D2814" s="861" t="s">
        <v>573</v>
      </c>
      <c r="E2814" s="862"/>
      <c r="F2814" s="863"/>
      <c r="G2814" s="457">
        <f>INT(15%*G2813*100)/100</f>
        <v>0</v>
      </c>
      <c r="H2814" s="457"/>
    </row>
    <row r="2815" spans="1:8">
      <c r="B2815" s="855"/>
      <c r="C2815" s="855"/>
      <c r="D2815" s="858" t="s">
        <v>47</v>
      </c>
      <c r="E2815" s="859"/>
      <c r="F2815" s="860"/>
      <c r="G2815" s="442">
        <f>SUM(G2813:G2814)</f>
        <v>0</v>
      </c>
      <c r="H2815" s="457"/>
    </row>
    <row r="2817" spans="1:8" s="605" customFormat="1" ht="13.8">
      <c r="A2817" s="603">
        <v>11.11</v>
      </c>
      <c r="B2817" s="604" t="s">
        <v>502</v>
      </c>
      <c r="C2817" s="891" t="s">
        <v>733</v>
      </c>
      <c r="D2817" s="892"/>
      <c r="E2817" s="892"/>
      <c r="F2817" s="610" t="s">
        <v>50</v>
      </c>
      <c r="G2817" s="447">
        <f>G2822</f>
        <v>0</v>
      </c>
      <c r="H2817" s="447">
        <f>G2824</f>
        <v>0</v>
      </c>
    </row>
    <row r="2818" spans="1:8">
      <c r="B2818" s="450" t="s">
        <v>80</v>
      </c>
      <c r="C2818" s="451" t="s">
        <v>81</v>
      </c>
      <c r="D2818" s="451" t="s">
        <v>44</v>
      </c>
      <c r="E2818" s="451" t="s">
        <v>45</v>
      </c>
      <c r="F2818" s="452" t="s">
        <v>58</v>
      </c>
      <c r="G2818" s="452" t="s">
        <v>59</v>
      </c>
      <c r="H2818" s="452" t="s">
        <v>52</v>
      </c>
    </row>
    <row r="2819" spans="1:8">
      <c r="B2819" s="864" t="s">
        <v>60</v>
      </c>
      <c r="C2819" s="484" t="s">
        <v>69</v>
      </c>
      <c r="D2819" s="488">
        <v>0</v>
      </c>
      <c r="E2819" s="451" t="s">
        <v>46</v>
      </c>
      <c r="F2819" s="457">
        <f>LOOKUP(C2819,'Basic Rate'!$B$8:$B$328,'Basic Rate'!$F$8:$F$328)</f>
        <v>1200</v>
      </c>
      <c r="G2819" s="457">
        <f>INT(D2819*F2819*100)/100</f>
        <v>0</v>
      </c>
      <c r="H2819" s="457"/>
    </row>
    <row r="2820" spans="1:8">
      <c r="B2820" s="865"/>
      <c r="C2820" s="484" t="s">
        <v>43</v>
      </c>
      <c r="D2820" s="488">
        <v>0</v>
      </c>
      <c r="E2820" s="451" t="s">
        <v>46</v>
      </c>
      <c r="F2820" s="457">
        <f>LOOKUP(C2820,'Basic Rate'!$B$8:$B$328,'Basic Rate'!$F$8:$F$328)</f>
        <v>870</v>
      </c>
      <c r="G2820" s="457">
        <f>INT(D2820*F2820*100)/100</f>
        <v>0</v>
      </c>
      <c r="H2820" s="457"/>
    </row>
    <row r="2821" spans="1:8">
      <c r="B2821" s="468" t="s">
        <v>63</v>
      </c>
      <c r="C2821" s="484" t="s">
        <v>734</v>
      </c>
      <c r="D2821" s="488">
        <v>0.245</v>
      </c>
      <c r="E2821" s="451" t="s">
        <v>50</v>
      </c>
      <c r="F2821" s="457">
        <f>'Basic Rate'!$F$62</f>
        <v>0</v>
      </c>
      <c r="G2821" s="457">
        <f>INT(D2821*F2821*100)/100</f>
        <v>0</v>
      </c>
      <c r="H2821" s="457"/>
    </row>
    <row r="2822" spans="1:8">
      <c r="B2822" s="855" t="s">
        <v>175</v>
      </c>
      <c r="C2822" s="855"/>
      <c r="D2822" s="858" t="s">
        <v>61</v>
      </c>
      <c r="E2822" s="859"/>
      <c r="F2822" s="860"/>
      <c r="G2822" s="457">
        <f>SUM(G2819:G2821)</f>
        <v>0</v>
      </c>
      <c r="H2822" s="457"/>
    </row>
    <row r="2823" spans="1:8">
      <c r="B2823" s="855"/>
      <c r="C2823" s="855"/>
      <c r="D2823" s="861" t="s">
        <v>573</v>
      </c>
      <c r="E2823" s="862"/>
      <c r="F2823" s="863"/>
      <c r="G2823" s="457">
        <f>INT(15%*G2822*100)/100</f>
        <v>0</v>
      </c>
      <c r="H2823" s="457"/>
    </row>
    <row r="2824" spans="1:8">
      <c r="B2824" s="855"/>
      <c r="C2824" s="855"/>
      <c r="D2824" s="858" t="s">
        <v>47</v>
      </c>
      <c r="E2824" s="859"/>
      <c r="F2824" s="860"/>
      <c r="G2824" s="442">
        <f>SUM(G2822:G2823)</f>
        <v>0</v>
      </c>
      <c r="H2824" s="457"/>
    </row>
    <row r="2826" spans="1:8" s="605" customFormat="1" ht="65.25" customHeight="1">
      <c r="A2826" s="603">
        <v>11.12</v>
      </c>
      <c r="B2826" s="604">
        <v>0</v>
      </c>
      <c r="C2826" s="891" t="s">
        <v>735</v>
      </c>
      <c r="D2826" s="892"/>
      <c r="E2826" s="892"/>
      <c r="F2826" s="610" t="s">
        <v>50</v>
      </c>
      <c r="G2826" s="610">
        <f>G2831</f>
        <v>0</v>
      </c>
      <c r="H2826" s="447">
        <f>G2833</f>
        <v>0</v>
      </c>
    </row>
    <row r="2827" spans="1:8">
      <c r="B2827" s="450" t="s">
        <v>80</v>
      </c>
      <c r="C2827" s="451" t="s">
        <v>81</v>
      </c>
      <c r="D2827" s="451" t="s">
        <v>44</v>
      </c>
      <c r="E2827" s="451" t="s">
        <v>45</v>
      </c>
      <c r="F2827" s="452" t="s">
        <v>58</v>
      </c>
      <c r="G2827" s="452" t="s">
        <v>59</v>
      </c>
      <c r="H2827" s="452" t="s">
        <v>52</v>
      </c>
    </row>
    <row r="2828" spans="1:8">
      <c r="B2828" s="864" t="s">
        <v>60</v>
      </c>
      <c r="C2828" s="484" t="s">
        <v>69</v>
      </c>
      <c r="D2828" s="488">
        <v>0</v>
      </c>
      <c r="E2828" s="451" t="s">
        <v>46</v>
      </c>
      <c r="F2828" s="457">
        <f>LOOKUP(C2828,'Basic Rate'!$B$8:$B$328,'Basic Rate'!$F$8:$F$328)</f>
        <v>1200</v>
      </c>
      <c r="G2828" s="457">
        <f>INT(D2828*F2828*100)/100</f>
        <v>0</v>
      </c>
      <c r="H2828" s="457"/>
    </row>
    <row r="2829" spans="1:8">
      <c r="B2829" s="865"/>
      <c r="C2829" s="484" t="s">
        <v>43</v>
      </c>
      <c r="D2829" s="488">
        <v>0</v>
      </c>
      <c r="E2829" s="451" t="s">
        <v>46</v>
      </c>
      <c r="F2829" s="457">
        <f>LOOKUP(C2829,'Basic Rate'!$B$8:$B$328,'Basic Rate'!$F$8:$F$328)</f>
        <v>870</v>
      </c>
      <c r="G2829" s="457">
        <f>INT(D2829*F2829*100)/100</f>
        <v>0</v>
      </c>
      <c r="H2829" s="457"/>
    </row>
    <row r="2830" spans="1:8">
      <c r="B2830" s="468" t="s">
        <v>63</v>
      </c>
      <c r="C2830" s="484" t="s">
        <v>627</v>
      </c>
      <c r="D2830" s="488">
        <v>1</v>
      </c>
      <c r="E2830" s="451" t="s">
        <v>628</v>
      </c>
      <c r="F2830" s="457">
        <f>'Basic Rate'!$F$72</f>
        <v>0</v>
      </c>
      <c r="G2830" s="457">
        <f>INT(D2830*F2830*100)/100</f>
        <v>0</v>
      </c>
      <c r="H2830" s="457"/>
    </row>
    <row r="2831" spans="1:8">
      <c r="B2831" s="855" t="s">
        <v>175</v>
      </c>
      <c r="C2831" s="855"/>
      <c r="D2831" s="858" t="s">
        <v>61</v>
      </c>
      <c r="E2831" s="859"/>
      <c r="F2831" s="860"/>
      <c r="G2831" s="457">
        <f>SUM(G2828:G2830)</f>
        <v>0</v>
      </c>
      <c r="H2831" s="457"/>
    </row>
    <row r="2832" spans="1:8">
      <c r="B2832" s="855"/>
      <c r="C2832" s="855"/>
      <c r="D2832" s="861" t="s">
        <v>573</v>
      </c>
      <c r="E2832" s="862"/>
      <c r="F2832" s="863"/>
      <c r="G2832" s="457">
        <f>INT(15%*G2831*100)/100</f>
        <v>0</v>
      </c>
      <c r="H2832" s="457"/>
    </row>
    <row r="2833" spans="1:8">
      <c r="B2833" s="855"/>
      <c r="C2833" s="855"/>
      <c r="D2833" s="858" t="s">
        <v>47</v>
      </c>
      <c r="E2833" s="859"/>
      <c r="F2833" s="860"/>
      <c r="G2833" s="442">
        <f>SUM(G2831:G2832)</f>
        <v>0</v>
      </c>
      <c r="H2833" s="457"/>
    </row>
    <row r="2834" spans="1:8">
      <c r="B2834" s="458"/>
      <c r="C2834" s="458"/>
      <c r="F2834" s="459"/>
      <c r="G2834" s="632"/>
      <c r="H2834" s="460"/>
    </row>
    <row r="2835" spans="1:8" ht="13.65" customHeight="1">
      <c r="A2835" s="916" t="s">
        <v>503</v>
      </c>
      <c r="B2835" s="916"/>
      <c r="C2835" s="916"/>
      <c r="D2835" s="916"/>
      <c r="E2835" s="916"/>
      <c r="F2835" s="916"/>
      <c r="G2835" s="916"/>
      <c r="H2835" s="916"/>
    </row>
    <row r="2836" spans="1:8">
      <c r="B2836" s="458"/>
      <c r="C2836" s="633"/>
      <c r="F2836" s="460"/>
      <c r="G2836" s="634"/>
      <c r="H2836" s="635"/>
    </row>
    <row r="2837" spans="1:8" s="605" customFormat="1" ht="28.5" customHeight="1">
      <c r="A2837" s="603">
        <v>12.01</v>
      </c>
      <c r="B2837" s="604" t="s">
        <v>504</v>
      </c>
      <c r="C2837" s="891" t="s">
        <v>1590</v>
      </c>
      <c r="D2837" s="892"/>
      <c r="E2837" s="892"/>
      <c r="F2837" s="610" t="s">
        <v>68</v>
      </c>
      <c r="G2837" s="610">
        <f>G2840</f>
        <v>922.2</v>
      </c>
      <c r="H2837" s="636">
        <f>G2842</f>
        <v>1060.53</v>
      </c>
    </row>
    <row r="2838" spans="1:8">
      <c r="B2838" s="450" t="s">
        <v>80</v>
      </c>
      <c r="C2838" s="451" t="s">
        <v>81</v>
      </c>
      <c r="D2838" s="451" t="s">
        <v>44</v>
      </c>
      <c r="E2838" s="451" t="s">
        <v>45</v>
      </c>
      <c r="F2838" s="452" t="s">
        <v>58</v>
      </c>
      <c r="G2838" s="452" t="s">
        <v>59</v>
      </c>
      <c r="H2838" s="452" t="s">
        <v>52</v>
      </c>
    </row>
    <row r="2839" spans="1:8">
      <c r="B2839" s="450" t="s">
        <v>60</v>
      </c>
      <c r="C2839" s="484" t="s">
        <v>43</v>
      </c>
      <c r="D2839" s="488">
        <v>1.06</v>
      </c>
      <c r="E2839" s="451" t="s">
        <v>46</v>
      </c>
      <c r="F2839" s="457">
        <f>F2800</f>
        <v>870</v>
      </c>
      <c r="G2839" s="457">
        <f>INT(D2839*F2839*100)/100</f>
        <v>922.2</v>
      </c>
      <c r="H2839" s="457"/>
    </row>
    <row r="2840" spans="1:8">
      <c r="B2840" s="855" t="s">
        <v>156</v>
      </c>
      <c r="C2840" s="855"/>
      <c r="D2840" s="856" t="s">
        <v>61</v>
      </c>
      <c r="E2840" s="856"/>
      <c r="F2840" s="856"/>
      <c r="G2840" s="457">
        <f>SUM(G2839:G2839)</f>
        <v>922.2</v>
      </c>
      <c r="H2840" s="457"/>
    </row>
    <row r="2841" spans="1:8">
      <c r="B2841" s="855"/>
      <c r="C2841" s="855"/>
      <c r="D2841" s="857" t="s">
        <v>573</v>
      </c>
      <c r="E2841" s="857"/>
      <c r="F2841" s="857"/>
      <c r="G2841" s="457">
        <f>INT(15%*G2840*100)/100</f>
        <v>138.33000000000001</v>
      </c>
      <c r="H2841" s="457"/>
    </row>
    <row r="2842" spans="1:8">
      <c r="B2842" s="855"/>
      <c r="C2842" s="855"/>
      <c r="D2842" s="856" t="s">
        <v>47</v>
      </c>
      <c r="E2842" s="856"/>
      <c r="F2842" s="856"/>
      <c r="G2842" s="457">
        <f>SUM(G2840:G2841)</f>
        <v>1060.53</v>
      </c>
      <c r="H2842" s="457"/>
    </row>
    <row r="2843" spans="1:8">
      <c r="C2843" s="444"/>
      <c r="F2843" s="462"/>
      <c r="G2843" s="460"/>
      <c r="H2843" s="460"/>
    </row>
    <row r="2844" spans="1:8">
      <c r="C2844" s="444"/>
      <c r="F2844" s="462"/>
      <c r="G2844" s="460"/>
      <c r="H2844" s="460"/>
    </row>
    <row r="2845" spans="1:8" s="605" customFormat="1" ht="28.5" customHeight="1">
      <c r="A2845" s="603">
        <v>12.02</v>
      </c>
      <c r="B2845" s="604" t="s">
        <v>505</v>
      </c>
      <c r="C2845" s="891" t="s">
        <v>1591</v>
      </c>
      <c r="D2845" s="892"/>
      <c r="E2845" s="892"/>
      <c r="F2845" s="610" t="s">
        <v>68</v>
      </c>
      <c r="G2845" s="610">
        <f>G2848</f>
        <v>1844.4</v>
      </c>
      <c r="H2845" s="636">
        <f>G2850</f>
        <v>2121.06</v>
      </c>
    </row>
    <row r="2846" spans="1:8">
      <c r="B2846" s="450" t="s">
        <v>80</v>
      </c>
      <c r="C2846" s="451" t="s">
        <v>81</v>
      </c>
      <c r="D2846" s="451" t="s">
        <v>44</v>
      </c>
      <c r="E2846" s="451" t="s">
        <v>45</v>
      </c>
      <c r="F2846" s="452" t="s">
        <v>58</v>
      </c>
      <c r="G2846" s="452" t="s">
        <v>59</v>
      </c>
      <c r="H2846" s="452" t="s">
        <v>52</v>
      </c>
    </row>
    <row r="2847" spans="1:8">
      <c r="B2847" s="450" t="s">
        <v>60</v>
      </c>
      <c r="C2847" s="484" t="s">
        <v>43</v>
      </c>
      <c r="D2847" s="488">
        <v>2.12</v>
      </c>
      <c r="E2847" s="451" t="s">
        <v>46</v>
      </c>
      <c r="F2847" s="457">
        <f>F2839</f>
        <v>870</v>
      </c>
      <c r="G2847" s="457">
        <f>INT(D2847*F2847*100)/100</f>
        <v>1844.4</v>
      </c>
      <c r="H2847" s="457"/>
    </row>
    <row r="2848" spans="1:8">
      <c r="B2848" s="855" t="s">
        <v>156</v>
      </c>
      <c r="C2848" s="855"/>
      <c r="D2848" s="856" t="s">
        <v>61</v>
      </c>
      <c r="E2848" s="856"/>
      <c r="F2848" s="856"/>
      <c r="G2848" s="457">
        <f>SUM(G2847:G2847)</f>
        <v>1844.4</v>
      </c>
      <c r="H2848" s="457"/>
    </row>
    <row r="2849" spans="1:8">
      <c r="B2849" s="855"/>
      <c r="C2849" s="855"/>
      <c r="D2849" s="857" t="s">
        <v>573</v>
      </c>
      <c r="E2849" s="857"/>
      <c r="F2849" s="857"/>
      <c r="G2849" s="457">
        <f>INT(15%*G2848*100)/100</f>
        <v>276.66000000000003</v>
      </c>
      <c r="H2849" s="457"/>
    </row>
    <row r="2850" spans="1:8">
      <c r="B2850" s="855"/>
      <c r="C2850" s="855"/>
      <c r="D2850" s="856" t="s">
        <v>47</v>
      </c>
      <c r="E2850" s="856"/>
      <c r="F2850" s="856"/>
      <c r="G2850" s="457">
        <f>SUM(G2848:G2849)</f>
        <v>2121.06</v>
      </c>
      <c r="H2850" s="457"/>
    </row>
    <row r="2851" spans="1:8" s="605" customFormat="1" ht="28.5" customHeight="1">
      <c r="A2851" s="603">
        <v>12.03</v>
      </c>
      <c r="B2851" s="604" t="s">
        <v>506</v>
      </c>
      <c r="C2851" s="891" t="s">
        <v>1592</v>
      </c>
      <c r="D2851" s="892"/>
      <c r="E2851" s="892"/>
      <c r="F2851" s="610" t="s">
        <v>68</v>
      </c>
      <c r="G2851" s="610">
        <f>G2854</f>
        <v>9570</v>
      </c>
      <c r="H2851" s="636">
        <f>G2856</f>
        <v>11005.5</v>
      </c>
    </row>
    <row r="2852" spans="1:8">
      <c r="B2852" s="450" t="s">
        <v>80</v>
      </c>
      <c r="C2852" s="451" t="s">
        <v>81</v>
      </c>
      <c r="D2852" s="451" t="s">
        <v>44</v>
      </c>
      <c r="E2852" s="451" t="s">
        <v>45</v>
      </c>
      <c r="F2852" s="452" t="s">
        <v>58</v>
      </c>
      <c r="G2852" s="452" t="s">
        <v>59</v>
      </c>
      <c r="H2852" s="452" t="s">
        <v>52</v>
      </c>
    </row>
    <row r="2853" spans="1:8">
      <c r="B2853" s="450" t="s">
        <v>60</v>
      </c>
      <c r="C2853" s="484" t="s">
        <v>43</v>
      </c>
      <c r="D2853" s="488">
        <v>11</v>
      </c>
      <c r="E2853" s="451" t="s">
        <v>46</v>
      </c>
      <c r="F2853" s="457">
        <f>F2847</f>
        <v>870</v>
      </c>
      <c r="G2853" s="457">
        <f>INT(D2853*F2853*100)/100</f>
        <v>9570</v>
      </c>
      <c r="H2853" s="457"/>
    </row>
    <row r="2854" spans="1:8">
      <c r="B2854" s="855" t="s">
        <v>156</v>
      </c>
      <c r="C2854" s="855"/>
      <c r="D2854" s="856" t="s">
        <v>61</v>
      </c>
      <c r="E2854" s="856"/>
      <c r="F2854" s="856"/>
      <c r="G2854" s="457">
        <f>SUM(G2853:G2853)</f>
        <v>9570</v>
      </c>
      <c r="H2854" s="457"/>
    </row>
    <row r="2855" spans="1:8">
      <c r="B2855" s="855"/>
      <c r="C2855" s="855"/>
      <c r="D2855" s="857" t="s">
        <v>573</v>
      </c>
      <c r="E2855" s="857"/>
      <c r="F2855" s="857"/>
      <c r="G2855" s="457">
        <f>INT(15%*G2854*100)/100</f>
        <v>1435.5</v>
      </c>
      <c r="H2855" s="457"/>
    </row>
    <row r="2856" spans="1:8">
      <c r="B2856" s="855"/>
      <c r="C2856" s="855"/>
      <c r="D2856" s="856" t="s">
        <v>47</v>
      </c>
      <c r="E2856" s="856"/>
      <c r="F2856" s="856"/>
      <c r="G2856" s="457">
        <f>SUM(G2854:G2855)</f>
        <v>11005.5</v>
      </c>
      <c r="H2856" s="457"/>
    </row>
    <row r="2857" spans="1:8">
      <c r="F2857" s="462"/>
      <c r="G2857" s="460"/>
      <c r="H2857" s="460"/>
    </row>
    <row r="2858" spans="1:8" s="605" customFormat="1" ht="28.5" customHeight="1">
      <c r="A2858" s="603">
        <v>12.04</v>
      </c>
      <c r="B2858" s="604" t="s">
        <v>507</v>
      </c>
      <c r="C2858" s="891" t="s">
        <v>1593</v>
      </c>
      <c r="D2858" s="892"/>
      <c r="E2858" s="892"/>
      <c r="F2858" s="610" t="s">
        <v>68</v>
      </c>
      <c r="G2858" s="610">
        <f>G2861</f>
        <v>3480</v>
      </c>
      <c r="H2858" s="636">
        <f>G2863</f>
        <v>4002</v>
      </c>
    </row>
    <row r="2859" spans="1:8" ht="12.75" customHeight="1">
      <c r="B2859" s="450" t="s">
        <v>80</v>
      </c>
      <c r="C2859" s="451" t="s">
        <v>81</v>
      </c>
      <c r="D2859" s="451" t="s">
        <v>44</v>
      </c>
      <c r="E2859" s="451" t="s">
        <v>45</v>
      </c>
      <c r="F2859" s="452" t="s">
        <v>58</v>
      </c>
      <c r="G2859" s="452" t="s">
        <v>59</v>
      </c>
      <c r="H2859" s="452" t="s">
        <v>52</v>
      </c>
    </row>
    <row r="2860" spans="1:8" ht="12.75" customHeight="1">
      <c r="B2860" s="450" t="s">
        <v>60</v>
      </c>
      <c r="C2860" s="484" t="s">
        <v>43</v>
      </c>
      <c r="D2860" s="488">
        <v>4</v>
      </c>
      <c r="E2860" s="451" t="s">
        <v>46</v>
      </c>
      <c r="F2860" s="457">
        <f>F2853</f>
        <v>870</v>
      </c>
      <c r="G2860" s="457">
        <f>INT(D2860*F2860*100)/100</f>
        <v>3480</v>
      </c>
      <c r="H2860" s="457"/>
    </row>
    <row r="2861" spans="1:8" ht="12.75" customHeight="1">
      <c r="B2861" s="855" t="s">
        <v>156</v>
      </c>
      <c r="C2861" s="855"/>
      <c r="D2861" s="856" t="s">
        <v>61</v>
      </c>
      <c r="E2861" s="856"/>
      <c r="F2861" s="856"/>
      <c r="G2861" s="457">
        <f>SUM(G2860:G2860)</f>
        <v>3480</v>
      </c>
      <c r="H2861" s="457"/>
    </row>
    <row r="2862" spans="1:8" ht="12.75" customHeight="1">
      <c r="B2862" s="855"/>
      <c r="C2862" s="855"/>
      <c r="D2862" s="857" t="s">
        <v>573</v>
      </c>
      <c r="E2862" s="857"/>
      <c r="F2862" s="857"/>
      <c r="G2862" s="457">
        <f>INT(15%*G2861*100)/100</f>
        <v>522</v>
      </c>
      <c r="H2862" s="457"/>
    </row>
    <row r="2863" spans="1:8" ht="12.75" customHeight="1">
      <c r="B2863" s="855"/>
      <c r="C2863" s="855"/>
      <c r="D2863" s="856" t="s">
        <v>47</v>
      </c>
      <c r="E2863" s="856"/>
      <c r="F2863" s="856"/>
      <c r="G2863" s="457">
        <f>SUM(G2861:G2862)</f>
        <v>4002</v>
      </c>
      <c r="H2863" s="457"/>
    </row>
    <row r="2864" spans="1:8" ht="12.75" customHeight="1">
      <c r="C2864" s="485"/>
      <c r="D2864" s="486"/>
      <c r="E2864" s="486"/>
      <c r="F2864" s="487"/>
      <c r="G2864" s="487"/>
      <c r="H2864" s="487"/>
    </row>
    <row r="2865" spans="1:8" s="605" customFormat="1" ht="28.5" customHeight="1">
      <c r="A2865" s="603">
        <v>12.05</v>
      </c>
      <c r="B2865" s="604" t="s">
        <v>508</v>
      </c>
      <c r="C2865" s="891" t="s">
        <v>1594</v>
      </c>
      <c r="D2865" s="892"/>
      <c r="E2865" s="892"/>
      <c r="F2865" s="610" t="s">
        <v>50</v>
      </c>
      <c r="G2865" s="610">
        <f>G2868</f>
        <v>93.96</v>
      </c>
      <c r="H2865" s="636">
        <f>G2870</f>
        <v>108.05</v>
      </c>
    </row>
    <row r="2866" spans="1:8">
      <c r="B2866" s="450" t="s">
        <v>80</v>
      </c>
      <c r="C2866" s="451" t="s">
        <v>81</v>
      </c>
      <c r="D2866" s="451" t="s">
        <v>44</v>
      </c>
      <c r="E2866" s="451" t="s">
        <v>45</v>
      </c>
      <c r="F2866" s="452" t="s">
        <v>58</v>
      </c>
      <c r="G2866" s="452" t="s">
        <v>59</v>
      </c>
      <c r="H2866" s="452" t="s">
        <v>52</v>
      </c>
    </row>
    <row r="2867" spans="1:8">
      <c r="B2867" s="450" t="s">
        <v>60</v>
      </c>
      <c r="C2867" s="484" t="s">
        <v>43</v>
      </c>
      <c r="D2867" s="488">
        <v>0.108</v>
      </c>
      <c r="E2867" s="451" t="s">
        <v>46</v>
      </c>
      <c r="F2867" s="457">
        <f>F2860</f>
        <v>870</v>
      </c>
      <c r="G2867" s="457">
        <f>INT(D2867*F2867*100)/100</f>
        <v>93.96</v>
      </c>
      <c r="H2867" s="457"/>
    </row>
    <row r="2868" spans="1:8">
      <c r="B2868" s="855" t="s">
        <v>175</v>
      </c>
      <c r="C2868" s="855"/>
      <c r="D2868" s="856" t="s">
        <v>61</v>
      </c>
      <c r="E2868" s="856"/>
      <c r="F2868" s="856"/>
      <c r="G2868" s="457">
        <f>SUM(G2867:G2867)</f>
        <v>93.96</v>
      </c>
      <c r="H2868" s="457"/>
    </row>
    <row r="2869" spans="1:8">
      <c r="B2869" s="855"/>
      <c r="C2869" s="855"/>
      <c r="D2869" s="857" t="s">
        <v>573</v>
      </c>
      <c r="E2869" s="857"/>
      <c r="F2869" s="857"/>
      <c r="G2869" s="457">
        <f>INT(15%*G2868*100)/100</f>
        <v>14.09</v>
      </c>
      <c r="H2869" s="457"/>
    </row>
    <row r="2870" spans="1:8">
      <c r="B2870" s="855"/>
      <c r="C2870" s="855"/>
      <c r="D2870" s="856" t="s">
        <v>47</v>
      </c>
      <c r="E2870" s="856"/>
      <c r="F2870" s="856"/>
      <c r="G2870" s="457">
        <f>SUM(G2868:G2869)</f>
        <v>108.05</v>
      </c>
      <c r="H2870" s="457"/>
    </row>
    <row r="2871" spans="1:8">
      <c r="F2871" s="460"/>
      <c r="G2871" s="460"/>
      <c r="H2871" s="460"/>
    </row>
    <row r="2872" spans="1:8" s="605" customFormat="1" ht="28.5" customHeight="1">
      <c r="A2872" s="603">
        <v>12.06</v>
      </c>
      <c r="B2872" s="604" t="s">
        <v>509</v>
      </c>
      <c r="C2872" s="891" t="s">
        <v>1595</v>
      </c>
      <c r="D2872" s="892"/>
      <c r="E2872" s="892"/>
      <c r="F2872" s="610" t="s">
        <v>50</v>
      </c>
      <c r="G2872" s="610">
        <f>G2876</f>
        <v>135.26999999999998</v>
      </c>
      <c r="H2872" s="636">
        <f>G2878</f>
        <v>155.55999999999997</v>
      </c>
    </row>
    <row r="2873" spans="1:8">
      <c r="B2873" s="450" t="s">
        <v>80</v>
      </c>
      <c r="C2873" s="451" t="s">
        <v>81</v>
      </c>
      <c r="D2873" s="451" t="s">
        <v>44</v>
      </c>
      <c r="E2873" s="451" t="s">
        <v>45</v>
      </c>
      <c r="F2873" s="452" t="s">
        <v>58</v>
      </c>
      <c r="G2873" s="452" t="s">
        <v>59</v>
      </c>
      <c r="H2873" s="452" t="s">
        <v>52</v>
      </c>
    </row>
    <row r="2874" spans="1:8">
      <c r="B2874" s="887" t="s">
        <v>60</v>
      </c>
      <c r="C2874" s="454" t="s">
        <v>69</v>
      </c>
      <c r="D2874" s="598">
        <v>5.3999999999999999E-2</v>
      </c>
      <c r="E2874" s="451" t="s">
        <v>46</v>
      </c>
      <c r="F2874" s="457">
        <f>F2799</f>
        <v>1200</v>
      </c>
      <c r="G2874" s="457">
        <f>INT(D2874*F2874*100)/100</f>
        <v>64.8</v>
      </c>
      <c r="H2874" s="452"/>
    </row>
    <row r="2875" spans="1:8" ht="12.75" customHeight="1">
      <c r="B2875" s="887"/>
      <c r="C2875" s="484" t="s">
        <v>43</v>
      </c>
      <c r="D2875" s="488">
        <v>8.1000000000000003E-2</v>
      </c>
      <c r="E2875" s="451" t="s">
        <v>46</v>
      </c>
      <c r="F2875" s="457">
        <f>F2800</f>
        <v>870</v>
      </c>
      <c r="G2875" s="457">
        <f>INT(D2875*F2875*100)/100</f>
        <v>70.47</v>
      </c>
      <c r="H2875" s="457"/>
    </row>
    <row r="2876" spans="1:8">
      <c r="B2876" s="855" t="s">
        <v>175</v>
      </c>
      <c r="C2876" s="855"/>
      <c r="D2876" s="856" t="s">
        <v>61</v>
      </c>
      <c r="E2876" s="856"/>
      <c r="F2876" s="856"/>
      <c r="G2876" s="457">
        <f>SUM(G2874:G2875)</f>
        <v>135.26999999999998</v>
      </c>
      <c r="H2876" s="457"/>
    </row>
    <row r="2877" spans="1:8">
      <c r="B2877" s="855"/>
      <c r="C2877" s="855"/>
      <c r="D2877" s="857" t="s">
        <v>573</v>
      </c>
      <c r="E2877" s="857"/>
      <c r="F2877" s="857"/>
      <c r="G2877" s="457">
        <f>INT(15%*G2876*100)/100</f>
        <v>20.29</v>
      </c>
      <c r="H2877" s="457"/>
    </row>
    <row r="2878" spans="1:8">
      <c r="B2878" s="855"/>
      <c r="C2878" s="855"/>
      <c r="D2878" s="856" t="s">
        <v>47</v>
      </c>
      <c r="E2878" s="856"/>
      <c r="F2878" s="856"/>
      <c r="G2878" s="457">
        <f>SUM(G2876:G2877)</f>
        <v>155.55999999999997</v>
      </c>
      <c r="H2878" s="457"/>
    </row>
    <row r="2879" spans="1:8">
      <c r="C2879" s="459"/>
      <c r="F2879" s="462"/>
      <c r="G2879" s="460"/>
      <c r="H2879" s="460"/>
    </row>
    <row r="2880" spans="1:8" s="605" customFormat="1" ht="28.5" customHeight="1">
      <c r="A2880" s="603">
        <v>12.07</v>
      </c>
      <c r="B2880" s="604" t="s">
        <v>510</v>
      </c>
      <c r="C2880" s="891" t="s">
        <v>1596</v>
      </c>
      <c r="D2880" s="892"/>
      <c r="E2880" s="892"/>
      <c r="F2880" s="610" t="s">
        <v>50</v>
      </c>
      <c r="G2880" s="610">
        <f>G2885</f>
        <v>469.82</v>
      </c>
      <c r="H2880" s="636">
        <f>G2887</f>
        <v>540.29</v>
      </c>
    </row>
    <row r="2881" spans="1:8">
      <c r="B2881" s="450" t="s">
        <v>80</v>
      </c>
      <c r="C2881" s="451" t="s">
        <v>81</v>
      </c>
      <c r="D2881" s="451" t="s">
        <v>44</v>
      </c>
      <c r="E2881" s="451" t="s">
        <v>45</v>
      </c>
      <c r="F2881" s="452" t="s">
        <v>58</v>
      </c>
      <c r="G2881" s="452" t="s">
        <v>59</v>
      </c>
      <c r="H2881" s="452" t="s">
        <v>52</v>
      </c>
    </row>
    <row r="2882" spans="1:8">
      <c r="B2882" s="887" t="s">
        <v>60</v>
      </c>
      <c r="C2882" s="454" t="s">
        <v>69</v>
      </c>
      <c r="D2882" s="598">
        <v>0.22</v>
      </c>
      <c r="E2882" s="451" t="s">
        <v>46</v>
      </c>
      <c r="F2882" s="457">
        <f>F2874</f>
        <v>1200</v>
      </c>
      <c r="G2882" s="457">
        <f>INT(D2882*F2882*100)/100</f>
        <v>264</v>
      </c>
      <c r="H2882" s="452"/>
    </row>
    <row r="2883" spans="1:8" ht="12.75" customHeight="1">
      <c r="B2883" s="887"/>
      <c r="C2883" s="484" t="s">
        <v>43</v>
      </c>
      <c r="D2883" s="488">
        <v>0.1</v>
      </c>
      <c r="E2883" s="451" t="s">
        <v>46</v>
      </c>
      <c r="F2883" s="457">
        <f>F2875</f>
        <v>870</v>
      </c>
      <c r="G2883" s="457">
        <f>INT(D2883*F2883*100)/100</f>
        <v>87</v>
      </c>
      <c r="H2883" s="457"/>
    </row>
    <row r="2884" spans="1:8" ht="12.75" customHeight="1">
      <c r="B2884" s="450"/>
      <c r="C2884" s="484" t="s">
        <v>511</v>
      </c>
      <c r="D2884" s="488">
        <v>0.245</v>
      </c>
      <c r="E2884" s="451" t="s">
        <v>107</v>
      </c>
      <c r="F2884" s="457">
        <f>'Basic Rate'!$F$224</f>
        <v>485</v>
      </c>
      <c r="G2884" s="457">
        <f>INT(D2884*F2884*100)/100</f>
        <v>118.82</v>
      </c>
      <c r="H2884" s="457"/>
    </row>
    <row r="2885" spans="1:8">
      <c r="B2885" s="855" t="s">
        <v>175</v>
      </c>
      <c r="C2885" s="855"/>
      <c r="D2885" s="856" t="s">
        <v>61</v>
      </c>
      <c r="E2885" s="856"/>
      <c r="F2885" s="856"/>
      <c r="G2885" s="457">
        <f>SUM(G2882:G2884)</f>
        <v>469.82</v>
      </c>
      <c r="H2885" s="457"/>
    </row>
    <row r="2886" spans="1:8">
      <c r="B2886" s="855"/>
      <c r="C2886" s="855"/>
      <c r="D2886" s="857" t="s">
        <v>573</v>
      </c>
      <c r="E2886" s="857"/>
      <c r="F2886" s="857"/>
      <c r="G2886" s="457">
        <f>INT(15%*G2885*100)/100</f>
        <v>70.47</v>
      </c>
      <c r="H2886" s="457"/>
    </row>
    <row r="2887" spans="1:8">
      <c r="B2887" s="855"/>
      <c r="C2887" s="855"/>
      <c r="D2887" s="856" t="s">
        <v>47</v>
      </c>
      <c r="E2887" s="856"/>
      <c r="F2887" s="856"/>
      <c r="G2887" s="457">
        <f>SUM(G2885:G2886)</f>
        <v>540.29</v>
      </c>
      <c r="H2887" s="457"/>
    </row>
    <row r="2888" spans="1:8">
      <c r="C2888" s="459"/>
      <c r="F2888" s="462"/>
      <c r="G2888" s="460"/>
      <c r="H2888" s="460"/>
    </row>
    <row r="2889" spans="1:8" s="605" customFormat="1" ht="27.75" customHeight="1">
      <c r="A2889" s="603">
        <v>12.08</v>
      </c>
      <c r="B2889" s="604" t="s">
        <v>513</v>
      </c>
      <c r="C2889" s="891" t="s">
        <v>1160</v>
      </c>
      <c r="D2889" s="892"/>
      <c r="E2889" s="892"/>
      <c r="F2889" s="610" t="s">
        <v>38</v>
      </c>
      <c r="G2889" s="610">
        <f>TRUNC(G2894/10,2)</f>
        <v>322.55</v>
      </c>
      <c r="H2889" s="610">
        <f>TRUNC(G2896/10,2)</f>
        <v>370.94</v>
      </c>
    </row>
    <row r="2890" spans="1:8">
      <c r="B2890" s="450" t="s">
        <v>80</v>
      </c>
      <c r="C2890" s="451" t="s">
        <v>81</v>
      </c>
      <c r="D2890" s="451" t="s">
        <v>44</v>
      </c>
      <c r="E2890" s="451" t="s">
        <v>45</v>
      </c>
      <c r="F2890" s="452" t="s">
        <v>58</v>
      </c>
      <c r="G2890" s="452" t="s">
        <v>59</v>
      </c>
      <c r="H2890" s="452" t="s">
        <v>52</v>
      </c>
    </row>
    <row r="2891" spans="1:8">
      <c r="B2891" s="529"/>
      <c r="C2891" s="484" t="s">
        <v>43</v>
      </c>
      <c r="D2891" s="637">
        <f>TRUNC(13.5/4,3)</f>
        <v>3.375</v>
      </c>
      <c r="E2891" s="451" t="s">
        <v>46</v>
      </c>
      <c r="F2891" s="457">
        <f>F2883</f>
        <v>870</v>
      </c>
      <c r="G2891" s="457">
        <f>INT(D2891*F2891*100)/100</f>
        <v>2936.25</v>
      </c>
      <c r="H2891" s="457"/>
    </row>
    <row r="2892" spans="1:8">
      <c r="B2892" s="864" t="s">
        <v>63</v>
      </c>
      <c r="C2892" s="454" t="s">
        <v>705</v>
      </c>
      <c r="D2892" s="637">
        <f>TRUNC(0.37/2,3)</f>
        <v>0.185</v>
      </c>
      <c r="E2892" s="451" t="s">
        <v>74</v>
      </c>
      <c r="F2892" s="457">
        <f>'Basic Rate'!F144</f>
        <v>191</v>
      </c>
      <c r="G2892" s="457">
        <f>INT(D2892*F2892*100)/100</f>
        <v>35.33</v>
      </c>
      <c r="H2892" s="457" t="s">
        <v>202</v>
      </c>
    </row>
    <row r="2893" spans="1:8">
      <c r="B2893" s="868"/>
      <c r="C2893" s="454" t="s">
        <v>108</v>
      </c>
      <c r="D2893" s="637">
        <v>1</v>
      </c>
      <c r="E2893" s="451" t="s">
        <v>46</v>
      </c>
      <c r="F2893" s="457">
        <f>'Basic Rate'!F34</f>
        <v>254</v>
      </c>
      <c r="G2893" s="457">
        <f>INT(D2893*F2893*100)/100</f>
        <v>254</v>
      </c>
      <c r="H2893" s="457" t="s">
        <v>86</v>
      </c>
    </row>
    <row r="2894" spans="1:8">
      <c r="B2894" s="855" t="s">
        <v>125</v>
      </c>
      <c r="C2894" s="855"/>
      <c r="D2894" s="856" t="s">
        <v>61</v>
      </c>
      <c r="E2894" s="856"/>
      <c r="F2894" s="856"/>
      <c r="G2894" s="457">
        <f>SUM(G2891:G2893)</f>
        <v>3225.58</v>
      </c>
      <c r="H2894" s="457"/>
    </row>
    <row r="2895" spans="1:8">
      <c r="B2895" s="855"/>
      <c r="C2895" s="855"/>
      <c r="D2895" s="857" t="s">
        <v>573</v>
      </c>
      <c r="E2895" s="857"/>
      <c r="F2895" s="857"/>
      <c r="G2895" s="457">
        <f>INT(15%*G2894*100)/100</f>
        <v>483.83</v>
      </c>
      <c r="H2895" s="457"/>
    </row>
    <row r="2896" spans="1:8">
      <c r="B2896" s="855"/>
      <c r="C2896" s="855"/>
      <c r="D2896" s="856" t="s">
        <v>47</v>
      </c>
      <c r="E2896" s="856"/>
      <c r="F2896" s="856"/>
      <c r="G2896" s="457">
        <f>SUM(G2894:G2895)</f>
        <v>3709.41</v>
      </c>
      <c r="H2896" s="457"/>
    </row>
    <row r="2897" spans="1:8">
      <c r="B2897" s="458"/>
      <c r="C2897" s="458"/>
      <c r="F2897" s="459"/>
      <c r="G2897" s="460"/>
      <c r="H2897" s="460"/>
    </row>
    <row r="2898" spans="1:8" s="605" customFormat="1" ht="27.75" customHeight="1">
      <c r="A2898" s="603">
        <v>12.09</v>
      </c>
      <c r="B2898" s="604" t="s">
        <v>514</v>
      </c>
      <c r="C2898" s="891" t="s">
        <v>515</v>
      </c>
      <c r="D2898" s="892"/>
      <c r="E2898" s="892"/>
      <c r="F2898" s="610" t="s">
        <v>38</v>
      </c>
      <c r="G2898" s="610">
        <f>TRUNC(G2903/10,2)</f>
        <v>93.16</v>
      </c>
      <c r="H2898" s="610">
        <f>TRUNC(G2905/10,2)</f>
        <v>107.13</v>
      </c>
    </row>
    <row r="2899" spans="1:8">
      <c r="B2899" s="450" t="s">
        <v>80</v>
      </c>
      <c r="C2899" s="451" t="s">
        <v>81</v>
      </c>
      <c r="D2899" s="451" t="s">
        <v>44</v>
      </c>
      <c r="E2899" s="451" t="s">
        <v>45</v>
      </c>
      <c r="F2899" s="452" t="s">
        <v>58</v>
      </c>
      <c r="G2899" s="452" t="s">
        <v>59</v>
      </c>
      <c r="H2899" s="452" t="s">
        <v>52</v>
      </c>
    </row>
    <row r="2900" spans="1:8">
      <c r="B2900" s="529"/>
      <c r="C2900" s="484" t="s">
        <v>43</v>
      </c>
      <c r="D2900" s="637">
        <v>0.38</v>
      </c>
      <c r="E2900" s="451" t="s">
        <v>46</v>
      </c>
      <c r="F2900" s="457">
        <f>F2891</f>
        <v>870</v>
      </c>
      <c r="G2900" s="457">
        <f>INT(D2900*F2900*100)/100</f>
        <v>330.6</v>
      </c>
      <c r="H2900" s="457"/>
    </row>
    <row r="2901" spans="1:8">
      <c r="B2901" s="864" t="s">
        <v>63</v>
      </c>
      <c r="C2901" s="454" t="s">
        <v>117</v>
      </c>
      <c r="D2901" s="637"/>
      <c r="E2901" s="451" t="s">
        <v>613</v>
      </c>
      <c r="F2901" s="457">
        <f>'Basic Rate'!F176</f>
        <v>23</v>
      </c>
      <c r="G2901" s="457">
        <f>F2901</f>
        <v>23</v>
      </c>
      <c r="H2901" s="457" t="s">
        <v>86</v>
      </c>
    </row>
    <row r="2902" spans="1:8">
      <c r="B2902" s="868"/>
      <c r="C2902" s="454" t="s">
        <v>516</v>
      </c>
      <c r="D2902" s="637"/>
      <c r="E2902" s="451" t="s">
        <v>613</v>
      </c>
      <c r="F2902" s="457">
        <f>'Basic Rate'!$F$113</f>
        <v>578</v>
      </c>
      <c r="G2902" s="457">
        <f>F2902</f>
        <v>578</v>
      </c>
      <c r="H2902" s="457" t="s">
        <v>86</v>
      </c>
    </row>
    <row r="2903" spans="1:8">
      <c r="B2903" s="855" t="s">
        <v>125</v>
      </c>
      <c r="C2903" s="855"/>
      <c r="D2903" s="856" t="s">
        <v>61</v>
      </c>
      <c r="E2903" s="856"/>
      <c r="F2903" s="856"/>
      <c r="G2903" s="457">
        <f>SUM(G2900:G2902)</f>
        <v>931.6</v>
      </c>
      <c r="H2903" s="457"/>
    </row>
    <row r="2904" spans="1:8">
      <c r="B2904" s="855"/>
      <c r="C2904" s="855"/>
      <c r="D2904" s="857" t="s">
        <v>573</v>
      </c>
      <c r="E2904" s="857"/>
      <c r="F2904" s="857"/>
      <c r="G2904" s="457">
        <f>INT(15%*G2903*100)/100</f>
        <v>139.74</v>
      </c>
      <c r="H2904" s="457"/>
    </row>
    <row r="2905" spans="1:8">
      <c r="B2905" s="855"/>
      <c r="C2905" s="855"/>
      <c r="D2905" s="856" t="s">
        <v>47</v>
      </c>
      <c r="E2905" s="856"/>
      <c r="F2905" s="856"/>
      <c r="G2905" s="457">
        <f>SUM(G2903:G2904)</f>
        <v>1071.3400000000001</v>
      </c>
      <c r="H2905" s="457"/>
    </row>
    <row r="2906" spans="1:8">
      <c r="B2906" s="532"/>
      <c r="C2906" s="532"/>
      <c r="D2906" s="451"/>
      <c r="E2906" s="451"/>
      <c r="F2906" s="451"/>
      <c r="G2906" s="457"/>
      <c r="H2906" s="457"/>
    </row>
    <row r="2907" spans="1:8" s="605" customFormat="1" ht="40.65" customHeight="1">
      <c r="A2907" s="603">
        <v>12.1</v>
      </c>
      <c r="B2907" s="604" t="s">
        <v>517</v>
      </c>
      <c r="C2907" s="891" t="s">
        <v>1161</v>
      </c>
      <c r="D2907" s="892"/>
      <c r="E2907" s="892"/>
      <c r="F2907" s="610" t="s">
        <v>38</v>
      </c>
      <c r="G2907" s="610">
        <f>TRUNC(G2914/10,2)</f>
        <v>340.87</v>
      </c>
      <c r="H2907" s="610">
        <f>TRUNC(G2916/10,2)</f>
        <v>392.01</v>
      </c>
    </row>
    <row r="2908" spans="1:8">
      <c r="B2908" s="450" t="s">
        <v>80</v>
      </c>
      <c r="C2908" s="451" t="s">
        <v>81</v>
      </c>
      <c r="D2908" s="451" t="s">
        <v>44</v>
      </c>
      <c r="E2908" s="451" t="s">
        <v>45</v>
      </c>
      <c r="F2908" s="452" t="s">
        <v>58</v>
      </c>
      <c r="G2908" s="452" t="s">
        <v>59</v>
      </c>
      <c r="H2908" s="452" t="s">
        <v>52</v>
      </c>
    </row>
    <row r="2909" spans="1:8">
      <c r="B2909" s="529"/>
      <c r="C2909" s="484" t="s">
        <v>43</v>
      </c>
      <c r="D2909" s="637">
        <v>3.38</v>
      </c>
      <c r="E2909" s="451" t="s">
        <v>46</v>
      </c>
      <c r="F2909" s="457">
        <f>F2900</f>
        <v>870</v>
      </c>
      <c r="G2909" s="457">
        <f>INT(D2909*F2909*100)/100</f>
        <v>2940.6</v>
      </c>
      <c r="H2909" s="457"/>
    </row>
    <row r="2910" spans="1:8">
      <c r="B2910" s="864" t="s">
        <v>63</v>
      </c>
      <c r="C2910" s="454" t="s">
        <v>705</v>
      </c>
      <c r="D2910" s="637">
        <v>0.37</v>
      </c>
      <c r="E2910" s="451" t="s">
        <v>74</v>
      </c>
      <c r="F2910" s="457">
        <f>'Basic Rate'!F144</f>
        <v>191</v>
      </c>
      <c r="G2910" s="457">
        <f>INT(D2910*F2910*100)/100</f>
        <v>70.67</v>
      </c>
      <c r="H2910" s="457"/>
    </row>
    <row r="2911" spans="1:8">
      <c r="B2911" s="868"/>
      <c r="C2911" s="454" t="s">
        <v>105</v>
      </c>
      <c r="D2911" s="637">
        <v>0.11799999999999999</v>
      </c>
      <c r="E2911" s="451" t="s">
        <v>74</v>
      </c>
      <c r="F2911" s="457">
        <f>'Basic Rate'!F113</f>
        <v>578</v>
      </c>
      <c r="G2911" s="457">
        <f>INT(D2911*F2911*100)/100</f>
        <v>68.2</v>
      </c>
      <c r="H2911" s="457"/>
    </row>
    <row r="2912" spans="1:8">
      <c r="B2912" s="868"/>
      <c r="C2912" s="484" t="s">
        <v>106</v>
      </c>
      <c r="D2912" s="637">
        <v>0.53800000000000003</v>
      </c>
      <c r="E2912" s="451" t="s">
        <v>107</v>
      </c>
      <c r="F2912" s="457">
        <f>'Basic Rate'!F197</f>
        <v>140</v>
      </c>
      <c r="G2912" s="457">
        <f>INT(D2912*F2912*100)/100</f>
        <v>75.319999999999993</v>
      </c>
      <c r="H2912" s="457"/>
    </row>
    <row r="2913" spans="1:8">
      <c r="B2913" s="868"/>
      <c r="C2913" s="454" t="s">
        <v>108</v>
      </c>
      <c r="D2913" s="637">
        <v>1</v>
      </c>
      <c r="E2913" s="451" t="s">
        <v>46</v>
      </c>
      <c r="F2913" s="457">
        <f>'Basic Rate'!F34</f>
        <v>254</v>
      </c>
      <c r="G2913" s="457">
        <f>INT(D2913*F2913*100)/100</f>
        <v>254</v>
      </c>
      <c r="H2913" s="457" t="s">
        <v>86</v>
      </c>
    </row>
    <row r="2914" spans="1:8">
      <c r="B2914" s="855" t="s">
        <v>125</v>
      </c>
      <c r="C2914" s="855"/>
      <c r="D2914" s="856" t="s">
        <v>61</v>
      </c>
      <c r="E2914" s="856"/>
      <c r="F2914" s="856"/>
      <c r="G2914" s="457">
        <f>SUM(G2909:G2913)</f>
        <v>3408.79</v>
      </c>
      <c r="H2914" s="457"/>
    </row>
    <row r="2915" spans="1:8">
      <c r="B2915" s="855"/>
      <c r="C2915" s="855"/>
      <c r="D2915" s="857" t="s">
        <v>573</v>
      </c>
      <c r="E2915" s="857"/>
      <c r="F2915" s="857"/>
      <c r="G2915" s="457">
        <f>INT(15%*G2914*100)/100</f>
        <v>511.31</v>
      </c>
      <c r="H2915" s="457"/>
    </row>
    <row r="2916" spans="1:8">
      <c r="B2916" s="855"/>
      <c r="C2916" s="855"/>
      <c r="D2916" s="856" t="s">
        <v>47</v>
      </c>
      <c r="E2916" s="856"/>
      <c r="F2916" s="856"/>
      <c r="G2916" s="457">
        <f>SUM(G2914:G2915)</f>
        <v>3920.1</v>
      </c>
      <c r="H2916" s="457"/>
    </row>
    <row r="2917" spans="1:8">
      <c r="B2917" s="458"/>
      <c r="C2917" s="458"/>
      <c r="F2917" s="459"/>
      <c r="G2917" s="460"/>
      <c r="H2917" s="460"/>
    </row>
    <row r="2918" spans="1:8" s="605" customFormat="1" ht="27.75" customHeight="1">
      <c r="A2918" s="603">
        <v>12.11</v>
      </c>
      <c r="B2918" s="604" t="s">
        <v>520</v>
      </c>
      <c r="C2918" s="891" t="s">
        <v>519</v>
      </c>
      <c r="D2918" s="892"/>
      <c r="E2918" s="892"/>
      <c r="F2918" s="610" t="s">
        <v>46</v>
      </c>
      <c r="G2918" s="610">
        <f>TRUNC(G2923/1000,2)</f>
        <v>3.78</v>
      </c>
      <c r="H2918" s="610">
        <f>TRUNC(G2925/1000,2)</f>
        <v>4.3499999999999996</v>
      </c>
    </row>
    <row r="2919" spans="1:8">
      <c r="B2919" s="450" t="s">
        <v>80</v>
      </c>
      <c r="C2919" s="451" t="s">
        <v>81</v>
      </c>
      <c r="D2919" s="451" t="s">
        <v>44</v>
      </c>
      <c r="E2919" s="451" t="s">
        <v>45</v>
      </c>
      <c r="F2919" s="452" t="s">
        <v>58</v>
      </c>
      <c r="G2919" s="452" t="s">
        <v>59</v>
      </c>
      <c r="H2919" s="452" t="s">
        <v>52</v>
      </c>
    </row>
    <row r="2920" spans="1:8">
      <c r="B2920" s="864" t="s">
        <v>60</v>
      </c>
      <c r="C2920" s="454" t="s">
        <v>69</v>
      </c>
      <c r="D2920" s="637">
        <v>0.04</v>
      </c>
      <c r="E2920" s="451" t="s">
        <v>46</v>
      </c>
      <c r="F2920" s="457">
        <f>F2874</f>
        <v>1200</v>
      </c>
      <c r="G2920" s="457">
        <f>INT(D2920*F2920*100)/100</f>
        <v>48</v>
      </c>
      <c r="H2920" s="452"/>
    </row>
    <row r="2921" spans="1:8">
      <c r="B2921" s="865"/>
      <c r="C2921" s="484" t="s">
        <v>43</v>
      </c>
      <c r="D2921" s="637">
        <v>3.9</v>
      </c>
      <c r="E2921" s="451" t="s">
        <v>46</v>
      </c>
      <c r="F2921" s="457">
        <f>F2909</f>
        <v>870</v>
      </c>
      <c r="G2921" s="457">
        <f>INT(D2921*F2921*100)/100</f>
        <v>3393</v>
      </c>
      <c r="H2921" s="457"/>
    </row>
    <row r="2922" spans="1:8">
      <c r="B2922" s="468" t="s">
        <v>313</v>
      </c>
      <c r="C2922" s="454" t="s">
        <v>521</v>
      </c>
      <c r="D2922" s="893" t="s">
        <v>522</v>
      </c>
      <c r="E2922" s="894"/>
      <c r="F2922" s="895"/>
      <c r="G2922" s="457">
        <f>TRUNC((G2920+G2921)*10%,2)</f>
        <v>344.1</v>
      </c>
      <c r="H2922" s="457"/>
    </row>
    <row r="2923" spans="1:8">
      <c r="B2923" s="855" t="s">
        <v>518</v>
      </c>
      <c r="C2923" s="855"/>
      <c r="D2923" s="856" t="s">
        <v>61</v>
      </c>
      <c r="E2923" s="856"/>
      <c r="F2923" s="856"/>
      <c r="G2923" s="457">
        <f>SUM(G2920:G2922)</f>
        <v>3785.1</v>
      </c>
      <c r="H2923" s="457"/>
    </row>
    <row r="2924" spans="1:8">
      <c r="B2924" s="855"/>
      <c r="C2924" s="855"/>
      <c r="D2924" s="857" t="s">
        <v>573</v>
      </c>
      <c r="E2924" s="857"/>
      <c r="F2924" s="857"/>
      <c r="G2924" s="457">
        <f>INT(15%*G2923*100)/100</f>
        <v>567.76</v>
      </c>
      <c r="H2924" s="457"/>
    </row>
    <row r="2925" spans="1:8">
      <c r="B2925" s="855"/>
      <c r="C2925" s="855"/>
      <c r="D2925" s="856" t="s">
        <v>47</v>
      </c>
      <c r="E2925" s="856"/>
      <c r="F2925" s="856"/>
      <c r="G2925" s="457">
        <f>SUM(G2923:G2924)</f>
        <v>4352.8599999999997</v>
      </c>
      <c r="H2925" s="457"/>
    </row>
    <row r="2926" spans="1:8">
      <c r="B2926" s="458"/>
      <c r="C2926" s="458"/>
      <c r="F2926" s="459"/>
      <c r="G2926" s="460"/>
      <c r="H2926" s="460"/>
    </row>
    <row r="2927" spans="1:8" s="605" customFormat="1" ht="27.75" customHeight="1">
      <c r="A2927" s="603">
        <v>12.12</v>
      </c>
      <c r="B2927" s="604" t="s">
        <v>524</v>
      </c>
      <c r="C2927" s="891" t="s">
        <v>523</v>
      </c>
      <c r="D2927" s="892"/>
      <c r="E2927" s="892"/>
      <c r="F2927" s="610" t="s">
        <v>46</v>
      </c>
      <c r="G2927" s="610">
        <f>TRUNC(G2932/1000,2)</f>
        <v>6.22</v>
      </c>
      <c r="H2927" s="610">
        <f>TRUNC(G2934/1000,2)</f>
        <v>7.15</v>
      </c>
    </row>
    <row r="2928" spans="1:8">
      <c r="B2928" s="450" t="s">
        <v>80</v>
      </c>
      <c r="C2928" s="451" t="s">
        <v>81</v>
      </c>
      <c r="D2928" s="451" t="s">
        <v>44</v>
      </c>
      <c r="E2928" s="451" t="s">
        <v>45</v>
      </c>
      <c r="F2928" s="452" t="s">
        <v>58</v>
      </c>
      <c r="G2928" s="452" t="s">
        <v>59</v>
      </c>
      <c r="H2928" s="452" t="s">
        <v>52</v>
      </c>
    </row>
    <row r="2929" spans="1:8">
      <c r="B2929" s="864" t="s">
        <v>60</v>
      </c>
      <c r="C2929" s="454" t="s">
        <v>69</v>
      </c>
      <c r="D2929" s="637">
        <v>1.2</v>
      </c>
      <c r="E2929" s="451" t="s">
        <v>46</v>
      </c>
      <c r="F2929" s="457">
        <f>F2920</f>
        <v>1200</v>
      </c>
      <c r="G2929" s="457">
        <f>INT(D2929*F2929*100)/100</f>
        <v>1440</v>
      </c>
      <c r="H2929" s="452"/>
    </row>
    <row r="2930" spans="1:8">
      <c r="B2930" s="865"/>
      <c r="C2930" s="484" t="s">
        <v>43</v>
      </c>
      <c r="D2930" s="637">
        <v>4.8499999999999996</v>
      </c>
      <c r="E2930" s="451" t="s">
        <v>46</v>
      </c>
      <c r="F2930" s="457">
        <f>F2921</f>
        <v>870</v>
      </c>
      <c r="G2930" s="457">
        <f>INT(D2930*F2930*100)/100</f>
        <v>4219.5</v>
      </c>
      <c r="H2930" s="457"/>
    </row>
    <row r="2931" spans="1:8">
      <c r="B2931" s="468" t="s">
        <v>313</v>
      </c>
      <c r="C2931" s="454" t="s">
        <v>521</v>
      </c>
      <c r="D2931" s="893" t="s">
        <v>522</v>
      </c>
      <c r="E2931" s="894"/>
      <c r="F2931" s="895"/>
      <c r="G2931" s="457">
        <f>TRUNC((G2929+G2930)*10%,2)</f>
        <v>565.95000000000005</v>
      </c>
      <c r="H2931" s="457"/>
    </row>
    <row r="2932" spans="1:8">
      <c r="B2932" s="855" t="s">
        <v>518</v>
      </c>
      <c r="C2932" s="855"/>
      <c r="D2932" s="856" t="s">
        <v>61</v>
      </c>
      <c r="E2932" s="856"/>
      <c r="F2932" s="856"/>
      <c r="G2932" s="457">
        <f>SUM(G2929:G2931)</f>
        <v>6225.45</v>
      </c>
      <c r="H2932" s="457"/>
    </row>
    <row r="2933" spans="1:8">
      <c r="B2933" s="855"/>
      <c r="C2933" s="855"/>
      <c r="D2933" s="857" t="s">
        <v>573</v>
      </c>
      <c r="E2933" s="857"/>
      <c r="F2933" s="857"/>
      <c r="G2933" s="457">
        <f>INT(15%*G2932*100)/100</f>
        <v>933.81</v>
      </c>
      <c r="H2933" s="457"/>
    </row>
    <row r="2934" spans="1:8">
      <c r="B2934" s="855"/>
      <c r="C2934" s="855"/>
      <c r="D2934" s="856" t="s">
        <v>47</v>
      </c>
      <c r="E2934" s="856"/>
      <c r="F2934" s="856"/>
      <c r="G2934" s="457">
        <f>SUM(G2932:G2933)</f>
        <v>7159.26</v>
      </c>
      <c r="H2934" s="457"/>
    </row>
    <row r="2935" spans="1:8">
      <c r="B2935" s="458"/>
      <c r="C2935" s="458"/>
      <c r="F2935" s="459"/>
      <c r="G2935" s="460"/>
      <c r="H2935" s="460"/>
    </row>
    <row r="2936" spans="1:8" s="605" customFormat="1" ht="27.75" customHeight="1">
      <c r="A2936" s="603">
        <v>12.13</v>
      </c>
      <c r="B2936" s="604" t="s">
        <v>525</v>
      </c>
      <c r="C2936" s="891" t="s">
        <v>747</v>
      </c>
      <c r="D2936" s="892"/>
      <c r="E2936" s="892"/>
      <c r="F2936" s="610" t="s">
        <v>68</v>
      </c>
      <c r="G2936" s="610">
        <f>G2941</f>
        <v>1327.72</v>
      </c>
      <c r="H2936" s="610">
        <f>G2943</f>
        <v>1526.8700000000001</v>
      </c>
    </row>
    <row r="2937" spans="1:8">
      <c r="B2937" s="450" t="s">
        <v>80</v>
      </c>
      <c r="C2937" s="451" t="s">
        <v>81</v>
      </c>
      <c r="D2937" s="451" t="s">
        <v>44</v>
      </c>
      <c r="E2937" s="451" t="s">
        <v>45</v>
      </c>
      <c r="F2937" s="452" t="s">
        <v>58</v>
      </c>
      <c r="G2937" s="452" t="s">
        <v>59</v>
      </c>
      <c r="H2937" s="452" t="s">
        <v>52</v>
      </c>
    </row>
    <row r="2938" spans="1:8">
      <c r="B2938" s="864" t="s">
        <v>60</v>
      </c>
      <c r="C2938" s="454" t="s">
        <v>69</v>
      </c>
      <c r="D2938" s="637">
        <v>0.22</v>
      </c>
      <c r="E2938" s="451" t="s">
        <v>46</v>
      </c>
      <c r="F2938" s="457">
        <f>F2929</f>
        <v>1200</v>
      </c>
      <c r="G2938" s="457">
        <f>INT(D2938*F2938*100)/100</f>
        <v>264</v>
      </c>
      <c r="H2938" s="452"/>
    </row>
    <row r="2939" spans="1:8">
      <c r="B2939" s="865"/>
      <c r="C2939" s="484" t="s">
        <v>43</v>
      </c>
      <c r="D2939" s="637">
        <v>1.1499999999999999</v>
      </c>
      <c r="E2939" s="451" t="s">
        <v>46</v>
      </c>
      <c r="F2939" s="457">
        <f>F2930</f>
        <v>870</v>
      </c>
      <c r="G2939" s="457">
        <f>INT(D2939*F2939*100)/100</f>
        <v>1000.5</v>
      </c>
      <c r="H2939" s="457"/>
    </row>
    <row r="2940" spans="1:8">
      <c r="B2940" s="468" t="s">
        <v>313</v>
      </c>
      <c r="C2940" s="454" t="s">
        <v>521</v>
      </c>
      <c r="D2940" s="893" t="s">
        <v>526</v>
      </c>
      <c r="E2940" s="894"/>
      <c r="F2940" s="895"/>
      <c r="G2940" s="457">
        <f>TRUNC((G2938+G2939)*5%,2)</f>
        <v>63.22</v>
      </c>
      <c r="H2940" s="457"/>
    </row>
    <row r="2941" spans="1:8">
      <c r="B2941" s="855" t="s">
        <v>62</v>
      </c>
      <c r="C2941" s="855"/>
      <c r="D2941" s="856" t="s">
        <v>61</v>
      </c>
      <c r="E2941" s="856"/>
      <c r="F2941" s="856"/>
      <c r="G2941" s="457">
        <f>SUM(G2938:G2940)</f>
        <v>1327.72</v>
      </c>
      <c r="H2941" s="457"/>
    </row>
    <row r="2942" spans="1:8">
      <c r="B2942" s="855"/>
      <c r="C2942" s="855"/>
      <c r="D2942" s="857" t="s">
        <v>573</v>
      </c>
      <c r="E2942" s="857"/>
      <c r="F2942" s="857"/>
      <c r="G2942" s="457">
        <f>INT(15%*G2941*100)/100</f>
        <v>199.15</v>
      </c>
      <c r="H2942" s="457"/>
    </row>
    <row r="2943" spans="1:8">
      <c r="B2943" s="855"/>
      <c r="C2943" s="855"/>
      <c r="D2943" s="858" t="s">
        <v>47</v>
      </c>
      <c r="E2943" s="859"/>
      <c r="F2943" s="860"/>
      <c r="G2943" s="457">
        <f>SUM(G2941:G2942)</f>
        <v>1526.8700000000001</v>
      </c>
      <c r="H2943" s="457"/>
    </row>
    <row r="2944" spans="1:8">
      <c r="B2944" s="458"/>
      <c r="C2944" s="458"/>
      <c r="F2944" s="459"/>
      <c r="G2944" s="460"/>
      <c r="H2944" s="460"/>
    </row>
    <row r="2945" spans="1:8" s="605" customFormat="1" ht="27.75" customHeight="1">
      <c r="A2945" s="630" t="s">
        <v>749</v>
      </c>
      <c r="B2945" s="604" t="s">
        <v>525</v>
      </c>
      <c r="C2945" s="891" t="s">
        <v>748</v>
      </c>
      <c r="D2945" s="892"/>
      <c r="E2945" s="892"/>
      <c r="F2945" s="610" t="s">
        <v>68</v>
      </c>
      <c r="G2945" s="610">
        <f>G2950</f>
        <v>1078.1899999999998</v>
      </c>
      <c r="H2945" s="610">
        <f>G2952</f>
        <v>1239.9099999999999</v>
      </c>
    </row>
    <row r="2946" spans="1:8">
      <c r="B2946" s="450" t="s">
        <v>80</v>
      </c>
      <c r="C2946" s="451" t="s">
        <v>81</v>
      </c>
      <c r="D2946" s="451" t="s">
        <v>44</v>
      </c>
      <c r="E2946" s="451" t="s">
        <v>45</v>
      </c>
      <c r="F2946" s="452" t="s">
        <v>58</v>
      </c>
      <c r="G2946" s="452" t="s">
        <v>59</v>
      </c>
      <c r="H2946" s="452" t="s">
        <v>52</v>
      </c>
    </row>
    <row r="2947" spans="1:8">
      <c r="B2947" s="864" t="s">
        <v>60</v>
      </c>
      <c r="C2947" s="454" t="s">
        <v>69</v>
      </c>
      <c r="D2947" s="637">
        <f>0.22/1.2</f>
        <v>0.18333333333333335</v>
      </c>
      <c r="E2947" s="451" t="s">
        <v>46</v>
      </c>
      <c r="F2947" s="457">
        <f>F2938</f>
        <v>1200</v>
      </c>
      <c r="G2947" s="457">
        <f>INT(D2947*F2947*100)/100</f>
        <v>220</v>
      </c>
      <c r="H2947" s="452"/>
    </row>
    <row r="2948" spans="1:8">
      <c r="B2948" s="865"/>
      <c r="C2948" s="484" t="s">
        <v>43</v>
      </c>
      <c r="D2948" s="637">
        <f>1.15/1.24</f>
        <v>0.92741935483870963</v>
      </c>
      <c r="E2948" s="451" t="s">
        <v>46</v>
      </c>
      <c r="F2948" s="457">
        <f>F2939</f>
        <v>870</v>
      </c>
      <c r="G2948" s="457">
        <f>INT(D2948*F2948*100)/100</f>
        <v>806.85</v>
      </c>
      <c r="H2948" s="457"/>
    </row>
    <row r="2949" spans="1:8">
      <c r="B2949" s="468" t="s">
        <v>313</v>
      </c>
      <c r="C2949" s="454" t="s">
        <v>521</v>
      </c>
      <c r="D2949" s="893" t="s">
        <v>526</v>
      </c>
      <c r="E2949" s="894"/>
      <c r="F2949" s="895"/>
      <c r="G2949" s="457">
        <f>TRUNC((G2947+G2948)*5%,2)</f>
        <v>51.34</v>
      </c>
      <c r="H2949" s="457"/>
    </row>
    <row r="2950" spans="1:8">
      <c r="B2950" s="855" t="s">
        <v>62</v>
      </c>
      <c r="C2950" s="855"/>
      <c r="D2950" s="856" t="s">
        <v>61</v>
      </c>
      <c r="E2950" s="856"/>
      <c r="F2950" s="856"/>
      <c r="G2950" s="457">
        <f>SUM(G2947:G2949)</f>
        <v>1078.1899999999998</v>
      </c>
      <c r="H2950" s="457"/>
    </row>
    <row r="2951" spans="1:8">
      <c r="B2951" s="855"/>
      <c r="C2951" s="855"/>
      <c r="D2951" s="857" t="s">
        <v>573</v>
      </c>
      <c r="E2951" s="857"/>
      <c r="F2951" s="857"/>
      <c r="G2951" s="457">
        <f>INT(15%*G2950*100)/100</f>
        <v>161.72</v>
      </c>
      <c r="H2951" s="457"/>
    </row>
    <row r="2952" spans="1:8">
      <c r="B2952" s="855"/>
      <c r="C2952" s="855"/>
      <c r="D2952" s="858" t="s">
        <v>47</v>
      </c>
      <c r="E2952" s="859"/>
      <c r="F2952" s="860"/>
      <c r="G2952" s="457">
        <f>SUM(G2950:G2951)</f>
        <v>1239.9099999999999</v>
      </c>
      <c r="H2952" s="457"/>
    </row>
    <row r="2953" spans="1:8">
      <c r="B2953" s="458"/>
      <c r="C2953" s="458"/>
      <c r="F2953" s="459"/>
      <c r="G2953" s="460"/>
      <c r="H2953" s="460"/>
    </row>
    <row r="2954" spans="1:8">
      <c r="F2954" s="460"/>
      <c r="G2954" s="460"/>
      <c r="H2954" s="460"/>
    </row>
    <row r="2955" spans="1:8" s="605" customFormat="1" ht="27.75" customHeight="1">
      <c r="A2955" s="603">
        <v>12.14</v>
      </c>
      <c r="B2955" s="604" t="s">
        <v>528</v>
      </c>
      <c r="C2955" s="891" t="s">
        <v>527</v>
      </c>
      <c r="D2955" s="892"/>
      <c r="E2955" s="892"/>
      <c r="F2955" s="610" t="s">
        <v>50</v>
      </c>
      <c r="G2955" s="610">
        <f>G2958</f>
        <v>391.5</v>
      </c>
      <c r="H2955" s="610">
        <f>G2960</f>
        <v>450.22</v>
      </c>
    </row>
    <row r="2956" spans="1:8">
      <c r="B2956" s="450" t="s">
        <v>80</v>
      </c>
      <c r="C2956" s="451" t="s">
        <v>81</v>
      </c>
      <c r="D2956" s="451" t="s">
        <v>44</v>
      </c>
      <c r="E2956" s="451" t="s">
        <v>45</v>
      </c>
      <c r="F2956" s="452" t="s">
        <v>58</v>
      </c>
      <c r="G2956" s="452" t="s">
        <v>59</v>
      </c>
      <c r="H2956" s="452" t="s">
        <v>52</v>
      </c>
    </row>
    <row r="2957" spans="1:8">
      <c r="B2957" s="529"/>
      <c r="C2957" s="484" t="s">
        <v>43</v>
      </c>
      <c r="D2957" s="637">
        <v>0.45</v>
      </c>
      <c r="E2957" s="451" t="s">
        <v>46</v>
      </c>
      <c r="F2957" s="457">
        <f>F2948</f>
        <v>870</v>
      </c>
      <c r="G2957" s="457">
        <f>INT(D2957*F2957*100)/100</f>
        <v>391.5</v>
      </c>
      <c r="H2957" s="457"/>
    </row>
    <row r="2958" spans="1:8">
      <c r="B2958" s="855" t="s">
        <v>124</v>
      </c>
      <c r="C2958" s="855"/>
      <c r="D2958" s="856" t="s">
        <v>61</v>
      </c>
      <c r="E2958" s="856"/>
      <c r="F2958" s="856"/>
      <c r="G2958" s="457">
        <f>SUM(G2957:G2957)</f>
        <v>391.5</v>
      </c>
      <c r="H2958" s="457"/>
    </row>
    <row r="2959" spans="1:8">
      <c r="B2959" s="855"/>
      <c r="C2959" s="855"/>
      <c r="D2959" s="857" t="s">
        <v>573</v>
      </c>
      <c r="E2959" s="857"/>
      <c r="F2959" s="857"/>
      <c r="G2959" s="457">
        <f>INT(15%*G2958*100)/100</f>
        <v>58.72</v>
      </c>
      <c r="H2959" s="457"/>
    </row>
    <row r="2960" spans="1:8">
      <c r="B2960" s="855"/>
      <c r="C2960" s="855"/>
      <c r="D2960" s="856" t="s">
        <v>47</v>
      </c>
      <c r="E2960" s="856"/>
      <c r="F2960" s="856"/>
      <c r="G2960" s="457">
        <f>SUM(G2958:G2959)</f>
        <v>450.22</v>
      </c>
      <c r="H2960" s="457"/>
    </row>
    <row r="2961" spans="1:8">
      <c r="F2961" s="460"/>
      <c r="G2961" s="460"/>
      <c r="H2961" s="460"/>
    </row>
    <row r="2962" spans="1:8">
      <c r="F2962" s="460"/>
      <c r="G2962" s="460"/>
      <c r="H2962" s="460"/>
    </row>
    <row r="2963" spans="1:8" s="605" customFormat="1" ht="27.75" customHeight="1">
      <c r="A2963" s="603">
        <v>12.15</v>
      </c>
      <c r="B2963" s="604" t="s">
        <v>530</v>
      </c>
      <c r="C2963" s="891" t="s">
        <v>529</v>
      </c>
      <c r="D2963" s="892"/>
      <c r="E2963" s="892"/>
      <c r="F2963" s="610" t="s">
        <v>50</v>
      </c>
      <c r="G2963" s="610">
        <f>G2966</f>
        <v>365.4</v>
      </c>
      <c r="H2963" s="610">
        <f>G2968</f>
        <v>420.21</v>
      </c>
    </row>
    <row r="2964" spans="1:8">
      <c r="B2964" s="450" t="s">
        <v>80</v>
      </c>
      <c r="C2964" s="451" t="s">
        <v>81</v>
      </c>
      <c r="D2964" s="451" t="s">
        <v>44</v>
      </c>
      <c r="E2964" s="451" t="s">
        <v>45</v>
      </c>
      <c r="F2964" s="452" t="s">
        <v>58</v>
      </c>
      <c r="G2964" s="452" t="s">
        <v>59</v>
      </c>
      <c r="H2964" s="452" t="s">
        <v>52</v>
      </c>
    </row>
    <row r="2965" spans="1:8">
      <c r="B2965" s="529"/>
      <c r="C2965" s="484" t="s">
        <v>43</v>
      </c>
      <c r="D2965" s="637">
        <v>0.42</v>
      </c>
      <c r="E2965" s="451" t="s">
        <v>46</v>
      </c>
      <c r="F2965" s="457">
        <f>F2957</f>
        <v>870</v>
      </c>
      <c r="G2965" s="457">
        <f>INT(D2965*F2965*100)/100</f>
        <v>365.4</v>
      </c>
      <c r="H2965" s="457"/>
    </row>
    <row r="2966" spans="1:8">
      <c r="B2966" s="855" t="s">
        <v>124</v>
      </c>
      <c r="C2966" s="855"/>
      <c r="D2966" s="856" t="s">
        <v>61</v>
      </c>
      <c r="E2966" s="856"/>
      <c r="F2966" s="856"/>
      <c r="G2966" s="457">
        <f>SUM(G2965:G2965)</f>
        <v>365.4</v>
      </c>
      <c r="H2966" s="457"/>
    </row>
    <row r="2967" spans="1:8">
      <c r="B2967" s="855"/>
      <c r="C2967" s="855"/>
      <c r="D2967" s="857" t="s">
        <v>573</v>
      </c>
      <c r="E2967" s="857"/>
      <c r="F2967" s="857"/>
      <c r="G2967" s="457">
        <f>INT(15%*G2966*100)/100</f>
        <v>54.81</v>
      </c>
      <c r="H2967" s="457"/>
    </row>
    <row r="2968" spans="1:8">
      <c r="B2968" s="855"/>
      <c r="C2968" s="855"/>
      <c r="D2968" s="856" t="s">
        <v>47</v>
      </c>
      <c r="E2968" s="856"/>
      <c r="F2968" s="856"/>
      <c r="G2968" s="457">
        <f>SUM(G2966:G2967)</f>
        <v>420.21</v>
      </c>
      <c r="H2968" s="457"/>
    </row>
    <row r="2969" spans="1:8">
      <c r="F2969" s="460"/>
      <c r="G2969" s="460"/>
      <c r="H2969" s="460"/>
    </row>
    <row r="2970" spans="1:8" s="605" customFormat="1" ht="27.75" customHeight="1">
      <c r="A2970" s="603">
        <v>12.16</v>
      </c>
      <c r="B2970" s="604" t="s">
        <v>531</v>
      </c>
      <c r="C2970" s="891" t="s">
        <v>532</v>
      </c>
      <c r="D2970" s="892"/>
      <c r="E2970" s="892"/>
      <c r="F2970" s="610" t="s">
        <v>50</v>
      </c>
      <c r="G2970" s="610">
        <f>G2973</f>
        <v>348</v>
      </c>
      <c r="H2970" s="610">
        <f>G2975</f>
        <v>400.2</v>
      </c>
    </row>
    <row r="2971" spans="1:8">
      <c r="B2971" s="450" t="s">
        <v>80</v>
      </c>
      <c r="C2971" s="451" t="s">
        <v>81</v>
      </c>
      <c r="D2971" s="451" t="s">
        <v>44</v>
      </c>
      <c r="E2971" s="451" t="s">
        <v>45</v>
      </c>
      <c r="F2971" s="452" t="s">
        <v>58</v>
      </c>
      <c r="G2971" s="452" t="s">
        <v>59</v>
      </c>
      <c r="H2971" s="452" t="s">
        <v>52</v>
      </c>
    </row>
    <row r="2972" spans="1:8">
      <c r="B2972" s="529"/>
      <c r="C2972" s="484" t="s">
        <v>43</v>
      </c>
      <c r="D2972" s="637">
        <v>0.4</v>
      </c>
      <c r="E2972" s="451" t="s">
        <v>46</v>
      </c>
      <c r="F2972" s="457">
        <f>F2965</f>
        <v>870</v>
      </c>
      <c r="G2972" s="457">
        <f>INT(D2972*F2972*100)/100</f>
        <v>348</v>
      </c>
      <c r="H2972" s="457"/>
    </row>
    <row r="2973" spans="1:8">
      <c r="B2973" s="855" t="s">
        <v>124</v>
      </c>
      <c r="C2973" s="855"/>
      <c r="D2973" s="856" t="s">
        <v>61</v>
      </c>
      <c r="E2973" s="856"/>
      <c r="F2973" s="856"/>
      <c r="G2973" s="457">
        <f>SUM(G2972:G2972)</f>
        <v>348</v>
      </c>
      <c r="H2973" s="457"/>
    </row>
    <row r="2974" spans="1:8">
      <c r="B2974" s="855"/>
      <c r="C2974" s="855"/>
      <c r="D2974" s="857" t="s">
        <v>573</v>
      </c>
      <c r="E2974" s="857"/>
      <c r="F2974" s="857"/>
      <c r="G2974" s="457">
        <f>INT(15%*G2973*100)/100</f>
        <v>52.2</v>
      </c>
      <c r="H2974" s="457"/>
    </row>
    <row r="2975" spans="1:8">
      <c r="B2975" s="855"/>
      <c r="C2975" s="855"/>
      <c r="D2975" s="856" t="s">
        <v>47</v>
      </c>
      <c r="E2975" s="856"/>
      <c r="F2975" s="856"/>
      <c r="G2975" s="457">
        <f>SUM(G2973:G2974)</f>
        <v>400.2</v>
      </c>
      <c r="H2975" s="457"/>
    </row>
    <row r="2976" spans="1:8">
      <c r="F2976" s="460"/>
      <c r="G2976" s="460"/>
      <c r="H2976" s="460"/>
    </row>
    <row r="2977" spans="1:8">
      <c r="F2977" s="460"/>
      <c r="G2977" s="460"/>
      <c r="H2977" s="460"/>
    </row>
    <row r="2978" spans="1:8" s="605" customFormat="1" ht="27.75" customHeight="1">
      <c r="A2978" s="603">
        <v>12.17</v>
      </c>
      <c r="B2978" s="604" t="s">
        <v>531</v>
      </c>
      <c r="C2978" s="891" t="s">
        <v>533</v>
      </c>
      <c r="D2978" s="892"/>
      <c r="E2978" s="892"/>
      <c r="F2978" s="610" t="s">
        <v>50</v>
      </c>
      <c r="G2978" s="610">
        <f>G2982</f>
        <v>1164</v>
      </c>
      <c r="H2978" s="610">
        <f>G2984</f>
        <v>1338.6</v>
      </c>
    </row>
    <row r="2979" spans="1:8">
      <c r="B2979" s="450" t="s">
        <v>80</v>
      </c>
      <c r="C2979" s="451" t="s">
        <v>81</v>
      </c>
      <c r="D2979" s="451" t="s">
        <v>44</v>
      </c>
      <c r="E2979" s="451" t="s">
        <v>45</v>
      </c>
      <c r="F2979" s="452" t="s">
        <v>58</v>
      </c>
      <c r="G2979" s="452" t="s">
        <v>59</v>
      </c>
      <c r="H2979" s="452" t="s">
        <v>52</v>
      </c>
    </row>
    <row r="2980" spans="1:8">
      <c r="B2980" s="864" t="s">
        <v>60</v>
      </c>
      <c r="C2980" s="454" t="s">
        <v>69</v>
      </c>
      <c r="D2980" s="637">
        <v>0.1</v>
      </c>
      <c r="E2980" s="451" t="s">
        <v>46</v>
      </c>
      <c r="F2980" s="457">
        <f>F2947</f>
        <v>1200</v>
      </c>
      <c r="G2980" s="457">
        <f>INT(D2980*F2980*100)/100</f>
        <v>120</v>
      </c>
      <c r="H2980" s="452"/>
    </row>
    <row r="2981" spans="1:8">
      <c r="B2981" s="865"/>
      <c r="C2981" s="484" t="s">
        <v>43</v>
      </c>
      <c r="D2981" s="637">
        <v>1.2</v>
      </c>
      <c r="E2981" s="451" t="s">
        <v>46</v>
      </c>
      <c r="F2981" s="457">
        <f>F2972</f>
        <v>870</v>
      </c>
      <c r="G2981" s="457">
        <f>INT(D2981*F2981*100)/100</f>
        <v>1044</v>
      </c>
      <c r="H2981" s="457"/>
    </row>
    <row r="2982" spans="1:8">
      <c r="B2982" s="855" t="s">
        <v>124</v>
      </c>
      <c r="C2982" s="855"/>
      <c r="D2982" s="856" t="s">
        <v>61</v>
      </c>
      <c r="E2982" s="856"/>
      <c r="F2982" s="856"/>
      <c r="G2982" s="457">
        <f>SUM(G2980:G2981)</f>
        <v>1164</v>
      </c>
      <c r="H2982" s="457"/>
    </row>
    <row r="2983" spans="1:8">
      <c r="B2983" s="855"/>
      <c r="C2983" s="855"/>
      <c r="D2983" s="857" t="s">
        <v>573</v>
      </c>
      <c r="E2983" s="857"/>
      <c r="F2983" s="857"/>
      <c r="G2983" s="457">
        <f>INT(15%*G2982*100)/100</f>
        <v>174.6</v>
      </c>
      <c r="H2983" s="457"/>
    </row>
    <row r="2984" spans="1:8">
      <c r="B2984" s="855"/>
      <c r="C2984" s="855"/>
      <c r="D2984" s="856" t="s">
        <v>47</v>
      </c>
      <c r="E2984" s="856"/>
      <c r="F2984" s="856"/>
      <c r="G2984" s="457">
        <f>SUM(G2982:G2983)</f>
        <v>1338.6</v>
      </c>
      <c r="H2984" s="457"/>
    </row>
    <row r="2985" spans="1:8">
      <c r="F2985" s="460"/>
      <c r="G2985" s="460"/>
      <c r="H2985" s="460"/>
    </row>
    <row r="2986" spans="1:8" s="605" customFormat="1" ht="27" customHeight="1">
      <c r="A2986" s="603">
        <v>12.18</v>
      </c>
      <c r="B2986" s="604" t="s">
        <v>534</v>
      </c>
      <c r="C2986" s="876" t="s">
        <v>1162</v>
      </c>
      <c r="D2986" s="928"/>
      <c r="E2986" s="993"/>
      <c r="F2986" s="610" t="s">
        <v>50</v>
      </c>
      <c r="G2986" s="610">
        <f>G2990</f>
        <v>1208.7</v>
      </c>
      <c r="H2986" s="636">
        <f>G2992</f>
        <v>1390</v>
      </c>
    </row>
    <row r="2987" spans="1:8">
      <c r="B2987" s="450" t="s">
        <v>80</v>
      </c>
      <c r="C2987" s="451" t="s">
        <v>81</v>
      </c>
      <c r="D2987" s="451" t="s">
        <v>44</v>
      </c>
      <c r="E2987" s="451" t="s">
        <v>45</v>
      </c>
      <c r="F2987" s="452" t="s">
        <v>58</v>
      </c>
      <c r="G2987" s="452" t="s">
        <v>59</v>
      </c>
      <c r="H2987" s="452" t="s">
        <v>52</v>
      </c>
    </row>
    <row r="2988" spans="1:8">
      <c r="B2988" s="864" t="s">
        <v>60</v>
      </c>
      <c r="C2988" s="454" t="s">
        <v>69</v>
      </c>
      <c r="D2988" s="488">
        <v>1</v>
      </c>
      <c r="E2988" s="451" t="s">
        <v>46</v>
      </c>
      <c r="F2988" s="457">
        <f>F2980</f>
        <v>1200</v>
      </c>
      <c r="G2988" s="457">
        <f>INT(D2988*F2988*100)/100</f>
        <v>1200</v>
      </c>
      <c r="H2988" s="452"/>
    </row>
    <row r="2989" spans="1:8">
      <c r="B2989" s="865"/>
      <c r="C2989" s="484" t="s">
        <v>43</v>
      </c>
      <c r="D2989" s="488">
        <v>0.01</v>
      </c>
      <c r="E2989" s="451" t="s">
        <v>46</v>
      </c>
      <c r="F2989" s="457">
        <f>F2981</f>
        <v>870</v>
      </c>
      <c r="G2989" s="457">
        <f>INT(D2989*F2989*100)/100</f>
        <v>8.6999999999999993</v>
      </c>
      <c r="H2989" s="457"/>
    </row>
    <row r="2990" spans="1:8">
      <c r="B2990" s="855" t="s">
        <v>175</v>
      </c>
      <c r="C2990" s="855"/>
      <c r="D2990" s="856" t="s">
        <v>61</v>
      </c>
      <c r="E2990" s="856"/>
      <c r="F2990" s="856"/>
      <c r="G2990" s="457">
        <f>SUM(G2988:G2989)</f>
        <v>1208.7</v>
      </c>
      <c r="H2990" s="457"/>
    </row>
    <row r="2991" spans="1:8">
      <c r="B2991" s="855"/>
      <c r="C2991" s="855"/>
      <c r="D2991" s="857" t="s">
        <v>573</v>
      </c>
      <c r="E2991" s="857"/>
      <c r="F2991" s="857"/>
      <c r="G2991" s="457">
        <f>INT(15%*G2990*100)/100</f>
        <v>181.3</v>
      </c>
      <c r="H2991" s="457"/>
    </row>
    <row r="2992" spans="1:8">
      <c r="B2992" s="855"/>
      <c r="C2992" s="855"/>
      <c r="D2992" s="856" t="s">
        <v>47</v>
      </c>
      <c r="E2992" s="856"/>
      <c r="F2992" s="856"/>
      <c r="G2992" s="457">
        <f>SUM(G2990:G2991)</f>
        <v>1390</v>
      </c>
      <c r="H2992" s="457"/>
    </row>
    <row r="2993" spans="1:8">
      <c r="F2993" s="460"/>
      <c r="G2993" s="460"/>
      <c r="H2993" s="460"/>
    </row>
    <row r="2994" spans="1:8" s="605" customFormat="1" ht="27.75" customHeight="1">
      <c r="A2994" s="603">
        <v>12.19</v>
      </c>
      <c r="B2994" s="604" t="s">
        <v>535</v>
      </c>
      <c r="C2994" s="891" t="s">
        <v>1597</v>
      </c>
      <c r="D2994" s="892"/>
      <c r="E2994" s="892"/>
      <c r="F2994" s="610" t="s">
        <v>50</v>
      </c>
      <c r="G2994" s="610">
        <f>G2998</f>
        <v>67.199999999999989</v>
      </c>
      <c r="H2994" s="636">
        <f>G3000</f>
        <v>77.279999999999987</v>
      </c>
    </row>
    <row r="2995" spans="1:8">
      <c r="B2995" s="450" t="s">
        <v>80</v>
      </c>
      <c r="C2995" s="451" t="s">
        <v>81</v>
      </c>
      <c r="D2995" s="451" t="s">
        <v>44</v>
      </c>
      <c r="E2995" s="451" t="s">
        <v>45</v>
      </c>
      <c r="F2995" s="452" t="s">
        <v>58</v>
      </c>
      <c r="G2995" s="452" t="s">
        <v>59</v>
      </c>
      <c r="H2995" s="452" t="s">
        <v>52</v>
      </c>
    </row>
    <row r="2996" spans="1:8">
      <c r="B2996" s="864" t="s">
        <v>60</v>
      </c>
      <c r="C2996" s="454" t="s">
        <v>69</v>
      </c>
      <c r="D2996" s="451">
        <v>2.7E-2</v>
      </c>
      <c r="E2996" s="451" t="s">
        <v>46</v>
      </c>
      <c r="F2996" s="457">
        <f>F2988</f>
        <v>1200</v>
      </c>
      <c r="G2996" s="457">
        <f>INT(D2996*F2996*100)/100</f>
        <v>32.4</v>
      </c>
      <c r="H2996" s="452"/>
    </row>
    <row r="2997" spans="1:8">
      <c r="B2997" s="865"/>
      <c r="C2997" s="484" t="s">
        <v>43</v>
      </c>
      <c r="D2997" s="455">
        <v>0.04</v>
      </c>
      <c r="E2997" s="451" t="s">
        <v>46</v>
      </c>
      <c r="F2997" s="457">
        <f>F2989</f>
        <v>870</v>
      </c>
      <c r="G2997" s="457">
        <f>INT(D2997*F2997*100)/100</f>
        <v>34.799999999999997</v>
      </c>
      <c r="H2997" s="457"/>
    </row>
    <row r="2998" spans="1:8">
      <c r="B2998" s="855" t="s">
        <v>175</v>
      </c>
      <c r="C2998" s="855"/>
      <c r="D2998" s="856" t="s">
        <v>61</v>
      </c>
      <c r="E2998" s="856"/>
      <c r="F2998" s="856"/>
      <c r="G2998" s="457">
        <f>SUM(G2996:G2997)</f>
        <v>67.199999999999989</v>
      </c>
      <c r="H2998" s="457"/>
    </row>
    <row r="2999" spans="1:8">
      <c r="B2999" s="855"/>
      <c r="C2999" s="855"/>
      <c r="D2999" s="857" t="s">
        <v>573</v>
      </c>
      <c r="E2999" s="857"/>
      <c r="F2999" s="857"/>
      <c r="G2999" s="457">
        <f>INT(15%*G2998*100)/100</f>
        <v>10.08</v>
      </c>
      <c r="H2999" s="457"/>
    </row>
    <row r="3000" spans="1:8">
      <c r="B3000" s="855"/>
      <c r="C3000" s="855"/>
      <c r="D3000" s="856" t="s">
        <v>47</v>
      </c>
      <c r="E3000" s="856"/>
      <c r="F3000" s="856"/>
      <c r="G3000" s="457">
        <f>SUM(G2998:G2999)</f>
        <v>77.279999999999987</v>
      </c>
      <c r="H3000" s="457"/>
    </row>
    <row r="3001" spans="1:8">
      <c r="C3001" s="444"/>
      <c r="F3001" s="462"/>
      <c r="G3001" s="460"/>
      <c r="H3001" s="460"/>
    </row>
    <row r="3002" spans="1:8" ht="12.75" customHeight="1">
      <c r="A3002" s="916" t="s">
        <v>536</v>
      </c>
      <c r="B3002" s="916"/>
      <c r="C3002" s="916"/>
      <c r="D3002" s="916"/>
      <c r="E3002" s="916"/>
      <c r="F3002" s="916"/>
      <c r="G3002" s="916"/>
      <c r="H3002" s="916"/>
    </row>
    <row r="3004" spans="1:8" s="605" customFormat="1" ht="25.5" customHeight="1">
      <c r="A3004" s="603">
        <v>13.01</v>
      </c>
      <c r="B3004" s="604" t="s">
        <v>537</v>
      </c>
      <c r="C3004" s="891" t="s">
        <v>1598</v>
      </c>
      <c r="D3004" s="892"/>
      <c r="E3004" s="892"/>
      <c r="F3004" s="610" t="s">
        <v>50</v>
      </c>
      <c r="G3004" s="610">
        <f>TRUNC(G3007/10,2)</f>
        <v>2550</v>
      </c>
      <c r="H3004" s="447">
        <f>TRUNC(G3009/10,2)</f>
        <v>2932.5</v>
      </c>
    </row>
    <row r="3005" spans="1:8">
      <c r="B3005" s="450" t="s">
        <v>80</v>
      </c>
      <c r="C3005" s="451" t="s">
        <v>81</v>
      </c>
      <c r="D3005" s="451" t="s">
        <v>44</v>
      </c>
      <c r="E3005" s="451" t="s">
        <v>45</v>
      </c>
      <c r="F3005" s="452" t="s">
        <v>58</v>
      </c>
      <c r="G3005" s="452" t="s">
        <v>59</v>
      </c>
      <c r="H3005" s="452" t="s">
        <v>52</v>
      </c>
    </row>
    <row r="3006" spans="1:8">
      <c r="B3006" s="450" t="s">
        <v>126</v>
      </c>
      <c r="C3006" s="585" t="s">
        <v>225</v>
      </c>
      <c r="D3006" s="638">
        <v>150</v>
      </c>
      <c r="E3006" s="451" t="s">
        <v>74</v>
      </c>
      <c r="F3006" s="457">
        <f>'Basic Rate'!F126</f>
        <v>170</v>
      </c>
      <c r="G3006" s="457">
        <f>INT(D3006*F3006*100)/100</f>
        <v>25500</v>
      </c>
      <c r="H3006" s="457"/>
    </row>
    <row r="3007" spans="1:8">
      <c r="B3007" s="855" t="s">
        <v>165</v>
      </c>
      <c r="C3007" s="855"/>
      <c r="D3007" s="858" t="s">
        <v>61</v>
      </c>
      <c r="E3007" s="859"/>
      <c r="F3007" s="860"/>
      <c r="G3007" s="457">
        <f>SUM(G3006:G3006)</f>
        <v>25500</v>
      </c>
      <c r="H3007" s="457"/>
    </row>
    <row r="3008" spans="1:8">
      <c r="B3008" s="855"/>
      <c r="C3008" s="855"/>
      <c r="D3008" s="861" t="s">
        <v>573</v>
      </c>
      <c r="E3008" s="862"/>
      <c r="F3008" s="863"/>
      <c r="G3008" s="457">
        <f>INT(15%*G3007*100)/100</f>
        <v>3825</v>
      </c>
      <c r="H3008" s="457"/>
    </row>
    <row r="3009" spans="1:12" ht="12.75" customHeight="1">
      <c r="B3009" s="855"/>
      <c r="C3009" s="855"/>
      <c r="D3009" s="858" t="s">
        <v>47</v>
      </c>
      <c r="E3009" s="859"/>
      <c r="F3009" s="860"/>
      <c r="G3009" s="457">
        <f>SUM(G3007:G3008)</f>
        <v>29325</v>
      </c>
      <c r="H3009" s="457"/>
    </row>
    <row r="3011" spans="1:12" s="605" customFormat="1" ht="39" customHeight="1">
      <c r="A3011" s="603">
        <v>13.02</v>
      </c>
      <c r="B3011" s="604" t="s">
        <v>538</v>
      </c>
      <c r="C3011" s="891" t="s">
        <v>1599</v>
      </c>
      <c r="D3011" s="892"/>
      <c r="E3011" s="892"/>
      <c r="F3011" s="610" t="s">
        <v>50</v>
      </c>
      <c r="G3011" s="610">
        <f>TRUNC(G3014/10,2)</f>
        <v>3655</v>
      </c>
      <c r="H3011" s="610">
        <f>TRUNC(G3016/10,2)</f>
        <v>4203.25</v>
      </c>
    </row>
    <row r="3012" spans="1:12">
      <c r="B3012" s="450" t="s">
        <v>80</v>
      </c>
      <c r="C3012" s="451" t="s">
        <v>81</v>
      </c>
      <c r="D3012" s="451" t="s">
        <v>44</v>
      </c>
      <c r="E3012" s="451" t="s">
        <v>45</v>
      </c>
      <c r="F3012" s="452" t="s">
        <v>58</v>
      </c>
      <c r="G3012" s="452" t="s">
        <v>59</v>
      </c>
      <c r="H3012" s="452" t="s">
        <v>52</v>
      </c>
    </row>
    <row r="3013" spans="1:12">
      <c r="B3013" s="450" t="s">
        <v>126</v>
      </c>
      <c r="C3013" s="585" t="s">
        <v>817</v>
      </c>
      <c r="D3013" s="638">
        <f>21.5*10</f>
        <v>215</v>
      </c>
      <c r="E3013" s="451" t="s">
        <v>74</v>
      </c>
      <c r="F3013" s="457">
        <f>'Basic Rate'!F127</f>
        <v>170</v>
      </c>
      <c r="G3013" s="457">
        <f>INT(D3013*F3013*100)/100</f>
        <v>36550</v>
      </c>
      <c r="H3013" s="457"/>
    </row>
    <row r="3014" spans="1:12">
      <c r="B3014" s="855" t="s">
        <v>165</v>
      </c>
      <c r="C3014" s="855"/>
      <c r="D3014" s="856" t="s">
        <v>61</v>
      </c>
      <c r="E3014" s="856"/>
      <c r="F3014" s="856"/>
      <c r="G3014" s="457">
        <f>SUM(G3013:G3013)</f>
        <v>36550</v>
      </c>
      <c r="H3014" s="457"/>
    </row>
    <row r="3015" spans="1:12">
      <c r="B3015" s="855"/>
      <c r="C3015" s="855"/>
      <c r="D3015" s="857" t="s">
        <v>573</v>
      </c>
      <c r="E3015" s="857"/>
      <c r="F3015" s="857"/>
      <c r="G3015" s="457">
        <f>INT(15%*G3014*100)/100</f>
        <v>5482.5</v>
      </c>
      <c r="H3015" s="457"/>
    </row>
    <row r="3016" spans="1:12">
      <c r="B3016" s="855"/>
      <c r="C3016" s="855"/>
      <c r="D3016" s="856" t="s">
        <v>47</v>
      </c>
      <c r="E3016" s="856"/>
      <c r="F3016" s="856"/>
      <c r="G3016" s="457">
        <f>SUM(G3014:G3015)</f>
        <v>42032.5</v>
      </c>
      <c r="H3016" s="457"/>
    </row>
    <row r="3017" spans="1:12">
      <c r="C3017" s="444"/>
      <c r="F3017" s="462"/>
      <c r="G3017" s="460"/>
      <c r="H3017" s="460"/>
    </row>
    <row r="3018" spans="1:12" s="605" customFormat="1" ht="25.5" customHeight="1">
      <c r="A3018" s="603">
        <v>13.03</v>
      </c>
      <c r="B3018" s="604" t="s">
        <v>539</v>
      </c>
      <c r="C3018" s="896" t="s">
        <v>1120</v>
      </c>
      <c r="D3018" s="897"/>
      <c r="E3018" s="898"/>
      <c r="F3018" s="610" t="s">
        <v>50</v>
      </c>
      <c r="G3018" s="610">
        <f>TRUNC(G3024/10,2)</f>
        <v>3298.32</v>
      </c>
      <c r="H3018" s="610">
        <f>TRUNC(G3026/10,2)</f>
        <v>3793.06</v>
      </c>
    </row>
    <row r="3019" spans="1:12">
      <c r="B3019" s="450" t="s">
        <v>80</v>
      </c>
      <c r="C3019" s="451" t="s">
        <v>81</v>
      </c>
      <c r="D3019" s="451" t="s">
        <v>44</v>
      </c>
      <c r="E3019" s="451" t="s">
        <v>45</v>
      </c>
      <c r="F3019" s="452" t="s">
        <v>58</v>
      </c>
      <c r="G3019" s="452" t="s">
        <v>59</v>
      </c>
      <c r="H3019" s="452" t="s">
        <v>52</v>
      </c>
    </row>
    <row r="3020" spans="1:12">
      <c r="B3020" s="864" t="s">
        <v>60</v>
      </c>
      <c r="C3020" s="454" t="s">
        <v>69</v>
      </c>
      <c r="D3020" s="639">
        <v>0.7</v>
      </c>
      <c r="E3020" s="451" t="s">
        <v>46</v>
      </c>
      <c r="F3020" s="457">
        <f>F2996</f>
        <v>1200</v>
      </c>
      <c r="G3020" s="457">
        <f>INT(D3020*F3020*100)/100</f>
        <v>840</v>
      </c>
      <c r="H3020" s="452"/>
    </row>
    <row r="3021" spans="1:12">
      <c r="B3021" s="865"/>
      <c r="C3021" s="484" t="s">
        <v>43</v>
      </c>
      <c r="D3021" s="639">
        <v>0.6</v>
      </c>
      <c r="E3021" s="451" t="s">
        <v>46</v>
      </c>
      <c r="F3021" s="457">
        <f>F2997</f>
        <v>870</v>
      </c>
      <c r="G3021" s="457">
        <f>INT(D3021*F3021*100)/100</f>
        <v>522</v>
      </c>
      <c r="H3021" s="452"/>
    </row>
    <row r="3022" spans="1:12">
      <c r="B3022" s="529"/>
      <c r="C3022" s="585" t="s">
        <v>1121</v>
      </c>
      <c r="D3022" s="639">
        <v>28.24</v>
      </c>
      <c r="E3022" s="451" t="s">
        <v>74</v>
      </c>
      <c r="F3022" s="457">
        <f>'Basic Rate'!F130</f>
        <v>130</v>
      </c>
      <c r="G3022" s="457">
        <f>INT(D3022*F3022*100)/100</f>
        <v>3671.2</v>
      </c>
      <c r="H3022" s="452"/>
      <c r="J3022" s="443">
        <f>0.038*4*0.06</f>
        <v>9.1199999999999996E-3</v>
      </c>
      <c r="K3022" s="443">
        <f>J3022*7850</f>
        <v>71.591999999999999</v>
      </c>
      <c r="L3022" s="443">
        <f>4*K3022</f>
        <v>286.36799999999999</v>
      </c>
    </row>
    <row r="3023" spans="1:12">
      <c r="B3023" s="450" t="s">
        <v>126</v>
      </c>
      <c r="C3023" s="585" t="s">
        <v>542</v>
      </c>
      <c r="D3023" s="638">
        <v>215</v>
      </c>
      <c r="E3023" s="451" t="s">
        <v>74</v>
      </c>
      <c r="F3023" s="457">
        <f>'Basic Rate'!F184</f>
        <v>130</v>
      </c>
      <c r="G3023" s="457">
        <f>INT(D3023*F3023*100)/100</f>
        <v>27950</v>
      </c>
      <c r="H3023" s="457"/>
      <c r="K3023" s="443">
        <f>K3022/28.24</f>
        <v>2.5351274787535414</v>
      </c>
    </row>
    <row r="3024" spans="1:12">
      <c r="B3024" s="855" t="s">
        <v>165</v>
      </c>
      <c r="C3024" s="855"/>
      <c r="D3024" s="856" t="s">
        <v>61</v>
      </c>
      <c r="E3024" s="856"/>
      <c r="F3024" s="856"/>
      <c r="G3024" s="457">
        <f>SUM(G3020:G3023)</f>
        <v>32983.199999999997</v>
      </c>
      <c r="H3024" s="457"/>
    </row>
    <row r="3025" spans="1:8">
      <c r="B3025" s="855"/>
      <c r="C3025" s="855"/>
      <c r="D3025" s="857" t="s">
        <v>573</v>
      </c>
      <c r="E3025" s="857"/>
      <c r="F3025" s="857"/>
      <c r="G3025" s="457">
        <f>INT(15%*G3024*100)/100</f>
        <v>4947.4799999999996</v>
      </c>
      <c r="H3025" s="457"/>
    </row>
    <row r="3026" spans="1:8">
      <c r="B3026" s="855"/>
      <c r="C3026" s="855"/>
      <c r="D3026" s="856" t="s">
        <v>47</v>
      </c>
      <c r="E3026" s="856"/>
      <c r="F3026" s="856"/>
      <c r="G3026" s="457">
        <f>SUM(G3024:G3025)</f>
        <v>37930.679999999993</v>
      </c>
      <c r="H3026" s="457"/>
    </row>
    <row r="3027" spans="1:8">
      <c r="B3027" s="458"/>
      <c r="C3027" s="458"/>
      <c r="F3027" s="459"/>
      <c r="G3027" s="460"/>
      <c r="H3027" s="460"/>
    </row>
    <row r="3028" spans="1:8" s="605" customFormat="1" ht="25.5" customHeight="1">
      <c r="A3028" s="603">
        <v>13.04</v>
      </c>
      <c r="B3028" s="604" t="s">
        <v>540</v>
      </c>
      <c r="C3028" s="891" t="s">
        <v>205</v>
      </c>
      <c r="D3028" s="892"/>
      <c r="E3028" s="892"/>
      <c r="F3028" s="610" t="s">
        <v>74</v>
      </c>
      <c r="G3028" s="610">
        <f>TRUNC(G3034/18.94,2)</f>
        <v>214.68</v>
      </c>
      <c r="H3028" s="610">
        <f>TRUNC(G3036/18.94,2)</f>
        <v>246.88</v>
      </c>
    </row>
    <row r="3029" spans="1:8">
      <c r="B3029" s="450" t="s">
        <v>80</v>
      </c>
      <c r="C3029" s="451" t="s">
        <v>81</v>
      </c>
      <c r="D3029" s="451" t="s">
        <v>44</v>
      </c>
      <c r="E3029" s="451" t="s">
        <v>45</v>
      </c>
      <c r="F3029" s="452" t="s">
        <v>58</v>
      </c>
      <c r="G3029" s="452" t="s">
        <v>59</v>
      </c>
      <c r="H3029" s="452" t="s">
        <v>52</v>
      </c>
    </row>
    <row r="3030" spans="1:8">
      <c r="B3030" s="864" t="s">
        <v>77</v>
      </c>
      <c r="C3030" s="454" t="s">
        <v>69</v>
      </c>
      <c r="D3030" s="455">
        <v>0.68700000000000006</v>
      </c>
      <c r="E3030" s="451" t="s">
        <v>46</v>
      </c>
      <c r="F3030" s="457">
        <f>F3020</f>
        <v>1200</v>
      </c>
      <c r="G3030" s="457">
        <f>INT(D3030*F3030*100)/100</f>
        <v>824.4</v>
      </c>
      <c r="H3030" s="452"/>
    </row>
    <row r="3031" spans="1:8">
      <c r="B3031" s="865"/>
      <c r="C3031" s="454" t="s">
        <v>43</v>
      </c>
      <c r="D3031" s="455">
        <v>0.78100000000000003</v>
      </c>
      <c r="E3031" s="451" t="s">
        <v>46</v>
      </c>
      <c r="F3031" s="457">
        <f>F3021</f>
        <v>870</v>
      </c>
      <c r="G3031" s="457">
        <f>INT(D3031*F3031*100)/100</f>
        <v>679.47</v>
      </c>
      <c r="H3031" s="452"/>
    </row>
    <row r="3032" spans="1:8">
      <c r="B3032" s="864" t="s">
        <v>126</v>
      </c>
      <c r="C3032" s="454" t="s">
        <v>132</v>
      </c>
      <c r="D3032" s="455">
        <v>18.940000000000001</v>
      </c>
      <c r="E3032" s="451" t="s">
        <v>74</v>
      </c>
      <c r="F3032" s="457">
        <f>'Basic Rate'!F122</f>
        <v>130</v>
      </c>
      <c r="G3032" s="457">
        <f>INT(D3032*F3032*100)/100</f>
        <v>2462.1999999999998</v>
      </c>
      <c r="H3032" s="452"/>
    </row>
    <row r="3033" spans="1:8">
      <c r="B3033" s="865"/>
      <c r="C3033" s="454" t="s">
        <v>133</v>
      </c>
      <c r="D3033" s="902" t="s">
        <v>86</v>
      </c>
      <c r="E3033" s="903"/>
      <c r="F3033" s="904"/>
      <c r="G3033" s="457">
        <v>100</v>
      </c>
      <c r="H3033" s="457"/>
    </row>
    <row r="3034" spans="1:8">
      <c r="B3034" s="855" t="s">
        <v>207</v>
      </c>
      <c r="C3034" s="855"/>
      <c r="D3034" s="856" t="s">
        <v>61</v>
      </c>
      <c r="E3034" s="856"/>
      <c r="F3034" s="856"/>
      <c r="G3034" s="457">
        <f>SUM(G3030:G3033)</f>
        <v>4066.0699999999997</v>
      </c>
      <c r="H3034" s="457"/>
    </row>
    <row r="3035" spans="1:8">
      <c r="B3035" s="855"/>
      <c r="C3035" s="855"/>
      <c r="D3035" s="857" t="s">
        <v>573</v>
      </c>
      <c r="E3035" s="857"/>
      <c r="F3035" s="857"/>
      <c r="G3035" s="457">
        <f>INT(15%*G3034*100)/100</f>
        <v>609.91</v>
      </c>
      <c r="H3035" s="457"/>
    </row>
    <row r="3036" spans="1:8">
      <c r="B3036" s="855"/>
      <c r="C3036" s="855"/>
      <c r="D3036" s="856" t="s">
        <v>47</v>
      </c>
      <c r="E3036" s="856"/>
      <c r="F3036" s="856"/>
      <c r="G3036" s="457">
        <f>SUM(G3034:G3035)</f>
        <v>4675.9799999999996</v>
      </c>
      <c r="H3036" s="457"/>
    </row>
    <row r="3037" spans="1:8">
      <c r="B3037" s="458"/>
      <c r="C3037" s="458"/>
      <c r="F3037" s="459"/>
      <c r="G3037" s="460"/>
      <c r="H3037" s="460"/>
    </row>
    <row r="3038" spans="1:8" ht="25.5" customHeight="1">
      <c r="A3038" s="603">
        <v>13.05</v>
      </c>
      <c r="B3038" s="604" t="s">
        <v>541</v>
      </c>
      <c r="C3038" s="888" t="s">
        <v>977</v>
      </c>
      <c r="D3038" s="889"/>
      <c r="E3038" s="890"/>
      <c r="F3038" s="447" t="s">
        <v>1109</v>
      </c>
      <c r="G3038" s="448">
        <f>TRUNC(G3041/1,3)</f>
        <v>11100</v>
      </c>
      <c r="H3038" s="448">
        <f>TRUNC(G3043/1,3)</f>
        <v>12765</v>
      </c>
    </row>
    <row r="3039" spans="1:8" ht="12.75" customHeight="1">
      <c r="B3039" s="450" t="s">
        <v>80</v>
      </c>
      <c r="C3039" s="451" t="s">
        <v>81</v>
      </c>
      <c r="D3039" s="451" t="s">
        <v>44</v>
      </c>
      <c r="E3039" s="451" t="s">
        <v>45</v>
      </c>
      <c r="F3039" s="452" t="s">
        <v>58</v>
      </c>
      <c r="G3039" s="452" t="s">
        <v>59</v>
      </c>
      <c r="H3039" s="452" t="s">
        <v>52</v>
      </c>
    </row>
    <row r="3040" spans="1:8" ht="12.75" customHeight="1">
      <c r="B3040" s="529"/>
      <c r="C3040" s="454" t="s">
        <v>620</v>
      </c>
      <c r="D3040" s="456">
        <v>1</v>
      </c>
      <c r="E3040" s="456" t="s">
        <v>630</v>
      </c>
      <c r="F3040" s="457">
        <f>'Basic Rate'!F131</f>
        <v>11100</v>
      </c>
      <c r="G3040" s="457">
        <f>INT(D3040*F3040*100)/100</f>
        <v>11100</v>
      </c>
      <c r="H3040" s="457"/>
    </row>
    <row r="3041" spans="1:8" ht="12.75" customHeight="1">
      <c r="B3041" s="855" t="s">
        <v>978</v>
      </c>
      <c r="C3041" s="855"/>
      <c r="D3041" s="856" t="s">
        <v>61</v>
      </c>
      <c r="E3041" s="856"/>
      <c r="F3041" s="856"/>
      <c r="G3041" s="457">
        <f>SUM(G3040:G3040)</f>
        <v>11100</v>
      </c>
      <c r="H3041" s="457"/>
    </row>
    <row r="3042" spans="1:8" ht="12.75" customHeight="1">
      <c r="B3042" s="855"/>
      <c r="C3042" s="855"/>
      <c r="D3042" s="857" t="s">
        <v>573</v>
      </c>
      <c r="E3042" s="857"/>
      <c r="F3042" s="857"/>
      <c r="G3042" s="457">
        <f>INT(G3041*15%*100)/100</f>
        <v>1665</v>
      </c>
      <c r="H3042" s="457"/>
    </row>
    <row r="3043" spans="1:8" ht="12.75" customHeight="1">
      <c r="B3043" s="855"/>
      <c r="C3043" s="855"/>
      <c r="D3043" s="856" t="s">
        <v>47</v>
      </c>
      <c r="E3043" s="856"/>
      <c r="F3043" s="856"/>
      <c r="G3043" s="457">
        <f>SUM(G3041:G3042)</f>
        <v>12765</v>
      </c>
      <c r="H3043" s="457"/>
    </row>
    <row r="3044" spans="1:8">
      <c r="C3044" s="444"/>
      <c r="F3044" s="462"/>
      <c r="G3044" s="460"/>
      <c r="H3044" s="460"/>
    </row>
    <row r="3045" spans="1:8" s="605" customFormat="1" ht="49.35" customHeight="1">
      <c r="A3045" s="603">
        <v>13.06</v>
      </c>
      <c r="B3045" s="604" t="s">
        <v>543</v>
      </c>
      <c r="C3045" s="905" t="s">
        <v>1600</v>
      </c>
      <c r="D3045" s="906"/>
      <c r="E3045" s="906"/>
      <c r="F3045" s="610" t="s">
        <v>50</v>
      </c>
      <c r="G3045" s="610">
        <f>TRUNC(G3048/1,2)</f>
        <v>7400</v>
      </c>
      <c r="H3045" s="447">
        <f>TRUNC(G3050/1,2)</f>
        <v>8510</v>
      </c>
    </row>
    <row r="3046" spans="1:8">
      <c r="B3046" s="450" t="s">
        <v>80</v>
      </c>
      <c r="C3046" s="451" t="s">
        <v>81</v>
      </c>
      <c r="D3046" s="451" t="s">
        <v>44</v>
      </c>
      <c r="E3046" s="451" t="s">
        <v>45</v>
      </c>
      <c r="F3046" s="452" t="s">
        <v>58</v>
      </c>
      <c r="G3046" s="452" t="s">
        <v>59</v>
      </c>
      <c r="H3046" s="452" t="s">
        <v>52</v>
      </c>
    </row>
    <row r="3047" spans="1:8" ht="12.75" customHeight="1">
      <c r="B3047" s="529"/>
      <c r="C3047" s="454" t="s">
        <v>127</v>
      </c>
      <c r="D3047" s="456">
        <v>1</v>
      </c>
      <c r="E3047" s="456" t="s">
        <v>46</v>
      </c>
      <c r="F3047" s="457">
        <f>'Basic Rate'!F169</f>
        <v>7400</v>
      </c>
      <c r="G3047" s="457">
        <f>INT(D3047*F3047*100)/100</f>
        <v>7400</v>
      </c>
      <c r="H3047" s="457"/>
    </row>
    <row r="3048" spans="1:8">
      <c r="B3048" s="855" t="s">
        <v>621</v>
      </c>
      <c r="C3048" s="855"/>
      <c r="D3048" s="858" t="s">
        <v>61</v>
      </c>
      <c r="E3048" s="859"/>
      <c r="F3048" s="860"/>
      <c r="G3048" s="457">
        <f>SUM(G3047:G3047)</f>
        <v>7400</v>
      </c>
      <c r="H3048" s="457"/>
    </row>
    <row r="3049" spans="1:8">
      <c r="B3049" s="855"/>
      <c r="C3049" s="855"/>
      <c r="D3049" s="857" t="s">
        <v>573</v>
      </c>
      <c r="E3049" s="857"/>
      <c r="F3049" s="857"/>
      <c r="G3049" s="457">
        <f>INT(15%*G3048*100)/100</f>
        <v>1110</v>
      </c>
      <c r="H3049" s="457"/>
    </row>
    <row r="3050" spans="1:8">
      <c r="B3050" s="855"/>
      <c r="C3050" s="855"/>
      <c r="D3050" s="856" t="s">
        <v>47</v>
      </c>
      <c r="E3050" s="856"/>
      <c r="F3050" s="856"/>
      <c r="G3050" s="442">
        <f>SUM(G3048:G3049)</f>
        <v>8510</v>
      </c>
      <c r="H3050" s="457"/>
    </row>
    <row r="3051" spans="1:8">
      <c r="C3051" s="444"/>
      <c r="F3051" s="462"/>
      <c r="G3051" s="460"/>
      <c r="H3051" s="460"/>
    </row>
    <row r="3052" spans="1:8" s="605" customFormat="1" ht="24" customHeight="1">
      <c r="A3052" s="603">
        <v>13.07</v>
      </c>
      <c r="B3052" s="604" t="s">
        <v>544</v>
      </c>
      <c r="C3052" s="891" t="s">
        <v>1180</v>
      </c>
      <c r="D3052" s="892"/>
      <c r="E3052" s="892"/>
      <c r="F3052" s="610" t="s">
        <v>50</v>
      </c>
      <c r="G3052" s="610">
        <f>TRUNC(G3055/10,2)</f>
        <v>7400</v>
      </c>
      <c r="H3052" s="447">
        <f>TRUNC(G3057/10,2)</f>
        <v>8510</v>
      </c>
    </row>
    <row r="3053" spans="1:8">
      <c r="B3053" s="450" t="s">
        <v>80</v>
      </c>
      <c r="C3053" s="451" t="s">
        <v>81</v>
      </c>
      <c r="D3053" s="451" t="s">
        <v>44</v>
      </c>
      <c r="E3053" s="451" t="s">
        <v>45</v>
      </c>
      <c r="F3053" s="452" t="s">
        <v>58</v>
      </c>
      <c r="G3053" s="452" t="s">
        <v>59</v>
      </c>
      <c r="H3053" s="452" t="s">
        <v>52</v>
      </c>
    </row>
    <row r="3054" spans="1:8">
      <c r="B3054" s="450" t="s">
        <v>126</v>
      </c>
      <c r="C3054" s="585" t="s">
        <v>975</v>
      </c>
      <c r="D3054" s="456">
        <v>10</v>
      </c>
      <c r="E3054" s="451" t="s">
        <v>50</v>
      </c>
      <c r="F3054" s="457">
        <f>'Basic Rate'!$F$60</f>
        <v>7400</v>
      </c>
      <c r="G3054" s="457">
        <f>INT(D3054*F3054*100)/100</f>
        <v>74000</v>
      </c>
      <c r="H3054" s="457"/>
    </row>
    <row r="3055" spans="1:8">
      <c r="B3055" s="855" t="s">
        <v>165</v>
      </c>
      <c r="C3055" s="855"/>
      <c r="D3055" s="856" t="s">
        <v>61</v>
      </c>
      <c r="E3055" s="856"/>
      <c r="F3055" s="856"/>
      <c r="G3055" s="457">
        <f>SUM(G3054:G3054)</f>
        <v>74000</v>
      </c>
      <c r="H3055" s="457"/>
    </row>
    <row r="3056" spans="1:8">
      <c r="B3056" s="855"/>
      <c r="C3056" s="855"/>
      <c r="D3056" s="857" t="s">
        <v>573</v>
      </c>
      <c r="E3056" s="857"/>
      <c r="F3056" s="857"/>
      <c r="G3056" s="457">
        <f>INT(15%*G3055*100)/100</f>
        <v>11100</v>
      </c>
      <c r="H3056" s="457"/>
    </row>
    <row r="3057" spans="1:8">
      <c r="B3057" s="855"/>
      <c r="C3057" s="855"/>
      <c r="D3057" s="856" t="s">
        <v>47</v>
      </c>
      <c r="E3057" s="856"/>
      <c r="F3057" s="856"/>
      <c r="G3057" s="442">
        <f>SUM(G3055:G3056)</f>
        <v>85100</v>
      </c>
      <c r="H3057" s="457"/>
    </row>
    <row r="3058" spans="1:8">
      <c r="C3058" s="444"/>
      <c r="F3058" s="462"/>
      <c r="G3058" s="460"/>
      <c r="H3058" s="460"/>
    </row>
    <row r="3059" spans="1:8" s="605" customFormat="1" ht="69.599999999999994" customHeight="1">
      <c r="A3059" s="603">
        <v>13.08</v>
      </c>
      <c r="B3059" s="604" t="s">
        <v>545</v>
      </c>
      <c r="C3059" s="891" t="s">
        <v>1601</v>
      </c>
      <c r="D3059" s="892"/>
      <c r="E3059" s="892"/>
      <c r="F3059" s="610" t="s">
        <v>50</v>
      </c>
      <c r="G3059" s="610">
        <f>TRUNC(G3063/10,2)</f>
        <v>6975</v>
      </c>
      <c r="H3059" s="447">
        <f>TRUNC(G3065/10,2)</f>
        <v>8021.25</v>
      </c>
    </row>
    <row r="3060" spans="1:8">
      <c r="B3060" s="450" t="s">
        <v>80</v>
      </c>
      <c r="C3060" s="451" t="s">
        <v>81</v>
      </c>
      <c r="D3060" s="451" t="s">
        <v>44</v>
      </c>
      <c r="E3060" s="451" t="s">
        <v>45</v>
      </c>
      <c r="F3060" s="452" t="s">
        <v>58</v>
      </c>
      <c r="G3060" s="452" t="s">
        <v>59</v>
      </c>
      <c r="H3060" s="452" t="s">
        <v>52</v>
      </c>
    </row>
    <row r="3061" spans="1:8">
      <c r="B3061" s="450" t="s">
        <v>60</v>
      </c>
      <c r="C3061" s="454" t="s">
        <v>185</v>
      </c>
      <c r="D3061" s="451"/>
      <c r="E3061" s="451" t="s">
        <v>86</v>
      </c>
      <c r="F3061" s="452"/>
      <c r="G3061" s="510">
        <v>5000</v>
      </c>
      <c r="H3061" s="452"/>
    </row>
    <row r="3062" spans="1:8">
      <c r="B3062" s="450" t="s">
        <v>126</v>
      </c>
      <c r="C3062" s="585" t="s">
        <v>226</v>
      </c>
      <c r="D3062" s="456">
        <v>10</v>
      </c>
      <c r="E3062" s="451" t="s">
        <v>50</v>
      </c>
      <c r="F3062" s="457">
        <f>'Basic Rate'!F128</f>
        <v>6475</v>
      </c>
      <c r="G3062" s="457">
        <f>INT(D3062*F3062*100)/100</f>
        <v>64750</v>
      </c>
      <c r="H3062" s="457"/>
    </row>
    <row r="3063" spans="1:8">
      <c r="B3063" s="855" t="s">
        <v>165</v>
      </c>
      <c r="C3063" s="855"/>
      <c r="D3063" s="856" t="s">
        <v>61</v>
      </c>
      <c r="E3063" s="856"/>
      <c r="F3063" s="856"/>
      <c r="G3063" s="457">
        <f>SUM(G3061:G3062)</f>
        <v>69750</v>
      </c>
      <c r="H3063" s="457"/>
    </row>
    <row r="3064" spans="1:8">
      <c r="B3064" s="855"/>
      <c r="C3064" s="855"/>
      <c r="D3064" s="857" t="s">
        <v>573</v>
      </c>
      <c r="E3064" s="857"/>
      <c r="F3064" s="857"/>
      <c r="G3064" s="457">
        <f>INT(15%*G3063*100)/100</f>
        <v>10462.5</v>
      </c>
      <c r="H3064" s="457"/>
    </row>
    <row r="3065" spans="1:8">
      <c r="B3065" s="855"/>
      <c r="C3065" s="855"/>
      <c r="D3065" s="856" t="s">
        <v>47</v>
      </c>
      <c r="E3065" s="856"/>
      <c r="F3065" s="856"/>
      <c r="G3065" s="442">
        <f>SUM(G3063:G3064)</f>
        <v>80212.5</v>
      </c>
      <c r="H3065" s="457"/>
    </row>
    <row r="3066" spans="1:8">
      <c r="C3066" s="485"/>
      <c r="D3066" s="486"/>
      <c r="E3066" s="486"/>
      <c r="F3066" s="487"/>
      <c r="G3066" s="487"/>
      <c r="H3066" s="487"/>
    </row>
    <row r="3067" spans="1:8" s="605" customFormat="1" ht="72" customHeight="1">
      <c r="A3067" s="603">
        <v>13.09</v>
      </c>
      <c r="B3067" s="604" t="s">
        <v>545</v>
      </c>
      <c r="C3067" s="891" t="s">
        <v>1602</v>
      </c>
      <c r="D3067" s="892"/>
      <c r="E3067" s="892"/>
      <c r="F3067" s="610" t="s">
        <v>50</v>
      </c>
      <c r="G3067" s="610">
        <f>TRUNC(G3071/10,2)</f>
        <v>7900</v>
      </c>
      <c r="H3067" s="447">
        <f>TRUNC(G3073/10,2)</f>
        <v>9085</v>
      </c>
    </row>
    <row r="3068" spans="1:8">
      <c r="B3068" s="450" t="s">
        <v>80</v>
      </c>
      <c r="C3068" s="451" t="s">
        <v>81</v>
      </c>
      <c r="D3068" s="451" t="s">
        <v>44</v>
      </c>
      <c r="E3068" s="451" t="s">
        <v>45</v>
      </c>
      <c r="F3068" s="452" t="s">
        <v>58</v>
      </c>
      <c r="G3068" s="452" t="s">
        <v>59</v>
      </c>
      <c r="H3068" s="452" t="s">
        <v>52</v>
      </c>
    </row>
    <row r="3069" spans="1:8">
      <c r="B3069" s="450" t="s">
        <v>60</v>
      </c>
      <c r="C3069" s="454" t="s">
        <v>185</v>
      </c>
      <c r="D3069" s="451"/>
      <c r="E3069" s="451" t="s">
        <v>86</v>
      </c>
      <c r="F3069" s="452"/>
      <c r="G3069" s="510">
        <v>5000</v>
      </c>
      <c r="H3069" s="452"/>
    </row>
    <row r="3070" spans="1:8" ht="26.4">
      <c r="B3070" s="450" t="s">
        <v>126</v>
      </c>
      <c r="C3070" s="585" t="s">
        <v>622</v>
      </c>
      <c r="D3070" s="456">
        <v>10</v>
      </c>
      <c r="E3070" s="451" t="s">
        <v>50</v>
      </c>
      <c r="F3070" s="457">
        <f>'Basic Rate'!F129</f>
        <v>7400</v>
      </c>
      <c r="G3070" s="457">
        <f>INT(D3070*F3070*100)/100</f>
        <v>74000</v>
      </c>
      <c r="H3070" s="457"/>
    </row>
    <row r="3071" spans="1:8">
      <c r="B3071" s="855" t="s">
        <v>165</v>
      </c>
      <c r="C3071" s="855"/>
      <c r="D3071" s="856" t="s">
        <v>61</v>
      </c>
      <c r="E3071" s="856"/>
      <c r="F3071" s="856"/>
      <c r="G3071" s="457">
        <f>SUM(G3069:G3070)</f>
        <v>79000</v>
      </c>
      <c r="H3071" s="457"/>
    </row>
    <row r="3072" spans="1:8">
      <c r="B3072" s="855"/>
      <c r="C3072" s="855"/>
      <c r="D3072" s="857" t="s">
        <v>573</v>
      </c>
      <c r="E3072" s="857"/>
      <c r="F3072" s="857"/>
      <c r="G3072" s="457">
        <f>INT(15%*G3071*100)/100</f>
        <v>11850</v>
      </c>
      <c r="H3072" s="457"/>
    </row>
    <row r="3073" spans="1:8">
      <c r="B3073" s="855"/>
      <c r="C3073" s="855"/>
      <c r="D3073" s="856" t="s">
        <v>47</v>
      </c>
      <c r="E3073" s="856"/>
      <c r="F3073" s="856"/>
      <c r="G3073" s="442">
        <f>SUM(G3071:G3072)</f>
        <v>90850</v>
      </c>
      <c r="H3073" s="457"/>
    </row>
    <row r="3074" spans="1:8">
      <c r="B3074" s="458"/>
      <c r="C3074" s="458"/>
      <c r="F3074" s="459"/>
      <c r="G3074" s="632"/>
      <c r="H3074" s="460"/>
    </row>
    <row r="3075" spans="1:8">
      <c r="B3075" s="640"/>
      <c r="C3075" s="485"/>
      <c r="D3075" s="641"/>
      <c r="E3075" s="486"/>
      <c r="F3075" s="487"/>
      <c r="G3075" s="487"/>
      <c r="H3075" s="487"/>
    </row>
    <row r="3076" spans="1:8" s="605" customFormat="1" ht="24" customHeight="1">
      <c r="A3076" s="603">
        <v>13.1</v>
      </c>
      <c r="B3076" s="604" t="s">
        <v>546</v>
      </c>
      <c r="C3076" s="891" t="s">
        <v>1603</v>
      </c>
      <c r="D3076" s="892"/>
      <c r="E3076" s="892"/>
      <c r="F3076" s="610" t="s">
        <v>113</v>
      </c>
      <c r="G3076" s="610">
        <f>TRUNC(G3082/100,2)</f>
        <v>81.11</v>
      </c>
      <c r="H3076" s="447">
        <f>TRUNC(G3084/100,2)</f>
        <v>93.28</v>
      </c>
    </row>
    <row r="3077" spans="1:8">
      <c r="B3077" s="450" t="s">
        <v>80</v>
      </c>
      <c r="C3077" s="451" t="s">
        <v>81</v>
      </c>
      <c r="D3077" s="451" t="s">
        <v>44</v>
      </c>
      <c r="E3077" s="451" t="s">
        <v>45</v>
      </c>
      <c r="F3077" s="452" t="s">
        <v>58</v>
      </c>
      <c r="G3077" s="452" t="s">
        <v>59</v>
      </c>
      <c r="H3077" s="452" t="s">
        <v>52</v>
      </c>
    </row>
    <row r="3078" spans="1:8">
      <c r="B3078" s="887" t="s">
        <v>77</v>
      </c>
      <c r="C3078" s="454" t="s">
        <v>69</v>
      </c>
      <c r="D3078" s="451">
        <v>1.0760000000000001</v>
      </c>
      <c r="E3078" s="451" t="s">
        <v>46</v>
      </c>
      <c r="F3078" s="457">
        <f>F3030</f>
        <v>1200</v>
      </c>
      <c r="G3078" s="457">
        <f>INT(D3078*F3078*100)/100</f>
        <v>1291.2</v>
      </c>
      <c r="H3078" s="452"/>
    </row>
    <row r="3079" spans="1:8" ht="12.75" customHeight="1">
      <c r="B3079" s="887"/>
      <c r="C3079" s="454" t="s">
        <v>43</v>
      </c>
      <c r="D3079" s="455">
        <v>5.38</v>
      </c>
      <c r="E3079" s="451" t="s">
        <v>46</v>
      </c>
      <c r="F3079" s="457">
        <f>F3031</f>
        <v>870</v>
      </c>
      <c r="G3079" s="457">
        <f>INT(D3079*F3079*100)/100</f>
        <v>4680.6000000000004</v>
      </c>
      <c r="H3079" s="452"/>
    </row>
    <row r="3080" spans="1:8">
      <c r="B3080" s="887" t="s">
        <v>126</v>
      </c>
      <c r="C3080" s="454" t="s">
        <v>131</v>
      </c>
      <c r="D3080" s="456">
        <v>110</v>
      </c>
      <c r="E3080" s="451" t="s">
        <v>113</v>
      </c>
      <c r="F3080" s="457">
        <f>'Basic Rate'!F26</f>
        <v>19</v>
      </c>
      <c r="G3080" s="457">
        <f>INT(D3080*F3080*100)/100</f>
        <v>2090</v>
      </c>
      <c r="H3080" s="457"/>
    </row>
    <row r="3081" spans="1:8" ht="12.75" customHeight="1">
      <c r="B3081" s="887"/>
      <c r="C3081" s="454" t="s">
        <v>129</v>
      </c>
      <c r="D3081" s="858" t="s">
        <v>130</v>
      </c>
      <c r="E3081" s="859"/>
      <c r="F3081" s="860"/>
      <c r="G3081" s="510">
        <v>50</v>
      </c>
      <c r="H3081" s="452"/>
    </row>
    <row r="3082" spans="1:8">
      <c r="B3082" s="855" t="s">
        <v>176</v>
      </c>
      <c r="C3082" s="855"/>
      <c r="D3082" s="856" t="s">
        <v>61</v>
      </c>
      <c r="E3082" s="856"/>
      <c r="F3082" s="856"/>
      <c r="G3082" s="457">
        <f>SUM(G3078:G3081)</f>
        <v>8111.8</v>
      </c>
      <c r="H3082" s="457"/>
    </row>
    <row r="3083" spans="1:8">
      <c r="B3083" s="855"/>
      <c r="C3083" s="855"/>
      <c r="D3083" s="857" t="s">
        <v>573</v>
      </c>
      <c r="E3083" s="857"/>
      <c r="F3083" s="857"/>
      <c r="G3083" s="457">
        <f>INT(15%*G3082*100)/100</f>
        <v>1216.77</v>
      </c>
      <c r="H3083" s="457"/>
    </row>
    <row r="3084" spans="1:8">
      <c r="B3084" s="855"/>
      <c r="C3084" s="855"/>
      <c r="D3084" s="856" t="s">
        <v>47</v>
      </c>
      <c r="E3084" s="856"/>
      <c r="F3084" s="856"/>
      <c r="G3084" s="457">
        <f>SUM(G3082:G3083)</f>
        <v>9328.57</v>
      </c>
      <c r="H3084" s="457"/>
    </row>
    <row r="3085" spans="1:8">
      <c r="B3085" s="532"/>
      <c r="C3085" s="532"/>
      <c r="D3085" s="451"/>
      <c r="E3085" s="451"/>
      <c r="F3085" s="451"/>
      <c r="G3085" s="457"/>
      <c r="H3085" s="457"/>
    </row>
    <row r="3086" spans="1:8" s="605" customFormat="1" ht="40.200000000000003" customHeight="1">
      <c r="A3086" s="603">
        <v>13.11</v>
      </c>
      <c r="B3086" s="604" t="s">
        <v>547</v>
      </c>
      <c r="C3086" s="891" t="s">
        <v>1604</v>
      </c>
      <c r="D3086" s="892"/>
      <c r="E3086" s="892"/>
      <c r="F3086" s="610" t="s">
        <v>113</v>
      </c>
      <c r="G3086" s="610">
        <f>TRUNC(G3093/30,2)</f>
        <v>1596.97</v>
      </c>
      <c r="H3086" s="610">
        <f>TRUNC(G3095/30,2)</f>
        <v>1836.51</v>
      </c>
    </row>
    <row r="3087" spans="1:8">
      <c r="B3087" s="450" t="s">
        <v>80</v>
      </c>
      <c r="C3087" s="451" t="s">
        <v>81</v>
      </c>
      <c r="D3087" s="451" t="s">
        <v>44</v>
      </c>
      <c r="E3087" s="451" t="s">
        <v>45</v>
      </c>
      <c r="F3087" s="452" t="s">
        <v>58</v>
      </c>
      <c r="G3087" s="452" t="s">
        <v>59</v>
      </c>
      <c r="H3087" s="452" t="s">
        <v>52</v>
      </c>
    </row>
    <row r="3088" spans="1:8">
      <c r="B3088" s="864" t="s">
        <v>77</v>
      </c>
      <c r="C3088" s="454" t="s">
        <v>69</v>
      </c>
      <c r="D3088" s="455">
        <v>1</v>
      </c>
      <c r="E3088" s="451" t="s">
        <v>46</v>
      </c>
      <c r="F3088" s="457">
        <f>F3078</f>
        <v>1200</v>
      </c>
      <c r="G3088" s="457">
        <f>INT(D3088*F3088*100)/100</f>
        <v>1200</v>
      </c>
      <c r="H3088" s="452"/>
    </row>
    <row r="3089" spans="1:8">
      <c r="B3089" s="865"/>
      <c r="C3089" s="454" t="s">
        <v>43</v>
      </c>
      <c r="D3089" s="455">
        <v>2</v>
      </c>
      <c r="E3089" s="451" t="s">
        <v>46</v>
      </c>
      <c r="F3089" s="457">
        <f>F3079</f>
        <v>870</v>
      </c>
      <c r="G3089" s="457">
        <f>INT(D3089*F3089*100)/100</f>
        <v>1740</v>
      </c>
      <c r="H3089" s="452"/>
    </row>
    <row r="3090" spans="1:8">
      <c r="B3090" s="864" t="s">
        <v>126</v>
      </c>
      <c r="C3090" s="454" t="s">
        <v>548</v>
      </c>
      <c r="D3090" s="455">
        <v>0.19</v>
      </c>
      <c r="E3090" s="451" t="s">
        <v>68</v>
      </c>
      <c r="F3090" s="457">
        <f>'Basic Rate'!F225</f>
        <v>211680</v>
      </c>
      <c r="G3090" s="457">
        <f>INT(D3090*F3090*100)/100</f>
        <v>40219.199999999997</v>
      </c>
      <c r="H3090" s="452"/>
    </row>
    <row r="3091" spans="1:8">
      <c r="B3091" s="868"/>
      <c r="C3091" s="454" t="s">
        <v>128</v>
      </c>
      <c r="D3091" s="455">
        <v>250</v>
      </c>
      <c r="E3091" s="451" t="s">
        <v>113</v>
      </c>
      <c r="F3091" s="457">
        <f>'Basic Rate'!F25</f>
        <v>19</v>
      </c>
      <c r="G3091" s="457">
        <f>INT(D3091*F3091*100)/100</f>
        <v>4750</v>
      </c>
      <c r="H3091" s="457"/>
    </row>
    <row r="3092" spans="1:8">
      <c r="B3092" s="865"/>
      <c r="C3092" s="484" t="s">
        <v>213</v>
      </c>
      <c r="D3092" s="455">
        <v>77</v>
      </c>
      <c r="E3092" s="451" t="s">
        <v>46</v>
      </c>
      <c r="F3092" s="457">
        <f>'Basic Rate'!F205</f>
        <v>0</v>
      </c>
      <c r="G3092" s="457">
        <f>INT(D3092*F3092*100)/100</f>
        <v>0</v>
      </c>
      <c r="H3092" s="452"/>
    </row>
    <row r="3093" spans="1:8">
      <c r="B3093" s="855" t="s">
        <v>177</v>
      </c>
      <c r="C3093" s="855"/>
      <c r="D3093" s="856" t="s">
        <v>61</v>
      </c>
      <c r="E3093" s="856"/>
      <c r="F3093" s="856"/>
      <c r="G3093" s="457">
        <f>SUM(G3088:G3092)</f>
        <v>47909.2</v>
      </c>
      <c r="H3093" s="457"/>
    </row>
    <row r="3094" spans="1:8">
      <c r="B3094" s="855"/>
      <c r="C3094" s="855"/>
      <c r="D3094" s="857" t="s">
        <v>573</v>
      </c>
      <c r="E3094" s="857"/>
      <c r="F3094" s="857"/>
      <c r="G3094" s="457">
        <f>INT(15%*G3093*100)/100</f>
        <v>7186.38</v>
      </c>
      <c r="H3094" s="457"/>
    </row>
    <row r="3095" spans="1:8">
      <c r="B3095" s="855"/>
      <c r="C3095" s="855"/>
      <c r="D3095" s="856" t="s">
        <v>47</v>
      </c>
      <c r="E3095" s="856"/>
      <c r="F3095" s="856"/>
      <c r="G3095" s="457">
        <f>SUM(G3093:G3094)</f>
        <v>55095.579999999994</v>
      </c>
      <c r="H3095" s="457"/>
    </row>
    <row r="3096" spans="1:8">
      <c r="B3096" s="458"/>
      <c r="C3096" s="458"/>
      <c r="F3096" s="459"/>
      <c r="G3096" s="460"/>
      <c r="H3096" s="460"/>
    </row>
    <row r="3097" spans="1:8">
      <c r="B3097" s="458"/>
      <c r="C3097" s="458"/>
      <c r="F3097" s="459"/>
      <c r="G3097" s="460"/>
      <c r="H3097" s="460"/>
    </row>
    <row r="3098" spans="1:8">
      <c r="C3098" s="485"/>
      <c r="D3098" s="486"/>
      <c r="E3098" s="486"/>
      <c r="F3098" s="642"/>
      <c r="G3098" s="642"/>
      <c r="H3098" s="642"/>
    </row>
    <row r="3099" spans="1:8" s="605" customFormat="1" ht="25.5" customHeight="1">
      <c r="A3099" s="603">
        <v>13.12</v>
      </c>
      <c r="B3099" s="604" t="s">
        <v>549</v>
      </c>
      <c r="C3099" s="891" t="s">
        <v>9</v>
      </c>
      <c r="D3099" s="892"/>
      <c r="E3099" s="892"/>
      <c r="F3099" s="610" t="s">
        <v>74</v>
      </c>
      <c r="G3099" s="610">
        <f>TRUNC(G3105/18.94,2)</f>
        <v>224.68</v>
      </c>
      <c r="H3099" s="610">
        <f>TRUNC(G3107/18.94,2)</f>
        <v>258.38</v>
      </c>
    </row>
    <row r="3100" spans="1:8">
      <c r="B3100" s="450" t="s">
        <v>80</v>
      </c>
      <c r="C3100" s="451" t="s">
        <v>81</v>
      </c>
      <c r="D3100" s="451" t="s">
        <v>44</v>
      </c>
      <c r="E3100" s="451" t="s">
        <v>45</v>
      </c>
      <c r="F3100" s="452" t="s">
        <v>58</v>
      </c>
      <c r="G3100" s="452" t="s">
        <v>59</v>
      </c>
      <c r="H3100" s="452" t="s">
        <v>52</v>
      </c>
    </row>
    <row r="3101" spans="1:8">
      <c r="B3101" s="864" t="s">
        <v>77</v>
      </c>
      <c r="C3101" s="454" t="s">
        <v>69</v>
      </c>
      <c r="D3101" s="488">
        <v>0.68700000000000006</v>
      </c>
      <c r="E3101" s="451" t="s">
        <v>46</v>
      </c>
      <c r="F3101" s="457">
        <f>F3088</f>
        <v>1200</v>
      </c>
      <c r="G3101" s="457">
        <f>INT(D3101*F3101*100)/100</f>
        <v>824.4</v>
      </c>
      <c r="H3101" s="452"/>
    </row>
    <row r="3102" spans="1:8">
      <c r="B3102" s="865"/>
      <c r="C3102" s="454" t="s">
        <v>43</v>
      </c>
      <c r="D3102" s="488">
        <v>0.78100000000000003</v>
      </c>
      <c r="E3102" s="451" t="s">
        <v>46</v>
      </c>
      <c r="F3102" s="457">
        <f>F3089</f>
        <v>870</v>
      </c>
      <c r="G3102" s="457">
        <f>INT(D3102*F3102*100)/100</f>
        <v>679.47</v>
      </c>
      <c r="H3102" s="452"/>
    </row>
    <row r="3103" spans="1:8">
      <c r="B3103" s="864" t="s">
        <v>126</v>
      </c>
      <c r="C3103" s="454" t="s">
        <v>8</v>
      </c>
      <c r="D3103" s="488">
        <v>18.940000000000001</v>
      </c>
      <c r="E3103" s="451" t="s">
        <v>74</v>
      </c>
      <c r="F3103" s="457">
        <f>'Basic Rate'!D123</f>
        <v>140</v>
      </c>
      <c r="G3103" s="457">
        <f>INT(D3103*F3103*100)/100</f>
        <v>2651.6</v>
      </c>
      <c r="H3103" s="452"/>
    </row>
    <row r="3104" spans="1:8">
      <c r="B3104" s="865"/>
      <c r="C3104" s="454" t="s">
        <v>133</v>
      </c>
      <c r="D3104" s="902" t="s">
        <v>86</v>
      </c>
      <c r="E3104" s="903"/>
      <c r="F3104" s="904"/>
      <c r="G3104" s="457">
        <v>100</v>
      </c>
      <c r="H3104" s="457"/>
    </row>
    <row r="3105" spans="1:8">
      <c r="B3105" s="855" t="s">
        <v>10</v>
      </c>
      <c r="C3105" s="855"/>
      <c r="D3105" s="856" t="s">
        <v>61</v>
      </c>
      <c r="E3105" s="856"/>
      <c r="F3105" s="856"/>
      <c r="G3105" s="457">
        <f>SUM(G3101:G3104)</f>
        <v>4255.4699999999993</v>
      </c>
      <c r="H3105" s="457"/>
    </row>
    <row r="3106" spans="1:8">
      <c r="B3106" s="855"/>
      <c r="C3106" s="855"/>
      <c r="D3106" s="857" t="s">
        <v>573</v>
      </c>
      <c r="E3106" s="857"/>
      <c r="F3106" s="857"/>
      <c r="G3106" s="457">
        <f>INT(15%*G3105*100)/100</f>
        <v>638.32000000000005</v>
      </c>
      <c r="H3106" s="457"/>
    </row>
    <row r="3107" spans="1:8">
      <c r="B3107" s="855"/>
      <c r="C3107" s="855"/>
      <c r="D3107" s="856" t="s">
        <v>47</v>
      </c>
      <c r="E3107" s="856"/>
      <c r="F3107" s="856"/>
      <c r="G3107" s="457">
        <f>SUM(G3105:G3106)</f>
        <v>4893.7899999999991</v>
      </c>
      <c r="H3107" s="457"/>
    </row>
    <row r="3108" spans="1:8">
      <c r="B3108" s="458"/>
      <c r="C3108" s="458"/>
      <c r="F3108" s="459"/>
      <c r="G3108" s="460"/>
      <c r="H3108" s="460"/>
    </row>
    <row r="3110" spans="1:8" s="605" customFormat="1" ht="56.4" customHeight="1">
      <c r="A3110" s="603">
        <v>13.13</v>
      </c>
      <c r="B3110" s="604" t="s">
        <v>550</v>
      </c>
      <c r="C3110" s="919" t="s">
        <v>555</v>
      </c>
      <c r="D3110" s="920"/>
      <c r="E3110" s="920"/>
      <c r="F3110" s="610" t="s">
        <v>50</v>
      </c>
      <c r="G3110" s="610" t="e">
        <f>TRUNC(G3120/10,2)</f>
        <v>#VALUE!</v>
      </c>
      <c r="H3110" s="610" t="e">
        <f>TRUNC(G3122/10,2)</f>
        <v>#VALUE!</v>
      </c>
    </row>
    <row r="3111" spans="1:8">
      <c r="B3111" s="450" t="s">
        <v>80</v>
      </c>
      <c r="C3111" s="451" t="s">
        <v>81</v>
      </c>
      <c r="D3111" s="451" t="s">
        <v>44</v>
      </c>
      <c r="E3111" s="451" t="s">
        <v>45</v>
      </c>
      <c r="F3111" s="452" t="s">
        <v>58</v>
      </c>
      <c r="G3111" s="452" t="s">
        <v>59</v>
      </c>
      <c r="H3111" s="452" t="s">
        <v>52</v>
      </c>
    </row>
    <row r="3112" spans="1:8">
      <c r="B3112" s="864" t="s">
        <v>77</v>
      </c>
      <c r="C3112" s="454" t="s">
        <v>69</v>
      </c>
      <c r="D3112" s="488">
        <v>7</v>
      </c>
      <c r="E3112" s="451" t="s">
        <v>46</v>
      </c>
      <c r="F3112" s="457">
        <f>F3101</f>
        <v>1200</v>
      </c>
      <c r="G3112" s="457">
        <f t="shared" ref="G3112:G3118" si="127">INT(D3112*F3112*100)/100</f>
        <v>8400</v>
      </c>
      <c r="H3112" s="908">
        <f>SUM(G3112:G3113)</f>
        <v>12750</v>
      </c>
    </row>
    <row r="3113" spans="1:8">
      <c r="B3113" s="865"/>
      <c r="C3113" s="454" t="s">
        <v>43</v>
      </c>
      <c r="D3113" s="488">
        <v>5</v>
      </c>
      <c r="E3113" s="451" t="s">
        <v>46</v>
      </c>
      <c r="F3113" s="457">
        <f>F3102</f>
        <v>870</v>
      </c>
      <c r="G3113" s="457">
        <f t="shared" si="127"/>
        <v>4350</v>
      </c>
      <c r="H3113" s="909"/>
    </row>
    <row r="3114" spans="1:8">
      <c r="B3114" s="864" t="s">
        <v>126</v>
      </c>
      <c r="C3114" s="454" t="s">
        <v>199</v>
      </c>
      <c r="D3114" s="488">
        <v>35.51</v>
      </c>
      <c r="E3114" s="451" t="s">
        <v>74</v>
      </c>
      <c r="F3114" s="457">
        <f>'Basic Rate'!$F$123</f>
        <v>140</v>
      </c>
      <c r="G3114" s="510">
        <f t="shared" si="127"/>
        <v>4971.3999999999996</v>
      </c>
      <c r="H3114" s="908" t="e">
        <f>SUM(G3114:G3118)</f>
        <v>#VALUE!</v>
      </c>
    </row>
    <row r="3115" spans="1:8">
      <c r="B3115" s="868"/>
      <c r="C3115" s="454" t="s">
        <v>551</v>
      </c>
      <c r="D3115" s="488">
        <v>32.06</v>
      </c>
      <c r="E3115" s="451" t="s">
        <v>74</v>
      </c>
      <c r="F3115" s="457">
        <f>'Basic Rate'!$F$122</f>
        <v>130</v>
      </c>
      <c r="G3115" s="457">
        <f t="shared" si="127"/>
        <v>4167.8</v>
      </c>
      <c r="H3115" s="976"/>
    </row>
    <row r="3116" spans="1:8">
      <c r="B3116" s="868"/>
      <c r="C3116" s="454" t="s">
        <v>552</v>
      </c>
      <c r="D3116" s="643">
        <v>25.19</v>
      </c>
      <c r="E3116" s="451" t="s">
        <v>74</v>
      </c>
      <c r="F3116" s="457">
        <f>'Basic Rate'!$F$122</f>
        <v>130</v>
      </c>
      <c r="G3116" s="457">
        <f t="shared" si="127"/>
        <v>3274.7</v>
      </c>
      <c r="H3116" s="976"/>
    </row>
    <row r="3117" spans="1:8">
      <c r="B3117" s="868"/>
      <c r="C3117" s="454" t="s">
        <v>553</v>
      </c>
      <c r="D3117" s="643">
        <v>14.76</v>
      </c>
      <c r="E3117" s="451" t="s">
        <v>74</v>
      </c>
      <c r="F3117" s="457">
        <f>'Basic Rate'!F126</f>
        <v>170</v>
      </c>
      <c r="G3117" s="457">
        <f t="shared" si="127"/>
        <v>2509.1999999999998</v>
      </c>
      <c r="H3117" s="976"/>
    </row>
    <row r="3118" spans="1:8">
      <c r="B3118" s="865"/>
      <c r="C3118" s="454" t="s">
        <v>20</v>
      </c>
      <c r="D3118" s="643">
        <v>10</v>
      </c>
      <c r="E3118" s="451" t="s">
        <v>74</v>
      </c>
      <c r="F3118" s="457" t="str">
        <f>'Basic Rate'!F54</f>
        <v>.</v>
      </c>
      <c r="G3118" s="457" t="e">
        <f t="shared" si="127"/>
        <v>#VALUE!</v>
      </c>
      <c r="H3118" s="909"/>
    </row>
    <row r="3119" spans="1:8">
      <c r="B3119" s="644"/>
      <c r="C3119" s="645" t="s">
        <v>18</v>
      </c>
      <c r="D3119" s="902" t="s">
        <v>17</v>
      </c>
      <c r="E3119" s="903"/>
      <c r="F3119" s="904"/>
      <c r="G3119" s="457" t="e">
        <f>H3114*0.15</f>
        <v>#VALUE!</v>
      </c>
      <c r="H3119" s="457"/>
    </row>
    <row r="3120" spans="1:8">
      <c r="B3120" s="910" t="s">
        <v>15</v>
      </c>
      <c r="C3120" s="911"/>
      <c r="D3120" s="856" t="s">
        <v>61</v>
      </c>
      <c r="E3120" s="856"/>
      <c r="F3120" s="856"/>
      <c r="G3120" s="442" t="e">
        <f>G3119+H3114+H3112</f>
        <v>#VALUE!</v>
      </c>
      <c r="H3120" s="457"/>
    </row>
    <row r="3121" spans="1:8">
      <c r="B3121" s="912"/>
      <c r="C3121" s="913"/>
      <c r="D3121" s="857" t="s">
        <v>573</v>
      </c>
      <c r="E3121" s="857"/>
      <c r="F3121" s="857"/>
      <c r="G3121" s="457" t="e">
        <f>INT(15%*G3120*100)/100</f>
        <v>#VALUE!</v>
      </c>
      <c r="H3121" s="457"/>
    </row>
    <row r="3122" spans="1:8">
      <c r="B3122" s="914"/>
      <c r="C3122" s="915"/>
      <c r="D3122" s="856" t="s">
        <v>47</v>
      </c>
      <c r="E3122" s="856"/>
      <c r="F3122" s="856"/>
      <c r="G3122" s="442" t="e">
        <f>SUM(G3120:G3121)</f>
        <v>#VALUE!</v>
      </c>
      <c r="H3122" s="457"/>
    </row>
    <row r="3123" spans="1:8">
      <c r="B3123" s="646"/>
      <c r="C3123" s="646"/>
      <c r="F3123" s="459"/>
      <c r="G3123" s="460"/>
      <c r="H3123" s="460"/>
    </row>
    <row r="3124" spans="1:8">
      <c r="B3124" s="646"/>
      <c r="C3124" s="646"/>
      <c r="F3124" s="459"/>
      <c r="G3124" s="460"/>
      <c r="H3124" s="460"/>
    </row>
    <row r="3125" spans="1:8" s="605" customFormat="1" ht="49.65" customHeight="1">
      <c r="A3125" s="603">
        <v>13.14</v>
      </c>
      <c r="B3125" s="604" t="s">
        <v>554</v>
      </c>
      <c r="C3125" s="891" t="s">
        <v>556</v>
      </c>
      <c r="D3125" s="892"/>
      <c r="E3125" s="892"/>
      <c r="F3125" s="610" t="s">
        <v>50</v>
      </c>
      <c r="G3125" s="610">
        <f>TRUNC(G3134/10,2)</f>
        <v>3349.53</v>
      </c>
      <c r="H3125" s="447">
        <f>TRUNC(G3136/10,2)</f>
        <v>3851.96</v>
      </c>
    </row>
    <row r="3126" spans="1:8">
      <c r="B3126" s="450" t="s">
        <v>80</v>
      </c>
      <c r="C3126" s="451" t="s">
        <v>81</v>
      </c>
      <c r="D3126" s="451" t="s">
        <v>44</v>
      </c>
      <c r="E3126" s="451" t="s">
        <v>45</v>
      </c>
      <c r="F3126" s="452" t="s">
        <v>58</v>
      </c>
      <c r="G3126" s="452" t="s">
        <v>59</v>
      </c>
      <c r="H3126" s="452" t="s">
        <v>52</v>
      </c>
    </row>
    <row r="3127" spans="1:8" ht="12.75" customHeight="1">
      <c r="B3127" s="864" t="s">
        <v>77</v>
      </c>
      <c r="C3127" s="454" t="s">
        <v>69</v>
      </c>
      <c r="D3127" s="631">
        <v>7</v>
      </c>
      <c r="E3127" s="451" t="s">
        <v>46</v>
      </c>
      <c r="F3127" s="457">
        <f>F3112</f>
        <v>1200</v>
      </c>
      <c r="G3127" s="457">
        <f t="shared" ref="G3127:G3132" si="128">TRUNC(D3127*F3127,2)</f>
        <v>8400</v>
      </c>
      <c r="H3127" s="908">
        <f>SUM(G3127:G3128)</f>
        <v>12750</v>
      </c>
    </row>
    <row r="3128" spans="1:8">
      <c r="B3128" s="865"/>
      <c r="C3128" s="454" t="s">
        <v>43</v>
      </c>
      <c r="D3128" s="631">
        <v>5</v>
      </c>
      <c r="E3128" s="451" t="s">
        <v>46</v>
      </c>
      <c r="F3128" s="457">
        <f>F3113</f>
        <v>870</v>
      </c>
      <c r="G3128" s="457">
        <f t="shared" si="128"/>
        <v>4350</v>
      </c>
      <c r="H3128" s="909"/>
    </row>
    <row r="3129" spans="1:8" ht="12.75" customHeight="1">
      <c r="B3129" s="864" t="s">
        <v>126</v>
      </c>
      <c r="C3129" s="454" t="s">
        <v>199</v>
      </c>
      <c r="D3129" s="631">
        <v>35.51</v>
      </c>
      <c r="E3129" s="451" t="s">
        <v>74</v>
      </c>
      <c r="F3129" s="457">
        <f>F3114</f>
        <v>140</v>
      </c>
      <c r="G3129" s="457">
        <f t="shared" si="128"/>
        <v>4971.3999999999996</v>
      </c>
      <c r="H3129" s="908">
        <f>SUM(G3129:G3132)</f>
        <v>18039.45</v>
      </c>
    </row>
    <row r="3130" spans="1:8">
      <c r="B3130" s="868"/>
      <c r="C3130" s="454" t="s">
        <v>16</v>
      </c>
      <c r="D3130" s="631">
        <v>32.06</v>
      </c>
      <c r="E3130" s="451" t="s">
        <v>74</v>
      </c>
      <c r="F3130" s="457">
        <f>F3115</f>
        <v>130</v>
      </c>
      <c r="G3130" s="457">
        <f t="shared" si="128"/>
        <v>4167.8</v>
      </c>
      <c r="H3130" s="976"/>
    </row>
    <row r="3131" spans="1:8">
      <c r="B3131" s="868"/>
      <c r="C3131" s="585" t="s">
        <v>196</v>
      </c>
      <c r="D3131" s="647">
        <v>14.76</v>
      </c>
      <c r="E3131" s="451" t="s">
        <v>74</v>
      </c>
      <c r="F3131" s="457">
        <f>'Basic Rate'!F125</f>
        <v>130</v>
      </c>
      <c r="G3131" s="457">
        <f t="shared" si="128"/>
        <v>1918.8</v>
      </c>
      <c r="H3131" s="976"/>
    </row>
    <row r="3132" spans="1:8">
      <c r="B3132" s="865"/>
      <c r="C3132" s="484" t="s">
        <v>557</v>
      </c>
      <c r="D3132" s="647">
        <v>66.489999999999995</v>
      </c>
      <c r="E3132" s="451" t="s">
        <v>74</v>
      </c>
      <c r="F3132" s="457">
        <f>'Basic Rate'!F201/1000</f>
        <v>105</v>
      </c>
      <c r="G3132" s="457">
        <f t="shared" si="128"/>
        <v>6981.45</v>
      </c>
      <c r="H3132" s="909"/>
    </row>
    <row r="3133" spans="1:8">
      <c r="B3133" s="450"/>
      <c r="C3133" s="454" t="s">
        <v>18</v>
      </c>
      <c r="D3133" s="918" t="s">
        <v>17</v>
      </c>
      <c r="E3133" s="918"/>
      <c r="F3133" s="918"/>
      <c r="G3133" s="457">
        <f>TRUNC(H3129*15%,2)</f>
        <v>2705.91</v>
      </c>
      <c r="H3133" s="457"/>
    </row>
    <row r="3134" spans="1:8">
      <c r="B3134" s="917" t="s">
        <v>15</v>
      </c>
      <c r="C3134" s="917"/>
      <c r="D3134" s="856" t="s">
        <v>61</v>
      </c>
      <c r="E3134" s="856"/>
      <c r="F3134" s="856"/>
      <c r="G3134" s="457">
        <f>SUM(G3127:G3133)</f>
        <v>33495.360000000001</v>
      </c>
      <c r="H3134" s="457"/>
    </row>
    <row r="3135" spans="1:8">
      <c r="B3135" s="917"/>
      <c r="C3135" s="917"/>
      <c r="D3135" s="857" t="s">
        <v>573</v>
      </c>
      <c r="E3135" s="857"/>
      <c r="F3135" s="857"/>
      <c r="G3135" s="457">
        <f>INT(15%*G3134*100)/100</f>
        <v>5024.3</v>
      </c>
      <c r="H3135" s="457"/>
    </row>
    <row r="3136" spans="1:8">
      <c r="B3136" s="917"/>
      <c r="C3136" s="917"/>
      <c r="D3136" s="856" t="s">
        <v>47</v>
      </c>
      <c r="E3136" s="856"/>
      <c r="F3136" s="856"/>
      <c r="G3136" s="457">
        <f>SUM(G3134:G3135)</f>
        <v>38519.660000000003</v>
      </c>
      <c r="H3136" s="457"/>
    </row>
    <row r="3137" spans="1:8">
      <c r="B3137" s="646"/>
      <c r="C3137" s="646"/>
      <c r="F3137" s="459"/>
      <c r="G3137" s="460"/>
      <c r="H3137" s="460"/>
    </row>
    <row r="3138" spans="1:8" ht="12.75" customHeight="1">
      <c r="B3138" s="458"/>
      <c r="C3138" s="458"/>
      <c r="F3138" s="462"/>
      <c r="G3138" s="460"/>
      <c r="H3138" s="460"/>
    </row>
    <row r="3139" spans="1:8" s="605" customFormat="1" ht="13.8">
      <c r="A3139" s="603">
        <v>13.15</v>
      </c>
      <c r="B3139" s="604" t="s">
        <v>558</v>
      </c>
      <c r="C3139" s="886" t="s">
        <v>559</v>
      </c>
      <c r="D3139" s="907"/>
      <c r="E3139" s="907"/>
      <c r="F3139" s="610" t="str">
        <f>E3143</f>
        <v>Rmtr.</v>
      </c>
      <c r="G3139" s="610">
        <f>TRUNC(G3144/1,2)</f>
        <v>5248</v>
      </c>
      <c r="H3139" s="447">
        <f>TRUNC(G3146/1,2)</f>
        <v>6035.2</v>
      </c>
    </row>
    <row r="3140" spans="1:8">
      <c r="B3140" s="450" t="s">
        <v>80</v>
      </c>
      <c r="C3140" s="451" t="s">
        <v>81</v>
      </c>
      <c r="D3140" s="451" t="s">
        <v>44</v>
      </c>
      <c r="E3140" s="451" t="s">
        <v>45</v>
      </c>
      <c r="F3140" s="452" t="s">
        <v>58</v>
      </c>
      <c r="G3140" s="452" t="s">
        <v>59</v>
      </c>
      <c r="H3140" s="452" t="s">
        <v>52</v>
      </c>
    </row>
    <row r="3141" spans="1:8" ht="12.75" customHeight="1">
      <c r="B3141" s="864" t="s">
        <v>77</v>
      </c>
      <c r="C3141" s="454" t="s">
        <v>69</v>
      </c>
      <c r="D3141" s="631"/>
      <c r="E3141" s="451" t="s">
        <v>46</v>
      </c>
      <c r="F3141" s="457"/>
      <c r="G3141" s="457">
        <f>TRUNC(D3141*F3141,2)</f>
        <v>0</v>
      </c>
      <c r="H3141" s="908">
        <f>SUM(G3141:G3142)</f>
        <v>0</v>
      </c>
    </row>
    <row r="3142" spans="1:8">
      <c r="B3142" s="865"/>
      <c r="C3142" s="454" t="s">
        <v>43</v>
      </c>
      <c r="D3142" s="631"/>
      <c r="E3142" s="451" t="s">
        <v>46</v>
      </c>
      <c r="F3142" s="457"/>
      <c r="G3142" s="457">
        <f>TRUNC(D3142*F3142,2)</f>
        <v>0</v>
      </c>
      <c r="H3142" s="909"/>
    </row>
    <row r="3143" spans="1:8" ht="48.6" customHeight="1">
      <c r="B3143" s="468" t="s">
        <v>126</v>
      </c>
      <c r="C3143" s="648" t="s">
        <v>1605</v>
      </c>
      <c r="D3143" s="649">
        <v>1</v>
      </c>
      <c r="E3143" s="450" t="s">
        <v>113</v>
      </c>
      <c r="F3143" s="516">
        <f>'Basic Rate'!F39</f>
        <v>5248</v>
      </c>
      <c r="G3143" s="516">
        <f>TRUNC(D3143*F3143,2)</f>
        <v>5248</v>
      </c>
      <c r="H3143" s="650">
        <f>SUM(G3143:G3143)</f>
        <v>5248</v>
      </c>
    </row>
    <row r="3144" spans="1:8">
      <c r="B3144" s="910" t="s">
        <v>612</v>
      </c>
      <c r="C3144" s="911"/>
      <c r="D3144" s="856" t="s">
        <v>61</v>
      </c>
      <c r="E3144" s="856"/>
      <c r="F3144" s="856"/>
      <c r="G3144" s="457">
        <f>SUM(G3141:G3143)</f>
        <v>5248</v>
      </c>
      <c r="H3144" s="457"/>
    </row>
    <row r="3145" spans="1:8">
      <c r="B3145" s="912"/>
      <c r="C3145" s="913"/>
      <c r="D3145" s="857" t="s">
        <v>573</v>
      </c>
      <c r="E3145" s="857"/>
      <c r="F3145" s="857"/>
      <c r="G3145" s="457">
        <f>INT(15%*G3144*100)/100</f>
        <v>787.2</v>
      </c>
      <c r="H3145" s="457"/>
    </row>
    <row r="3146" spans="1:8">
      <c r="B3146" s="914"/>
      <c r="C3146" s="915"/>
      <c r="D3146" s="856" t="s">
        <v>47</v>
      </c>
      <c r="E3146" s="856"/>
      <c r="F3146" s="856"/>
      <c r="G3146" s="457">
        <f>SUM(G3144:G3145)</f>
        <v>6035.2</v>
      </c>
      <c r="H3146" s="457"/>
    </row>
    <row r="3147" spans="1:8">
      <c r="B3147" s="646"/>
      <c r="C3147" s="646"/>
      <c r="F3147" s="459"/>
      <c r="G3147" s="460"/>
      <c r="H3147" s="460"/>
    </row>
    <row r="3148" spans="1:8">
      <c r="B3148" s="646"/>
      <c r="C3148" s="646"/>
      <c r="F3148" s="459"/>
      <c r="G3148" s="460"/>
      <c r="H3148" s="460"/>
    </row>
    <row r="3149" spans="1:8" s="605" customFormat="1" ht="59.1" customHeight="1">
      <c r="A3149" s="603">
        <v>13.16</v>
      </c>
      <c r="B3149" s="604" t="s">
        <v>561</v>
      </c>
      <c r="C3149" s="891" t="s">
        <v>1021</v>
      </c>
      <c r="D3149" s="892"/>
      <c r="E3149" s="892"/>
      <c r="F3149" s="610" t="s">
        <v>50</v>
      </c>
      <c r="G3149" s="610">
        <f>G3154</f>
        <v>5248</v>
      </c>
      <c r="H3149" s="447">
        <f>TRUNC(G3156/1,2)</f>
        <v>6035.2</v>
      </c>
    </row>
    <row r="3150" spans="1:8">
      <c r="B3150" s="450" t="s">
        <v>80</v>
      </c>
      <c r="C3150" s="451" t="s">
        <v>81</v>
      </c>
      <c r="D3150" s="451" t="s">
        <v>44</v>
      </c>
      <c r="E3150" s="451" t="s">
        <v>45</v>
      </c>
      <c r="F3150" s="452" t="s">
        <v>58</v>
      </c>
      <c r="G3150" s="452" t="s">
        <v>59</v>
      </c>
      <c r="H3150" s="452" t="s">
        <v>52</v>
      </c>
    </row>
    <row r="3151" spans="1:8" ht="12.75" customHeight="1">
      <c r="B3151" s="864" t="s">
        <v>77</v>
      </c>
      <c r="C3151" s="454" t="s">
        <v>69</v>
      </c>
      <c r="D3151" s="631"/>
      <c r="E3151" s="451" t="s">
        <v>46</v>
      </c>
      <c r="F3151" s="457"/>
      <c r="G3151" s="457">
        <f>TRUNC(D3151*F3151,2)</f>
        <v>0</v>
      </c>
      <c r="H3151" s="908">
        <f>SUM(G3151:G3152)</f>
        <v>0</v>
      </c>
    </row>
    <row r="3152" spans="1:8">
      <c r="B3152" s="865"/>
      <c r="C3152" s="454" t="s">
        <v>43</v>
      </c>
      <c r="D3152" s="631"/>
      <c r="E3152" s="451" t="s">
        <v>46</v>
      </c>
      <c r="F3152" s="457"/>
      <c r="G3152" s="457">
        <f>TRUNC(D3152*F3152,2)</f>
        <v>0</v>
      </c>
      <c r="H3152" s="909"/>
    </row>
    <row r="3153" spans="1:8" ht="69" customHeight="1">
      <c r="B3153" s="468" t="s">
        <v>126</v>
      </c>
      <c r="C3153" s="490" t="str">
        <f>C3149</f>
        <v>Stainless Steel Railing for Verandah  (S.S.Pipe of 20 mm ( 3) lines) Fabrication &amp; installation  (50mm dia. Hand rail, 40mm dia.Vertical post 8/8 apart ) 90 cm height good finishing including fixing as per speciication and instruction  complete work</v>
      </c>
      <c r="D3153" s="631">
        <v>1</v>
      </c>
      <c r="E3153" s="451" t="s">
        <v>113</v>
      </c>
      <c r="F3153" s="457">
        <f>'Basic Rate'!F39</f>
        <v>5248</v>
      </c>
      <c r="G3153" s="457">
        <f>TRUNC(D3153*F3153,2)</f>
        <v>5248</v>
      </c>
      <c r="H3153" s="650">
        <f>SUM(G3153:G3153)</f>
        <v>5248</v>
      </c>
    </row>
    <row r="3154" spans="1:8">
      <c r="B3154" s="910" t="s">
        <v>1022</v>
      </c>
      <c r="C3154" s="911"/>
      <c r="D3154" s="856" t="s">
        <v>61</v>
      </c>
      <c r="E3154" s="856"/>
      <c r="F3154" s="856"/>
      <c r="G3154" s="457">
        <f>SUM(G3151:G3153)</f>
        <v>5248</v>
      </c>
      <c r="H3154" s="457"/>
    </row>
    <row r="3155" spans="1:8">
      <c r="B3155" s="912"/>
      <c r="C3155" s="913"/>
      <c r="D3155" s="857" t="s">
        <v>573</v>
      </c>
      <c r="E3155" s="857"/>
      <c r="F3155" s="857"/>
      <c r="G3155" s="457">
        <f>G3154*0.15</f>
        <v>787.19999999999993</v>
      </c>
      <c r="H3155" s="457"/>
    </row>
    <row r="3156" spans="1:8">
      <c r="B3156" s="914"/>
      <c r="C3156" s="915"/>
      <c r="D3156" s="856" t="s">
        <v>47</v>
      </c>
      <c r="E3156" s="856"/>
      <c r="F3156" s="856"/>
      <c r="G3156" s="457">
        <f>SUM(G3154:G3155)</f>
        <v>6035.2</v>
      </c>
      <c r="H3156" s="457"/>
    </row>
    <row r="3157" spans="1:8" s="605" customFormat="1" ht="38.25" customHeight="1">
      <c r="A3157" s="603">
        <v>13.17</v>
      </c>
      <c r="B3157" s="604" t="s">
        <v>563</v>
      </c>
      <c r="C3157" s="891" t="s">
        <v>564</v>
      </c>
      <c r="D3157" s="892"/>
      <c r="E3157" s="892"/>
      <c r="F3157" s="610" t="s">
        <v>50</v>
      </c>
      <c r="G3157" s="610">
        <f>TRUNC(G3163/9,2)</f>
        <v>0</v>
      </c>
      <c r="H3157" s="610">
        <f>TRUNC(G3165/9,2)</f>
        <v>0</v>
      </c>
    </row>
    <row r="3158" spans="1:8">
      <c r="B3158" s="450" t="s">
        <v>80</v>
      </c>
      <c r="C3158" s="451" t="s">
        <v>81</v>
      </c>
      <c r="D3158" s="451" t="s">
        <v>44</v>
      </c>
      <c r="E3158" s="451" t="s">
        <v>45</v>
      </c>
      <c r="F3158" s="452" t="s">
        <v>58</v>
      </c>
      <c r="G3158" s="452" t="s">
        <v>59</v>
      </c>
      <c r="H3158" s="452" t="s">
        <v>52</v>
      </c>
    </row>
    <row r="3159" spans="1:8" ht="12.75" customHeight="1">
      <c r="B3159" s="864" t="s">
        <v>77</v>
      </c>
      <c r="C3159" s="454" t="s">
        <v>69</v>
      </c>
      <c r="D3159" s="631">
        <v>5.72</v>
      </c>
      <c r="E3159" s="451" t="s">
        <v>46</v>
      </c>
      <c r="F3159" s="457">
        <f>LOOKUP(C3159,'Basic Rate'!$B$8:$B$328,'Basic Rate'!$F$8:$F$328)</f>
        <v>1200</v>
      </c>
      <c r="G3159" s="457">
        <f>TRUNC(D3159*F3159,2)</f>
        <v>6864</v>
      </c>
      <c r="H3159" s="908">
        <f>SUM(G3159:G3160)</f>
        <v>7316.4</v>
      </c>
    </row>
    <row r="3160" spans="1:8">
      <c r="B3160" s="865"/>
      <c r="C3160" s="454" t="s">
        <v>43</v>
      </c>
      <c r="D3160" s="631">
        <v>0.52</v>
      </c>
      <c r="E3160" s="451" t="s">
        <v>46</v>
      </c>
      <c r="F3160" s="457">
        <f>LOOKUP(C3160,'Basic Rate'!$B$8:$B$328,'Basic Rate'!$F$8:$F$328)</f>
        <v>870</v>
      </c>
      <c r="G3160" s="457">
        <f>TRUNC(D3160*F3160,2)</f>
        <v>452.4</v>
      </c>
      <c r="H3160" s="909"/>
    </row>
    <row r="3161" spans="1:8" ht="12.75" customHeight="1">
      <c r="B3161" s="468" t="s">
        <v>126</v>
      </c>
      <c r="C3161" s="454" t="s">
        <v>566</v>
      </c>
      <c r="D3161" s="631">
        <v>0.32900000000000001</v>
      </c>
      <c r="E3161" s="451" t="s">
        <v>68</v>
      </c>
      <c r="F3161" s="457">
        <f>LOOKUP(C3161,'Basic Rate'!$B$8:$B$328,'Basic Rate'!$F$8:$F$328)</f>
        <v>126619.92</v>
      </c>
      <c r="G3161" s="457">
        <f>TRUNC(D3161*F3161,2)</f>
        <v>41657.949999999997</v>
      </c>
      <c r="H3161" s="650">
        <f>SUM(G3161:G3161)</f>
        <v>41657.949999999997</v>
      </c>
    </row>
    <row r="3162" spans="1:8">
      <c r="B3162" s="644"/>
      <c r="C3162" s="454" t="s">
        <v>567</v>
      </c>
      <c r="D3162" s="643">
        <v>9</v>
      </c>
      <c r="E3162" s="651" t="s">
        <v>50</v>
      </c>
      <c r="F3162" s="457" t="s">
        <v>707</v>
      </c>
      <c r="G3162" s="457"/>
      <c r="H3162" s="457"/>
    </row>
    <row r="3163" spans="1:8">
      <c r="B3163" s="910" t="s">
        <v>565</v>
      </c>
      <c r="C3163" s="911"/>
      <c r="D3163" s="856" t="s">
        <v>61</v>
      </c>
      <c r="E3163" s="856"/>
      <c r="F3163" s="856"/>
      <c r="G3163" s="457"/>
      <c r="H3163" s="457"/>
    </row>
    <row r="3164" spans="1:8">
      <c r="B3164" s="912"/>
      <c r="C3164" s="913"/>
      <c r="D3164" s="857" t="s">
        <v>573</v>
      </c>
      <c r="E3164" s="857"/>
      <c r="F3164" s="857"/>
      <c r="G3164" s="457"/>
      <c r="H3164" s="457"/>
    </row>
    <row r="3165" spans="1:8">
      <c r="B3165" s="914"/>
      <c r="C3165" s="915"/>
      <c r="D3165" s="856" t="s">
        <v>47</v>
      </c>
      <c r="E3165" s="856"/>
      <c r="F3165" s="856"/>
      <c r="G3165" s="457"/>
      <c r="H3165" s="457"/>
    </row>
    <row r="3166" spans="1:8">
      <c r="B3166" s="443"/>
      <c r="C3166" s="646"/>
      <c r="E3166" s="443"/>
      <c r="F3166" s="646"/>
      <c r="G3166" s="460"/>
      <c r="H3166" s="460"/>
    </row>
    <row r="3167" spans="1:8" s="605" customFormat="1" ht="25.5" customHeight="1">
      <c r="A3167" s="603">
        <v>13.18</v>
      </c>
      <c r="B3167" s="604" t="s">
        <v>568</v>
      </c>
      <c r="C3167" s="891" t="s">
        <v>980</v>
      </c>
      <c r="D3167" s="892"/>
      <c r="E3167" s="892"/>
      <c r="F3167" s="610" t="s">
        <v>113</v>
      </c>
      <c r="G3167" s="610">
        <f>G3172</f>
        <v>207</v>
      </c>
      <c r="H3167" s="610">
        <f>G3174</f>
        <v>238.05</v>
      </c>
    </row>
    <row r="3168" spans="1:8">
      <c r="B3168" s="450" t="s">
        <v>80</v>
      </c>
      <c r="C3168" s="451" t="s">
        <v>81</v>
      </c>
      <c r="D3168" s="451" t="s">
        <v>44</v>
      </c>
      <c r="E3168" s="451" t="s">
        <v>45</v>
      </c>
      <c r="F3168" s="452" t="s">
        <v>58</v>
      </c>
      <c r="G3168" s="452" t="s">
        <v>59</v>
      </c>
      <c r="H3168" s="452" t="s">
        <v>52</v>
      </c>
    </row>
    <row r="3169" spans="1:8">
      <c r="B3169" s="864" t="s">
        <v>77</v>
      </c>
      <c r="C3169" s="454" t="s">
        <v>69</v>
      </c>
      <c r="D3169" s="488">
        <v>0.1</v>
      </c>
      <c r="E3169" s="451" t="s">
        <v>46</v>
      </c>
      <c r="F3169" s="457">
        <f>LOOKUP(C3169,'Basic Rate'!$B$8:$B$328,'Basic Rate'!$F$8:$F$328)</f>
        <v>1200</v>
      </c>
      <c r="G3169" s="457">
        <f>INT(D3169*F3169*100)/100</f>
        <v>120</v>
      </c>
      <c r="H3169" s="452" t="s">
        <v>613</v>
      </c>
    </row>
    <row r="3170" spans="1:8">
      <c r="B3170" s="865"/>
      <c r="C3170" s="454" t="s">
        <v>43</v>
      </c>
      <c r="D3170" s="488">
        <v>0.1</v>
      </c>
      <c r="E3170" s="451" t="s">
        <v>46</v>
      </c>
      <c r="F3170" s="457">
        <f>LOOKUP(C3170,'Basic Rate'!$B$8:$B$328,'Basic Rate'!$F$8:$F$328)</f>
        <v>870</v>
      </c>
      <c r="G3170" s="457">
        <f>INT(D3170*F3170*100)/100</f>
        <v>87</v>
      </c>
      <c r="H3170" s="452" t="s">
        <v>613</v>
      </c>
    </row>
    <row r="3171" spans="1:8">
      <c r="B3171" s="468" t="s">
        <v>126</v>
      </c>
      <c r="C3171" s="454" t="s">
        <v>11</v>
      </c>
      <c r="D3171" s="524">
        <f>TRUNC(1*0.075*0.1*1.05,4)</f>
        <v>7.7999999999999996E-3</v>
      </c>
      <c r="E3171" s="451" t="s">
        <v>68</v>
      </c>
      <c r="F3171" s="457">
        <f>'Basic Rate'!D162</f>
        <v>0</v>
      </c>
      <c r="G3171" s="457">
        <f>INT(D3171*F3171*100)/100</f>
        <v>0</v>
      </c>
      <c r="H3171" s="452"/>
    </row>
    <row r="3172" spans="1:8">
      <c r="B3172" s="855" t="s">
        <v>12</v>
      </c>
      <c r="C3172" s="855"/>
      <c r="D3172" s="856" t="s">
        <v>61</v>
      </c>
      <c r="E3172" s="856"/>
      <c r="F3172" s="856"/>
      <c r="G3172" s="457">
        <f>SUM(G3169:G3171)</f>
        <v>207</v>
      </c>
      <c r="H3172" s="457"/>
    </row>
    <row r="3173" spans="1:8">
      <c r="B3173" s="855"/>
      <c r="C3173" s="855"/>
      <c r="D3173" s="857" t="s">
        <v>573</v>
      </c>
      <c r="E3173" s="857"/>
      <c r="F3173" s="857"/>
      <c r="G3173" s="457">
        <f>INT(15%*G3172*100)/100</f>
        <v>31.05</v>
      </c>
      <c r="H3173" s="457"/>
    </row>
    <row r="3174" spans="1:8">
      <c r="B3174" s="855"/>
      <c r="C3174" s="855"/>
      <c r="D3174" s="856" t="s">
        <v>47</v>
      </c>
      <c r="E3174" s="856"/>
      <c r="F3174" s="856"/>
      <c r="G3174" s="457">
        <f>SUM(G3172:G3173)</f>
        <v>238.05</v>
      </c>
      <c r="H3174" s="457"/>
    </row>
    <row r="3176" spans="1:8">
      <c r="B3176" s="459"/>
      <c r="C3176" s="582"/>
      <c r="E3176" s="443"/>
      <c r="F3176" s="466"/>
    </row>
    <row r="3177" spans="1:8" s="605" customFormat="1" ht="46.2" customHeight="1">
      <c r="A3177" s="603">
        <v>13.19</v>
      </c>
      <c r="B3177" s="604" t="s">
        <v>569</v>
      </c>
      <c r="C3177" s="891" t="s">
        <v>570</v>
      </c>
      <c r="D3177" s="892"/>
      <c r="E3177" s="892"/>
      <c r="F3177" s="652" t="s">
        <v>113</v>
      </c>
      <c r="G3177" s="610">
        <f>G3186/2.7</f>
        <v>2690.3777777777777</v>
      </c>
      <c r="H3177" s="610">
        <f>G3188/2.7</f>
        <v>3093.9333333333334</v>
      </c>
    </row>
    <row r="3178" spans="1:8">
      <c r="B3178" s="450" t="s">
        <v>80</v>
      </c>
      <c r="C3178" s="451" t="s">
        <v>81</v>
      </c>
      <c r="D3178" s="451" t="s">
        <v>44</v>
      </c>
      <c r="E3178" s="451" t="s">
        <v>45</v>
      </c>
      <c r="F3178" s="452" t="s">
        <v>58</v>
      </c>
      <c r="G3178" s="452" t="s">
        <v>59</v>
      </c>
      <c r="H3178" s="452" t="s">
        <v>52</v>
      </c>
    </row>
    <row r="3179" spans="1:8">
      <c r="B3179" s="864" t="s">
        <v>77</v>
      </c>
      <c r="C3179" s="454" t="s">
        <v>69</v>
      </c>
      <c r="D3179" s="488">
        <v>0.2</v>
      </c>
      <c r="E3179" s="451" t="s">
        <v>46</v>
      </c>
      <c r="F3179" s="457">
        <f>F3127</f>
        <v>1200</v>
      </c>
      <c r="G3179" s="457">
        <f t="shared" ref="G3179:G3184" si="129">INT(D3179*F3179*100)/100</f>
        <v>240</v>
      </c>
      <c r="H3179" s="452"/>
    </row>
    <row r="3180" spans="1:8">
      <c r="B3180" s="865"/>
      <c r="C3180" s="454" t="s">
        <v>43</v>
      </c>
      <c r="D3180" s="488">
        <v>0.2</v>
      </c>
      <c r="E3180" s="451" t="s">
        <v>46</v>
      </c>
      <c r="F3180" s="457">
        <f>F3128</f>
        <v>870</v>
      </c>
      <c r="G3180" s="457">
        <f t="shared" si="129"/>
        <v>174</v>
      </c>
      <c r="H3180" s="452"/>
    </row>
    <row r="3181" spans="1:8">
      <c r="B3181" s="468" t="s">
        <v>126</v>
      </c>
      <c r="C3181" s="454" t="s">
        <v>11</v>
      </c>
      <c r="D3181" s="488">
        <v>2.4400000000000002E-2</v>
      </c>
      <c r="E3181" s="451" t="s">
        <v>68</v>
      </c>
      <c r="F3181" s="510">
        <f>'Basic Rate'!F226</f>
        <v>126619.92</v>
      </c>
      <c r="G3181" s="510">
        <f t="shared" si="129"/>
        <v>3089.52</v>
      </c>
      <c r="H3181" s="452"/>
    </row>
    <row r="3182" spans="1:8">
      <c r="B3182" s="468"/>
      <c r="C3182" s="454" t="s">
        <v>14</v>
      </c>
      <c r="D3182" s="488">
        <v>16.2</v>
      </c>
      <c r="E3182" s="451" t="s">
        <v>355</v>
      </c>
      <c r="F3182" s="510">
        <f>'Basic Rate'!F183</f>
        <v>130</v>
      </c>
      <c r="G3182" s="510">
        <f t="shared" si="129"/>
        <v>2106</v>
      </c>
      <c r="H3182" s="452"/>
    </row>
    <row r="3183" spans="1:8">
      <c r="B3183" s="468"/>
      <c r="C3183" s="454" t="s">
        <v>614</v>
      </c>
      <c r="D3183" s="488">
        <v>2.65</v>
      </c>
      <c r="E3183" s="451" t="s">
        <v>615</v>
      </c>
      <c r="F3183" s="510">
        <f>'Basic Rate'!F130</f>
        <v>130</v>
      </c>
      <c r="G3183" s="510">
        <f t="shared" si="129"/>
        <v>344.5</v>
      </c>
      <c r="H3183" s="452"/>
    </row>
    <row r="3184" spans="1:8">
      <c r="B3184" s="468"/>
      <c r="C3184" s="490" t="s">
        <v>619</v>
      </c>
      <c r="D3184" s="488">
        <v>6.5</v>
      </c>
      <c r="E3184" s="451" t="s">
        <v>615</v>
      </c>
      <c r="F3184" s="510">
        <f>'Basic Rate'!F123</f>
        <v>140</v>
      </c>
      <c r="G3184" s="510">
        <f t="shared" si="129"/>
        <v>910</v>
      </c>
      <c r="H3184" s="452"/>
    </row>
    <row r="3185" spans="1:8">
      <c r="B3185" s="468"/>
      <c r="C3185" s="454" t="s">
        <v>616</v>
      </c>
      <c r="D3185" s="488"/>
      <c r="E3185" s="451" t="s">
        <v>617</v>
      </c>
      <c r="F3185" s="510"/>
      <c r="G3185" s="510">
        <v>400</v>
      </c>
      <c r="H3185" s="452"/>
    </row>
    <row r="3186" spans="1:8" ht="12" customHeight="1">
      <c r="B3186" s="855" t="s">
        <v>618</v>
      </c>
      <c r="C3186" s="855"/>
      <c r="D3186" s="856" t="s">
        <v>61</v>
      </c>
      <c r="E3186" s="856"/>
      <c r="F3186" s="856"/>
      <c r="G3186" s="457">
        <f>SUM(G3179:G3185)</f>
        <v>7264.02</v>
      </c>
      <c r="H3186" s="457"/>
    </row>
    <row r="3187" spans="1:8">
      <c r="B3187" s="855"/>
      <c r="C3187" s="855"/>
      <c r="D3187" s="857" t="s">
        <v>573</v>
      </c>
      <c r="E3187" s="857"/>
      <c r="F3187" s="857"/>
      <c r="G3187" s="457">
        <f>INT(15%*G3186*100)/100</f>
        <v>1089.5999999999999</v>
      </c>
      <c r="H3187" s="457"/>
    </row>
    <row r="3188" spans="1:8">
      <c r="B3188" s="855"/>
      <c r="C3188" s="855"/>
      <c r="D3188" s="856" t="s">
        <v>47</v>
      </c>
      <c r="E3188" s="856"/>
      <c r="F3188" s="856"/>
      <c r="G3188" s="457">
        <f>SUM(G3186:G3187)</f>
        <v>8353.6200000000008</v>
      </c>
      <c r="H3188" s="457"/>
    </row>
    <row r="3189" spans="1:8">
      <c r="A3189" s="653"/>
      <c r="B3189" s="627"/>
      <c r="C3189" s="582"/>
      <c r="E3189" s="443"/>
      <c r="F3189" s="505"/>
      <c r="H3189" s="509"/>
    </row>
    <row r="3190" spans="1:8" s="605" customFormat="1" ht="48" customHeight="1">
      <c r="A3190" s="603">
        <v>13.2</v>
      </c>
      <c r="B3190" s="604" t="s">
        <v>571</v>
      </c>
      <c r="C3190" s="891" t="s">
        <v>572</v>
      </c>
      <c r="D3190" s="892"/>
      <c r="E3190" s="892"/>
      <c r="F3190" s="652" t="s">
        <v>113</v>
      </c>
      <c r="G3190" s="610">
        <f>TRUNC(G3198/2.7,2)</f>
        <v>1258.44</v>
      </c>
      <c r="H3190" s="447">
        <f>TRUNC(G3200/2.7,2)</f>
        <v>1447.21</v>
      </c>
    </row>
    <row r="3191" spans="1:8">
      <c r="B3191" s="450" t="s">
        <v>80</v>
      </c>
      <c r="C3191" s="451" t="s">
        <v>81</v>
      </c>
      <c r="D3191" s="451" t="s">
        <v>44</v>
      </c>
      <c r="E3191" s="451" t="s">
        <v>45</v>
      </c>
      <c r="F3191" s="452" t="s">
        <v>58</v>
      </c>
      <c r="G3191" s="452" t="s">
        <v>59</v>
      </c>
      <c r="H3191" s="452" t="s">
        <v>52</v>
      </c>
    </row>
    <row r="3192" spans="1:8">
      <c r="B3192" s="864" t="s">
        <v>77</v>
      </c>
      <c r="C3192" s="454" t="s">
        <v>69</v>
      </c>
      <c r="D3192" s="455">
        <v>0</v>
      </c>
      <c r="E3192" s="451" t="s">
        <v>46</v>
      </c>
      <c r="F3192" s="457">
        <f>F3127</f>
        <v>1200</v>
      </c>
      <c r="G3192" s="457">
        <f>TRUNC(D3192*F3192,2)</f>
        <v>0</v>
      </c>
      <c r="H3192" s="908">
        <f>SUM(G3192:G3193)</f>
        <v>0</v>
      </c>
    </row>
    <row r="3193" spans="1:8">
      <c r="B3193" s="865"/>
      <c r="C3193" s="454" t="s">
        <v>43</v>
      </c>
      <c r="D3193" s="455">
        <v>0</v>
      </c>
      <c r="E3193" s="451" t="s">
        <v>46</v>
      </c>
      <c r="F3193" s="457">
        <f>F3128</f>
        <v>870</v>
      </c>
      <c r="G3193" s="457">
        <f>TRUNC(D3193*F3193,2)</f>
        <v>0</v>
      </c>
      <c r="H3193" s="909"/>
    </row>
    <row r="3194" spans="1:8">
      <c r="B3194" s="468" t="s">
        <v>126</v>
      </c>
      <c r="C3194" s="454" t="s">
        <v>14</v>
      </c>
      <c r="D3194" s="455">
        <v>18.2</v>
      </c>
      <c r="E3194" s="451" t="s">
        <v>74</v>
      </c>
      <c r="F3194" s="510">
        <f>'Basic Rate'!F183</f>
        <v>130</v>
      </c>
      <c r="G3194" s="457">
        <f>TRUNC(D3194*F3194,2)</f>
        <v>2366</v>
      </c>
      <c r="H3194" s="452"/>
    </row>
    <row r="3195" spans="1:8">
      <c r="B3195" s="468"/>
      <c r="C3195" s="454" t="s">
        <v>614</v>
      </c>
      <c r="D3195" s="455">
        <v>4.5999999999999996</v>
      </c>
      <c r="E3195" s="451" t="s">
        <v>615</v>
      </c>
      <c r="F3195" s="510">
        <f>'Basic Rate'!F130</f>
        <v>130</v>
      </c>
      <c r="G3195" s="457">
        <f>TRUNC(D3195*F3195,2)</f>
        <v>598</v>
      </c>
      <c r="H3195" s="452"/>
    </row>
    <row r="3196" spans="1:8">
      <c r="B3196" s="468"/>
      <c r="C3196" s="490" t="s">
        <v>619</v>
      </c>
      <c r="D3196" s="455">
        <v>18.57</v>
      </c>
      <c r="E3196" s="451" t="s">
        <v>615</v>
      </c>
      <c r="F3196" s="510">
        <f>'Basic Rate'!F123</f>
        <v>140</v>
      </c>
      <c r="G3196" s="457">
        <f>TRUNC(D3196*F3196,2)</f>
        <v>2599.8000000000002</v>
      </c>
      <c r="H3196" s="452"/>
    </row>
    <row r="3197" spans="1:8">
      <c r="B3197" s="468"/>
      <c r="C3197" s="454" t="s">
        <v>616</v>
      </c>
      <c r="D3197" s="455"/>
      <c r="E3197" s="451" t="s">
        <v>613</v>
      </c>
      <c r="F3197" s="510"/>
      <c r="G3197" s="510">
        <v>200</v>
      </c>
      <c r="H3197" s="452"/>
    </row>
    <row r="3198" spans="1:8" ht="12" customHeight="1">
      <c r="B3198" s="855" t="s">
        <v>618</v>
      </c>
      <c r="C3198" s="855"/>
      <c r="D3198" s="856" t="s">
        <v>61</v>
      </c>
      <c r="E3198" s="856"/>
      <c r="F3198" s="856"/>
      <c r="G3198" s="457">
        <f>SUM(G3195:G3197)</f>
        <v>3397.8</v>
      </c>
      <c r="H3198" s="457"/>
    </row>
    <row r="3199" spans="1:8">
      <c r="B3199" s="855"/>
      <c r="C3199" s="855"/>
      <c r="D3199" s="857" t="s">
        <v>573</v>
      </c>
      <c r="E3199" s="857"/>
      <c r="F3199" s="857"/>
      <c r="G3199" s="457">
        <f>G3198*0.15</f>
        <v>509.67</v>
      </c>
      <c r="H3199" s="457"/>
    </row>
    <row r="3200" spans="1:8">
      <c r="A3200" s="453"/>
      <c r="B3200" s="855"/>
      <c r="C3200" s="855"/>
      <c r="D3200" s="856" t="s">
        <v>47</v>
      </c>
      <c r="E3200" s="856"/>
      <c r="F3200" s="856"/>
      <c r="G3200" s="457">
        <f>SUM(G3198:G3199)</f>
        <v>3907.4700000000003</v>
      </c>
      <c r="H3200" s="457"/>
    </row>
    <row r="3201" spans="1:8" ht="18.75" customHeight="1">
      <c r="B3201" s="458"/>
      <c r="C3201" s="458"/>
      <c r="F3201" s="509"/>
      <c r="G3201" s="460"/>
      <c r="H3201" s="460"/>
    </row>
    <row r="3202" spans="1:8" ht="18.75" customHeight="1">
      <c r="B3202" s="458"/>
      <c r="C3202" s="458"/>
      <c r="F3202" s="509"/>
      <c r="G3202" s="460"/>
      <c r="H3202" s="460"/>
    </row>
    <row r="3203" spans="1:8">
      <c r="A3203" s="916" t="s">
        <v>574</v>
      </c>
      <c r="B3203" s="916"/>
      <c r="C3203" s="916"/>
      <c r="D3203" s="916"/>
      <c r="E3203" s="916"/>
      <c r="F3203" s="916"/>
      <c r="G3203" s="916"/>
      <c r="H3203" s="916"/>
    </row>
    <row r="3204" spans="1:8" s="605" customFormat="1" ht="24.75" customHeight="1">
      <c r="A3204" s="603">
        <v>15.01</v>
      </c>
      <c r="B3204" s="604" t="s">
        <v>576</v>
      </c>
      <c r="C3204" s="891" t="s">
        <v>1163</v>
      </c>
      <c r="D3204" s="892"/>
      <c r="E3204" s="892"/>
      <c r="F3204" s="610" t="s">
        <v>50</v>
      </c>
      <c r="G3204" s="610">
        <f>TRUNC(G3208,2)</f>
        <v>134.41</v>
      </c>
      <c r="H3204" s="610">
        <f>TRUNC(G3210,2)</f>
        <v>154.57</v>
      </c>
    </row>
    <row r="3205" spans="1:8" ht="18.75" customHeight="1">
      <c r="B3205" s="450" t="s">
        <v>80</v>
      </c>
      <c r="C3205" s="451" t="s">
        <v>81</v>
      </c>
      <c r="D3205" s="451" t="s">
        <v>44</v>
      </c>
      <c r="E3205" s="451" t="s">
        <v>45</v>
      </c>
      <c r="F3205" s="452" t="s">
        <v>58</v>
      </c>
      <c r="G3205" s="452" t="s">
        <v>59</v>
      </c>
      <c r="H3205" s="452" t="s">
        <v>52</v>
      </c>
    </row>
    <row r="3206" spans="1:8">
      <c r="B3206" s="529" t="s">
        <v>77</v>
      </c>
      <c r="C3206" s="454" t="s">
        <v>43</v>
      </c>
      <c r="D3206" s="488">
        <v>0.15</v>
      </c>
      <c r="E3206" s="451" t="s">
        <v>46</v>
      </c>
      <c r="F3206" s="457">
        <f>F3128</f>
        <v>870</v>
      </c>
      <c r="G3206" s="457">
        <f>INT(D3206*F3206*100)/100</f>
        <v>130.5</v>
      </c>
      <c r="H3206" s="654"/>
    </row>
    <row r="3207" spans="1:8">
      <c r="B3207" s="468" t="s">
        <v>126</v>
      </c>
      <c r="C3207" s="454" t="s">
        <v>65</v>
      </c>
      <c r="D3207" s="856" t="s">
        <v>64</v>
      </c>
      <c r="E3207" s="856"/>
      <c r="F3207" s="856"/>
      <c r="G3207" s="510">
        <f>TRUNC(G3206*3%,2)</f>
        <v>3.91</v>
      </c>
      <c r="H3207" s="452"/>
    </row>
    <row r="3208" spans="1:8" ht="12" customHeight="1">
      <c r="B3208" s="855" t="s">
        <v>124</v>
      </c>
      <c r="C3208" s="855"/>
      <c r="D3208" s="856" t="s">
        <v>61</v>
      </c>
      <c r="E3208" s="856"/>
      <c r="F3208" s="856"/>
      <c r="G3208" s="457">
        <f>SUM(G3206:G3207)</f>
        <v>134.41</v>
      </c>
      <c r="H3208" s="457"/>
    </row>
    <row r="3209" spans="1:8">
      <c r="B3209" s="855"/>
      <c r="C3209" s="855"/>
      <c r="D3209" s="857" t="s">
        <v>573</v>
      </c>
      <c r="E3209" s="857"/>
      <c r="F3209" s="857"/>
      <c r="G3209" s="457">
        <f>INT(15%*G3208*100)/100</f>
        <v>20.16</v>
      </c>
      <c r="H3209" s="457"/>
    </row>
    <row r="3210" spans="1:8">
      <c r="A3210" s="453"/>
      <c r="B3210" s="855"/>
      <c r="C3210" s="855"/>
      <c r="D3210" s="856" t="s">
        <v>47</v>
      </c>
      <c r="E3210" s="856"/>
      <c r="F3210" s="856"/>
      <c r="G3210" s="457">
        <f>SUM(G3208:G3209)</f>
        <v>154.57</v>
      </c>
      <c r="H3210" s="457"/>
    </row>
    <row r="3211" spans="1:8">
      <c r="B3211" s="458"/>
      <c r="C3211" s="458"/>
      <c r="F3211" s="459"/>
      <c r="G3211" s="460"/>
      <c r="H3211" s="460"/>
    </row>
    <row r="3212" spans="1:8" ht="12.75" customHeight="1">
      <c r="B3212" s="458"/>
      <c r="C3212" s="458"/>
      <c r="F3212" s="509"/>
      <c r="G3212" s="460"/>
      <c r="H3212" s="460"/>
    </row>
    <row r="3213" spans="1:8" ht="12.75" customHeight="1">
      <c r="B3213" s="458"/>
      <c r="C3213" s="458"/>
      <c r="F3213" s="467"/>
      <c r="G3213" s="460"/>
      <c r="H3213" s="460"/>
    </row>
    <row r="3214" spans="1:8" s="605" customFormat="1">
      <c r="A3214" s="603">
        <v>15.02</v>
      </c>
      <c r="B3214" s="604" t="s">
        <v>575</v>
      </c>
      <c r="C3214" s="891" t="s">
        <v>578</v>
      </c>
      <c r="D3214" s="892"/>
      <c r="E3214" s="892"/>
      <c r="F3214" s="652" t="s">
        <v>50</v>
      </c>
      <c r="G3214" s="610">
        <f>TRUNC(G3218/100,2)</f>
        <v>29.43</v>
      </c>
      <c r="H3214" s="610">
        <f>TRUNC(G3220/100,2)</f>
        <v>33.85</v>
      </c>
    </row>
    <row r="3215" spans="1:8">
      <c r="B3215" s="450" t="s">
        <v>80</v>
      </c>
      <c r="C3215" s="451" t="s">
        <v>81</v>
      </c>
      <c r="D3215" s="451" t="s">
        <v>44</v>
      </c>
      <c r="E3215" s="451" t="s">
        <v>45</v>
      </c>
      <c r="F3215" s="452" t="s">
        <v>58</v>
      </c>
      <c r="G3215" s="452" t="s">
        <v>59</v>
      </c>
      <c r="H3215" s="452" t="s">
        <v>52</v>
      </c>
    </row>
    <row r="3216" spans="1:8">
      <c r="B3216" s="529" t="s">
        <v>77</v>
      </c>
      <c r="C3216" s="454" t="s">
        <v>43</v>
      </c>
      <c r="D3216" s="488">
        <v>0.5</v>
      </c>
      <c r="E3216" s="451" t="s">
        <v>46</v>
      </c>
      <c r="F3216" s="457">
        <f>F3206</f>
        <v>870</v>
      </c>
      <c r="G3216" s="457">
        <f>INT(D3216*F3216*100)/100</f>
        <v>435</v>
      </c>
      <c r="H3216" s="654"/>
    </row>
    <row r="3217" spans="1:8" ht="12.75" customHeight="1">
      <c r="B3217" s="468" t="s">
        <v>313</v>
      </c>
      <c r="C3217" s="454" t="s">
        <v>1107</v>
      </c>
      <c r="D3217" s="488">
        <v>1.6</v>
      </c>
      <c r="E3217" s="451" t="s">
        <v>577</v>
      </c>
      <c r="F3217" s="457">
        <f>'Basic Rate'!F167</f>
        <v>1568</v>
      </c>
      <c r="G3217" s="457">
        <f>INT(D3217*F3217*100)/100</f>
        <v>2508.8000000000002</v>
      </c>
      <c r="H3217" s="654"/>
    </row>
    <row r="3218" spans="1:8" ht="12" customHeight="1">
      <c r="B3218" s="855" t="s">
        <v>579</v>
      </c>
      <c r="C3218" s="855"/>
      <c r="D3218" s="856" t="s">
        <v>61</v>
      </c>
      <c r="E3218" s="856"/>
      <c r="F3218" s="856"/>
      <c r="G3218" s="457">
        <f>SUM(G3216:G3217)</f>
        <v>2943.8</v>
      </c>
      <c r="H3218" s="457"/>
    </row>
    <row r="3219" spans="1:8">
      <c r="B3219" s="855"/>
      <c r="C3219" s="855"/>
      <c r="D3219" s="857" t="s">
        <v>573</v>
      </c>
      <c r="E3219" s="857"/>
      <c r="F3219" s="857"/>
      <c r="G3219" s="457">
        <f>INT(15%*G3218*100)/100</f>
        <v>441.57</v>
      </c>
      <c r="H3219" s="457"/>
    </row>
    <row r="3220" spans="1:8">
      <c r="A3220" s="453"/>
      <c r="B3220" s="855"/>
      <c r="C3220" s="855"/>
      <c r="D3220" s="856" t="s">
        <v>47</v>
      </c>
      <c r="E3220" s="856"/>
      <c r="F3220" s="856"/>
      <c r="G3220" s="457">
        <f>SUM(G3218:G3219)</f>
        <v>3385.3700000000003</v>
      </c>
      <c r="H3220" s="457"/>
    </row>
    <row r="3221" spans="1:8">
      <c r="B3221" s="458"/>
      <c r="C3221" s="458"/>
      <c r="F3221" s="459"/>
      <c r="G3221" s="460"/>
      <c r="H3221" s="460"/>
    </row>
    <row r="3222" spans="1:8" ht="12.75" customHeight="1">
      <c r="B3222" s="458"/>
      <c r="C3222" s="458"/>
      <c r="F3222" s="509"/>
      <c r="G3222" s="460"/>
      <c r="H3222" s="460"/>
    </row>
    <row r="3223" spans="1:8" s="605" customFormat="1" ht="29.25" customHeight="1">
      <c r="A3223" s="603">
        <v>15.03</v>
      </c>
      <c r="B3223" s="604" t="s">
        <v>584</v>
      </c>
      <c r="C3223" s="876" t="s">
        <v>583</v>
      </c>
      <c r="D3223" s="877"/>
      <c r="E3223" s="878"/>
      <c r="F3223" s="610" t="s">
        <v>50</v>
      </c>
      <c r="G3223" s="610">
        <f>TRUNC(G3228,2)</f>
        <v>327.64999999999998</v>
      </c>
      <c r="H3223" s="610">
        <f>TRUNC(G3230,2)</f>
        <v>376.79</v>
      </c>
    </row>
    <row r="3224" spans="1:8">
      <c r="B3224" s="450" t="s">
        <v>80</v>
      </c>
      <c r="C3224" s="451" t="s">
        <v>81</v>
      </c>
      <c r="D3224" s="451" t="s">
        <v>44</v>
      </c>
      <c r="E3224" s="451" t="s">
        <v>45</v>
      </c>
      <c r="F3224" s="452" t="s">
        <v>58</v>
      </c>
      <c r="G3224" s="452" t="s">
        <v>59</v>
      </c>
      <c r="H3224" s="452" t="s">
        <v>52</v>
      </c>
    </row>
    <row r="3225" spans="1:8">
      <c r="B3225" s="529" t="s">
        <v>77</v>
      </c>
      <c r="C3225" s="454" t="s">
        <v>43</v>
      </c>
      <c r="D3225" s="488">
        <v>0.15</v>
      </c>
      <c r="E3225" s="451" t="s">
        <v>46</v>
      </c>
      <c r="F3225" s="457">
        <f>F3216</f>
        <v>870</v>
      </c>
      <c r="G3225" s="457">
        <f>INT(D3225*F3225*100)/100</f>
        <v>130.5</v>
      </c>
      <c r="H3225" s="654"/>
    </row>
    <row r="3226" spans="1:8">
      <c r="B3226" s="628" t="s">
        <v>126</v>
      </c>
      <c r="C3226" s="454" t="s">
        <v>580</v>
      </c>
      <c r="D3226" s="488">
        <v>0.128</v>
      </c>
      <c r="E3226" s="451" t="s">
        <v>68</v>
      </c>
      <c r="F3226" s="457">
        <f>'Basic Rate'!F175</f>
        <v>1430</v>
      </c>
      <c r="G3226" s="457">
        <f>INT(D3226*F3226*100)/100</f>
        <v>183.04</v>
      </c>
      <c r="H3226" s="654"/>
    </row>
    <row r="3227" spans="1:8" ht="12.75" customHeight="1">
      <c r="B3227" s="468" t="s">
        <v>313</v>
      </c>
      <c r="C3227" s="454" t="s">
        <v>1107</v>
      </c>
      <c r="D3227" s="488">
        <v>8.9999999999999993E-3</v>
      </c>
      <c r="E3227" s="451" t="s">
        <v>577</v>
      </c>
      <c r="F3227" s="457">
        <f>'Basic Rate'!F167</f>
        <v>1568</v>
      </c>
      <c r="G3227" s="457">
        <f>INT(D3227*F3227*100)/100</f>
        <v>14.11</v>
      </c>
      <c r="H3227" s="654"/>
    </row>
    <row r="3228" spans="1:8" ht="12" customHeight="1">
      <c r="B3228" s="855" t="s">
        <v>124</v>
      </c>
      <c r="C3228" s="855"/>
      <c r="D3228" s="856" t="s">
        <v>61</v>
      </c>
      <c r="E3228" s="856"/>
      <c r="F3228" s="856"/>
      <c r="G3228" s="457">
        <f>SUM(G3225:G3227)</f>
        <v>327.64999999999998</v>
      </c>
      <c r="H3228" s="457"/>
    </row>
    <row r="3229" spans="1:8">
      <c r="B3229" s="855"/>
      <c r="C3229" s="855"/>
      <c r="D3229" s="857" t="s">
        <v>573</v>
      </c>
      <c r="E3229" s="857"/>
      <c r="F3229" s="857"/>
      <c r="G3229" s="457">
        <f>INT(15%*G3228*100)/100</f>
        <v>49.14</v>
      </c>
      <c r="H3229" s="457"/>
    </row>
    <row r="3230" spans="1:8">
      <c r="A3230" s="453"/>
      <c r="B3230" s="855"/>
      <c r="C3230" s="855"/>
      <c r="D3230" s="856" t="s">
        <v>47</v>
      </c>
      <c r="E3230" s="856"/>
      <c r="F3230" s="856"/>
      <c r="G3230" s="457">
        <f>SUM(G3228:G3229)</f>
        <v>376.78999999999996</v>
      </c>
      <c r="H3230" s="457"/>
    </row>
    <row r="3231" spans="1:8">
      <c r="B3231" s="458"/>
      <c r="C3231" s="458"/>
      <c r="F3231" s="459"/>
      <c r="G3231" s="460"/>
      <c r="H3231" s="460"/>
    </row>
    <row r="3232" spans="1:8">
      <c r="B3232" s="458"/>
      <c r="C3232" s="458"/>
      <c r="F3232" s="459"/>
      <c r="G3232" s="460"/>
      <c r="H3232" s="460"/>
    </row>
    <row r="3233" spans="1:8" s="605" customFormat="1" ht="36" customHeight="1">
      <c r="A3233" s="603">
        <v>15.04</v>
      </c>
      <c r="B3233" s="604" t="s">
        <v>585</v>
      </c>
      <c r="C3233" s="891" t="s">
        <v>582</v>
      </c>
      <c r="D3233" s="892"/>
      <c r="E3233" s="892"/>
      <c r="F3233" s="610" t="s">
        <v>50</v>
      </c>
      <c r="G3233" s="610">
        <f>TRUNC(G3238,2)</f>
        <v>460.24</v>
      </c>
      <c r="H3233" s="610">
        <f>TRUNC(G3240,2)</f>
        <v>529.27</v>
      </c>
    </row>
    <row r="3234" spans="1:8">
      <c r="B3234" s="450" t="s">
        <v>80</v>
      </c>
      <c r="C3234" s="451" t="s">
        <v>81</v>
      </c>
      <c r="D3234" s="451" t="s">
        <v>44</v>
      </c>
      <c r="E3234" s="451" t="s">
        <v>45</v>
      </c>
      <c r="F3234" s="452" t="s">
        <v>58</v>
      </c>
      <c r="G3234" s="452" t="s">
        <v>59</v>
      </c>
      <c r="H3234" s="452" t="s">
        <v>52</v>
      </c>
    </row>
    <row r="3235" spans="1:8">
      <c r="B3235" s="529" t="s">
        <v>77</v>
      </c>
      <c r="C3235" s="454" t="s">
        <v>43</v>
      </c>
      <c r="D3235" s="488">
        <v>0.19</v>
      </c>
      <c r="E3235" s="451" t="s">
        <v>46</v>
      </c>
      <c r="F3235" s="457">
        <f>F3225</f>
        <v>870</v>
      </c>
      <c r="G3235" s="457">
        <f>INT(D3235*F3235*100)/100</f>
        <v>165.3</v>
      </c>
      <c r="H3235" s="654"/>
    </row>
    <row r="3236" spans="1:8">
      <c r="B3236" s="628" t="s">
        <v>126</v>
      </c>
      <c r="C3236" s="454" t="s">
        <v>580</v>
      </c>
      <c r="D3236" s="488">
        <v>0.192</v>
      </c>
      <c r="E3236" s="451" t="s">
        <v>68</v>
      </c>
      <c r="F3236" s="457">
        <f>F3226</f>
        <v>1430</v>
      </c>
      <c r="G3236" s="457">
        <f>INT(D3236*F3236*100)/100</f>
        <v>274.56</v>
      </c>
      <c r="H3236" s="654"/>
    </row>
    <row r="3237" spans="1:8" ht="12.75" customHeight="1">
      <c r="B3237" s="468" t="s">
        <v>313</v>
      </c>
      <c r="C3237" s="454" t="s">
        <v>1107</v>
      </c>
      <c r="D3237" s="488">
        <v>1.2999999999999999E-2</v>
      </c>
      <c r="E3237" s="451" t="s">
        <v>577</v>
      </c>
      <c r="F3237" s="457">
        <f>F3227</f>
        <v>1568</v>
      </c>
      <c r="G3237" s="457">
        <f>INT(D3237*F3237*100)/100</f>
        <v>20.38</v>
      </c>
      <c r="H3237" s="654"/>
    </row>
    <row r="3238" spans="1:8" ht="12" customHeight="1">
      <c r="B3238" s="855" t="s">
        <v>124</v>
      </c>
      <c r="C3238" s="855"/>
      <c r="D3238" s="856" t="s">
        <v>61</v>
      </c>
      <c r="E3238" s="856"/>
      <c r="F3238" s="856"/>
      <c r="G3238" s="457">
        <f>SUM(G3235:G3237)</f>
        <v>460.24</v>
      </c>
      <c r="H3238" s="457"/>
    </row>
    <row r="3239" spans="1:8">
      <c r="B3239" s="855"/>
      <c r="C3239" s="855"/>
      <c r="D3239" s="857" t="s">
        <v>573</v>
      </c>
      <c r="E3239" s="857"/>
      <c r="F3239" s="857"/>
      <c r="G3239" s="457">
        <f>INT(15%*G3238*100)/100</f>
        <v>69.03</v>
      </c>
      <c r="H3239" s="457"/>
    </row>
    <row r="3240" spans="1:8">
      <c r="A3240" s="453"/>
      <c r="B3240" s="855"/>
      <c r="C3240" s="855"/>
      <c r="D3240" s="856" t="s">
        <v>47</v>
      </c>
      <c r="E3240" s="856"/>
      <c r="F3240" s="856"/>
      <c r="G3240" s="457">
        <f>SUM(G3238:G3239)</f>
        <v>529.27</v>
      </c>
      <c r="H3240" s="457"/>
    </row>
    <row r="3241" spans="1:8">
      <c r="B3241" s="458"/>
      <c r="C3241" s="458"/>
      <c r="F3241" s="459"/>
      <c r="G3241" s="460"/>
      <c r="H3241" s="460"/>
    </row>
    <row r="3242" spans="1:8">
      <c r="B3242" s="458"/>
      <c r="C3242" s="458"/>
      <c r="F3242" s="459"/>
      <c r="G3242" s="460"/>
      <c r="H3242" s="460"/>
    </row>
    <row r="3243" spans="1:8" s="605" customFormat="1" ht="30" customHeight="1">
      <c r="A3243" s="603">
        <v>15.05</v>
      </c>
      <c r="B3243" s="604" t="s">
        <v>586</v>
      </c>
      <c r="C3243" s="891" t="s">
        <v>581</v>
      </c>
      <c r="D3243" s="892"/>
      <c r="E3243" s="892"/>
      <c r="F3243" s="610" t="s">
        <v>50</v>
      </c>
      <c r="G3243" s="610">
        <f>TRUNC(G3248,2)</f>
        <v>577</v>
      </c>
      <c r="H3243" s="610">
        <f>TRUNC(G3250,2)</f>
        <v>663.55</v>
      </c>
    </row>
    <row r="3244" spans="1:8">
      <c r="B3244" s="450" t="s">
        <v>80</v>
      </c>
      <c r="C3244" s="451" t="s">
        <v>81</v>
      </c>
      <c r="D3244" s="451" t="s">
        <v>44</v>
      </c>
      <c r="E3244" s="451" t="s">
        <v>45</v>
      </c>
      <c r="F3244" s="452" t="s">
        <v>58</v>
      </c>
      <c r="G3244" s="452" t="s">
        <v>59</v>
      </c>
      <c r="H3244" s="452" t="s">
        <v>52</v>
      </c>
    </row>
    <row r="3245" spans="1:8">
      <c r="B3245" s="529" t="s">
        <v>77</v>
      </c>
      <c r="C3245" s="454" t="s">
        <v>43</v>
      </c>
      <c r="D3245" s="488">
        <v>0.21</v>
      </c>
      <c r="E3245" s="451" t="s">
        <v>46</v>
      </c>
      <c r="F3245" s="457">
        <f>F3235</f>
        <v>870</v>
      </c>
      <c r="G3245" s="457">
        <f>INT(D3245*F3245*100)/100</f>
        <v>182.7</v>
      </c>
      <c r="H3245" s="654"/>
    </row>
    <row r="3246" spans="1:8">
      <c r="B3246" s="628" t="s">
        <v>126</v>
      </c>
      <c r="C3246" s="454" t="s">
        <v>580</v>
      </c>
      <c r="D3246" s="488">
        <v>0.25600000000000001</v>
      </c>
      <c r="E3246" s="451" t="s">
        <v>68</v>
      </c>
      <c r="F3246" s="457">
        <f>F3236</f>
        <v>1430</v>
      </c>
      <c r="G3246" s="457">
        <f>INT(D3246*F3246*100)/100</f>
        <v>366.08</v>
      </c>
      <c r="H3246" s="654"/>
    </row>
    <row r="3247" spans="1:8" ht="12.75" customHeight="1">
      <c r="B3247" s="468" t="s">
        <v>313</v>
      </c>
      <c r="C3247" s="454" t="s">
        <v>1107</v>
      </c>
      <c r="D3247" s="488">
        <v>1.7999999999999999E-2</v>
      </c>
      <c r="E3247" s="451" t="s">
        <v>577</v>
      </c>
      <c r="F3247" s="457">
        <f>F3237</f>
        <v>1568</v>
      </c>
      <c r="G3247" s="457">
        <f>INT(D3247*F3247*100)/100</f>
        <v>28.22</v>
      </c>
      <c r="H3247" s="654"/>
    </row>
    <row r="3248" spans="1:8" ht="12" customHeight="1">
      <c r="B3248" s="855" t="s">
        <v>124</v>
      </c>
      <c r="C3248" s="855"/>
      <c r="D3248" s="856" t="s">
        <v>61</v>
      </c>
      <c r="E3248" s="856"/>
      <c r="F3248" s="856"/>
      <c r="G3248" s="457">
        <f>SUM(G3245:G3247)</f>
        <v>577</v>
      </c>
      <c r="H3248" s="457"/>
    </row>
    <row r="3249" spans="1:11">
      <c r="B3249" s="855"/>
      <c r="C3249" s="855"/>
      <c r="D3249" s="857" t="s">
        <v>573</v>
      </c>
      <c r="E3249" s="857"/>
      <c r="F3249" s="857"/>
      <c r="G3249" s="457">
        <f>INT(15%*G3248*100)/100</f>
        <v>86.55</v>
      </c>
      <c r="H3249" s="457"/>
    </row>
    <row r="3250" spans="1:11">
      <c r="A3250" s="453"/>
      <c r="B3250" s="855"/>
      <c r="C3250" s="855"/>
      <c r="D3250" s="856" t="s">
        <v>47</v>
      </c>
      <c r="E3250" s="856"/>
      <c r="F3250" s="856"/>
      <c r="G3250" s="457">
        <f>SUM(G3248:G3249)</f>
        <v>663.55</v>
      </c>
      <c r="H3250" s="457"/>
    </row>
    <row r="3251" spans="1:11">
      <c r="B3251" s="458"/>
      <c r="C3251" s="458"/>
      <c r="F3251" s="459"/>
      <c r="G3251" s="460"/>
      <c r="H3251" s="460"/>
    </row>
    <row r="3252" spans="1:11" ht="12.75" customHeight="1">
      <c r="A3252" s="916" t="s">
        <v>1020</v>
      </c>
      <c r="B3252" s="916"/>
      <c r="C3252" s="916"/>
      <c r="D3252" s="916"/>
      <c r="E3252" s="916"/>
      <c r="F3252" s="916"/>
      <c r="G3252" s="916"/>
      <c r="H3252" s="916"/>
    </row>
    <row r="3254" spans="1:11" ht="61.5" customHeight="1">
      <c r="A3254" s="603">
        <v>25.01</v>
      </c>
      <c r="B3254" s="446">
        <v>1</v>
      </c>
      <c r="C3254" s="888" t="str">
        <f>'aluminium dw'!B9</f>
        <v>Providing and fixing Single Panel Casement (Hinged) Door of aluminium section in natural or color anodized/powder coated color Section size (102x45x1.5 mm) fitted with 5 mm clear glass or 9 mm both side laminated board (excluding the cost of handle and door closer).</v>
      </c>
      <c r="D3254" s="889"/>
      <c r="E3254" s="890"/>
      <c r="F3254" s="447" t="s">
        <v>50</v>
      </c>
      <c r="G3254" s="448">
        <f>G3259</f>
        <v>7413.64</v>
      </c>
      <c r="H3254" s="448">
        <f>G3261</f>
        <v>8525.68</v>
      </c>
    </row>
    <row r="3255" spans="1:11" ht="12.75" customHeight="1">
      <c r="B3255" s="450" t="s">
        <v>80</v>
      </c>
      <c r="C3255" s="451" t="s">
        <v>81</v>
      </c>
      <c r="D3255" s="451" t="s">
        <v>44</v>
      </c>
      <c r="E3255" s="451" t="s">
        <v>45</v>
      </c>
      <c r="F3255" s="452" t="s">
        <v>58</v>
      </c>
      <c r="G3255" s="452" t="s">
        <v>59</v>
      </c>
      <c r="H3255" s="452" t="s">
        <v>52</v>
      </c>
    </row>
    <row r="3256" spans="1:11" ht="12.75" customHeight="1">
      <c r="B3256" s="887" t="s">
        <v>60</v>
      </c>
      <c r="C3256" s="484" t="s">
        <v>69</v>
      </c>
      <c r="D3256" s="456">
        <v>0</v>
      </c>
      <c r="E3256" s="451" t="s">
        <v>46</v>
      </c>
      <c r="F3256" s="457">
        <f>'Basic Rate'!F179</f>
        <v>1200</v>
      </c>
      <c r="G3256" s="457">
        <f>INT(D3256*F3256*100)/100</f>
        <v>0</v>
      </c>
      <c r="H3256" s="457"/>
    </row>
    <row r="3257" spans="1:11" ht="12.75" customHeight="1">
      <c r="B3257" s="887"/>
      <c r="C3257" s="484" t="s">
        <v>43</v>
      </c>
      <c r="D3257" s="456">
        <v>0</v>
      </c>
      <c r="E3257" s="451" t="s">
        <v>46</v>
      </c>
      <c r="F3257" s="457">
        <f>'Basic Rate'!F206</f>
        <v>870</v>
      </c>
      <c r="G3257" s="457">
        <f>INT(D3257*F3257*100)/100</f>
        <v>0</v>
      </c>
      <c r="H3257" s="457"/>
    </row>
    <row r="3258" spans="1:11" ht="105.6">
      <c r="B3258" s="450" t="s">
        <v>63</v>
      </c>
      <c r="C3258" s="586" t="s">
        <v>1088</v>
      </c>
      <c r="D3258" s="536">
        <v>1</v>
      </c>
      <c r="E3258" s="536" t="s">
        <v>50</v>
      </c>
      <c r="F3258" s="655">
        <f>'aluminium dw'!F9</f>
        <v>7413.6399999999994</v>
      </c>
      <c r="G3258" s="655">
        <f>INT(D3258*F3258*100)/100</f>
        <v>7413.64</v>
      </c>
      <c r="H3258" s="517" t="str">
        <f>'aluminium dw'!G9</f>
        <v>ktm pg-32(1) 102 series window</v>
      </c>
    </row>
    <row r="3259" spans="1:11" ht="12.75" customHeight="1">
      <c r="B3259" s="855" t="s">
        <v>124</v>
      </c>
      <c r="C3259" s="855"/>
      <c r="D3259" s="856" t="s">
        <v>61</v>
      </c>
      <c r="E3259" s="856"/>
      <c r="F3259" s="856"/>
      <c r="G3259" s="457">
        <f>SUM(G3256:G3258)</f>
        <v>7413.64</v>
      </c>
      <c r="H3259" s="457"/>
    </row>
    <row r="3260" spans="1:11" ht="12.75" customHeight="1">
      <c r="B3260" s="855"/>
      <c r="C3260" s="855"/>
      <c r="D3260" s="857" t="s">
        <v>573</v>
      </c>
      <c r="E3260" s="857"/>
      <c r="F3260" s="857"/>
      <c r="G3260" s="457">
        <f>INT(G3259*15%*100)/100</f>
        <v>1112.04</v>
      </c>
      <c r="H3260" s="457"/>
    </row>
    <row r="3261" spans="1:11" ht="12.75" customHeight="1">
      <c r="B3261" s="855"/>
      <c r="C3261" s="855"/>
      <c r="D3261" s="856" t="s">
        <v>47</v>
      </c>
      <c r="E3261" s="856"/>
      <c r="F3261" s="856"/>
      <c r="G3261" s="457">
        <f>SUM(G3259:G3260)</f>
        <v>8525.68</v>
      </c>
      <c r="H3261" s="457"/>
    </row>
    <row r="3262" spans="1:11" ht="12.75" customHeight="1">
      <c r="B3262" s="458"/>
      <c r="C3262" s="458"/>
      <c r="F3262" s="459"/>
      <c r="G3262" s="460"/>
      <c r="H3262" s="460"/>
    </row>
    <row r="3263" spans="1:11" ht="69.75" customHeight="1">
      <c r="A3263" s="603">
        <v>25.02</v>
      </c>
      <c r="B3263" s="446">
        <v>2</v>
      </c>
      <c r="C3263" s="888" t="str">
        <f>'aluminium dw'!B10</f>
        <v>Providing and fixing Double Panel Casement (Hinged) Door of aluminium section in natural or color anodized/powder coated color Section size (102x45x1.5 mm) fitted with 5 mm clear glass or 9 mm both side laminated board (excluding the cost of handle and door closer).</v>
      </c>
      <c r="D3263" s="889"/>
      <c r="E3263" s="890"/>
      <c r="F3263" s="447" t="s">
        <v>50</v>
      </c>
      <c r="G3263" s="448">
        <f>G3268</f>
        <v>8166.84</v>
      </c>
      <c r="H3263" s="448">
        <f>G3270</f>
        <v>9391.86</v>
      </c>
      <c r="K3263" s="443">
        <f>A3279</f>
        <v>0</v>
      </c>
    </row>
    <row r="3264" spans="1:11" ht="12.75" customHeight="1">
      <c r="B3264" s="450" t="s">
        <v>80</v>
      </c>
      <c r="C3264" s="451" t="s">
        <v>81</v>
      </c>
      <c r="D3264" s="451" t="s">
        <v>44</v>
      </c>
      <c r="E3264" s="451" t="s">
        <v>45</v>
      </c>
      <c r="F3264" s="452" t="s">
        <v>58</v>
      </c>
      <c r="G3264" s="452" t="s">
        <v>59</v>
      </c>
      <c r="H3264" s="452" t="s">
        <v>52</v>
      </c>
    </row>
    <row r="3265" spans="1:8" ht="12.75" customHeight="1">
      <c r="B3265" s="887" t="s">
        <v>60</v>
      </c>
      <c r="C3265" s="484" t="s">
        <v>69</v>
      </c>
      <c r="D3265" s="456">
        <v>0</v>
      </c>
      <c r="E3265" s="451" t="s">
        <v>46</v>
      </c>
      <c r="F3265" s="457">
        <f>F3256</f>
        <v>1200</v>
      </c>
      <c r="G3265" s="457">
        <f>INT(D3265*F3265*100)/100</f>
        <v>0</v>
      </c>
      <c r="H3265" s="457"/>
    </row>
    <row r="3266" spans="1:8" ht="12.75" customHeight="1">
      <c r="B3266" s="887"/>
      <c r="C3266" s="484" t="s">
        <v>43</v>
      </c>
      <c r="D3266" s="456">
        <v>0</v>
      </c>
      <c r="E3266" s="451" t="s">
        <v>46</v>
      </c>
      <c r="F3266" s="457">
        <f>F3257</f>
        <v>870</v>
      </c>
      <c r="G3266" s="457">
        <f>INT(D3266*F3266*100)/100</f>
        <v>0</v>
      </c>
      <c r="H3266" s="457"/>
    </row>
    <row r="3267" spans="1:8" ht="105.6">
      <c r="B3267" s="450" t="s">
        <v>63</v>
      </c>
      <c r="C3267" s="586" t="s">
        <v>1089</v>
      </c>
      <c r="D3267" s="536">
        <v>1</v>
      </c>
      <c r="E3267" s="536" t="s">
        <v>50</v>
      </c>
      <c r="F3267" s="655">
        <f>'aluminium dw'!F10</f>
        <v>8166.84</v>
      </c>
      <c r="G3267" s="655">
        <f>INT(D3267*F3267*100)/100</f>
        <v>8166.84</v>
      </c>
      <c r="H3267" s="517" t="str">
        <f>'aluminium dw'!G10</f>
        <v>ktm pg-32(2) 102 series window</v>
      </c>
    </row>
    <row r="3268" spans="1:8" ht="12.75" customHeight="1">
      <c r="B3268" s="855" t="s">
        <v>124</v>
      </c>
      <c r="C3268" s="855"/>
      <c r="D3268" s="856" t="s">
        <v>61</v>
      </c>
      <c r="E3268" s="856"/>
      <c r="F3268" s="856"/>
      <c r="G3268" s="457">
        <f>SUM(G3265:G3267)</f>
        <v>8166.84</v>
      </c>
      <c r="H3268" s="457"/>
    </row>
    <row r="3269" spans="1:8" ht="12.75" customHeight="1">
      <c r="B3269" s="855"/>
      <c r="C3269" s="855"/>
      <c r="D3269" s="857" t="s">
        <v>573</v>
      </c>
      <c r="E3269" s="857"/>
      <c r="F3269" s="857"/>
      <c r="G3269" s="457">
        <f>INT(G3268*15%*100)/100</f>
        <v>1225.02</v>
      </c>
      <c r="H3269" s="457"/>
    </row>
    <row r="3270" spans="1:8" ht="12.75" customHeight="1">
      <c r="B3270" s="855"/>
      <c r="C3270" s="855"/>
      <c r="D3270" s="856" t="s">
        <v>47</v>
      </c>
      <c r="E3270" s="856"/>
      <c r="F3270" s="856"/>
      <c r="G3270" s="457">
        <f>SUM(G3268:G3269)</f>
        <v>9391.86</v>
      </c>
      <c r="H3270" s="457"/>
    </row>
    <row r="3271" spans="1:8">
      <c r="B3271" s="459"/>
      <c r="C3271" s="582"/>
      <c r="D3271" s="443"/>
      <c r="E3271" s="443"/>
    </row>
    <row r="3272" spans="1:8" ht="68.25" customHeight="1">
      <c r="A3272" s="603">
        <v>25.03</v>
      </c>
      <c r="B3272" s="446">
        <v>3</v>
      </c>
      <c r="C3272" s="888" t="str">
        <f>'aluminium dw'!B11</f>
        <v>Providing and fixing Single Panel Swing Door of aluminium section in natural or color anodized/powder coated color Section size (102x45x1.5 mm) fitted with 5 mm clear glass or 9 mm both side laminated board (excluding the cost of handle and door closer).</v>
      </c>
      <c r="D3272" s="889"/>
      <c r="E3272" s="890"/>
      <c r="F3272" s="447" t="s">
        <v>50</v>
      </c>
      <c r="G3272" s="448">
        <f>G3277</f>
        <v>9436.52</v>
      </c>
      <c r="H3272" s="448">
        <f>G3279</f>
        <v>10851.99</v>
      </c>
    </row>
    <row r="3273" spans="1:8" ht="12.75" customHeight="1">
      <c r="B3273" s="450" t="s">
        <v>80</v>
      </c>
      <c r="C3273" s="451" t="s">
        <v>81</v>
      </c>
      <c r="D3273" s="451" t="s">
        <v>44</v>
      </c>
      <c r="E3273" s="451" t="s">
        <v>45</v>
      </c>
      <c r="F3273" s="452" t="s">
        <v>58</v>
      </c>
      <c r="G3273" s="452" t="s">
        <v>59</v>
      </c>
      <c r="H3273" s="452" t="s">
        <v>52</v>
      </c>
    </row>
    <row r="3274" spans="1:8" ht="12.75" customHeight="1">
      <c r="B3274" s="887" t="s">
        <v>60</v>
      </c>
      <c r="C3274" s="484" t="s">
        <v>69</v>
      </c>
      <c r="D3274" s="456">
        <v>0</v>
      </c>
      <c r="E3274" s="451" t="s">
        <v>46</v>
      </c>
      <c r="F3274" s="457">
        <f>F3265</f>
        <v>1200</v>
      </c>
      <c r="G3274" s="457">
        <f>INT(D3274*F3274*100)/100</f>
        <v>0</v>
      </c>
      <c r="H3274" s="457"/>
    </row>
    <row r="3275" spans="1:8" ht="12.75" customHeight="1">
      <c r="B3275" s="887"/>
      <c r="C3275" s="484" t="s">
        <v>43</v>
      </c>
      <c r="D3275" s="456">
        <v>0</v>
      </c>
      <c r="E3275" s="451" t="s">
        <v>46</v>
      </c>
      <c r="F3275" s="457">
        <f>F3266</f>
        <v>870</v>
      </c>
      <c r="G3275" s="457">
        <f>INT(D3275*F3275*100)/100</f>
        <v>0</v>
      </c>
      <c r="H3275" s="457"/>
    </row>
    <row r="3276" spans="1:8" ht="92.4">
      <c r="B3276" s="450" t="s">
        <v>63</v>
      </c>
      <c r="C3276" s="562" t="s">
        <v>1090</v>
      </c>
      <c r="D3276" s="536">
        <v>1</v>
      </c>
      <c r="E3276" s="536" t="s">
        <v>50</v>
      </c>
      <c r="F3276" s="655">
        <f>'aluminium dw'!F11</f>
        <v>9436.52</v>
      </c>
      <c r="G3276" s="655">
        <f>INT(D3276*F3276*100)/100</f>
        <v>9436.52</v>
      </c>
      <c r="H3276" s="517" t="str">
        <f>'aluminium dw'!G11</f>
        <v>ktm pg-32(3) 102 series window</v>
      </c>
    </row>
    <row r="3277" spans="1:8" ht="12.75" customHeight="1">
      <c r="B3277" s="855" t="s">
        <v>124</v>
      </c>
      <c r="C3277" s="855"/>
      <c r="D3277" s="856" t="s">
        <v>61</v>
      </c>
      <c r="E3277" s="856"/>
      <c r="F3277" s="856"/>
      <c r="G3277" s="457">
        <f>SUM(G3274:G3276)</f>
        <v>9436.52</v>
      </c>
      <c r="H3277" s="457"/>
    </row>
    <row r="3278" spans="1:8" ht="12.75" customHeight="1">
      <c r="B3278" s="855"/>
      <c r="C3278" s="855"/>
      <c r="D3278" s="857" t="s">
        <v>573</v>
      </c>
      <c r="E3278" s="857"/>
      <c r="F3278" s="857"/>
      <c r="G3278" s="457">
        <f>INT(G3277*15%*100)/100</f>
        <v>1415.47</v>
      </c>
      <c r="H3278" s="457"/>
    </row>
    <row r="3279" spans="1:8" ht="12.75" customHeight="1">
      <c r="B3279" s="855"/>
      <c r="C3279" s="855"/>
      <c r="D3279" s="856" t="s">
        <v>47</v>
      </c>
      <c r="E3279" s="856"/>
      <c r="F3279" s="856"/>
      <c r="G3279" s="457">
        <f>SUM(G3277:G3278)</f>
        <v>10851.99</v>
      </c>
      <c r="H3279" s="457"/>
    </row>
    <row r="3280" spans="1:8" ht="12.75" customHeight="1">
      <c r="B3280" s="458"/>
      <c r="C3280" s="458"/>
      <c r="F3280" s="509"/>
      <c r="G3280" s="460"/>
      <c r="H3280" s="460"/>
    </row>
    <row r="3281" spans="1:8" ht="61.5" customHeight="1">
      <c r="A3281" s="603">
        <v>25.04</v>
      </c>
      <c r="B3281" s="446">
        <v>4</v>
      </c>
      <c r="C3281" s="888" t="str">
        <f>'aluminium dw'!B12</f>
        <v>Providing and fixing Double Panel Swing Door of aluminium section in natural or color anodized/powder coated color Section size (102x45x1.5 mm) fitted with 5 mm clear glass or 9 mm both side laminated board (excluding the cost of handle and door closer).</v>
      </c>
      <c r="D3281" s="889"/>
      <c r="E3281" s="890"/>
      <c r="F3281" s="447" t="s">
        <v>50</v>
      </c>
      <c r="G3281" s="448">
        <f>G3286</f>
        <v>10394.16</v>
      </c>
      <c r="H3281" s="448">
        <f>G3288</f>
        <v>11953.279999999999</v>
      </c>
    </row>
    <row r="3282" spans="1:8" ht="12.75" customHeight="1">
      <c r="B3282" s="450" t="s">
        <v>80</v>
      </c>
      <c r="C3282" s="451" t="s">
        <v>81</v>
      </c>
      <c r="D3282" s="451" t="s">
        <v>44</v>
      </c>
      <c r="E3282" s="451" t="s">
        <v>45</v>
      </c>
      <c r="F3282" s="452" t="s">
        <v>58</v>
      </c>
      <c r="G3282" s="452" t="s">
        <v>59</v>
      </c>
      <c r="H3282" s="452" t="s">
        <v>52</v>
      </c>
    </row>
    <row r="3283" spans="1:8" ht="12.75" customHeight="1">
      <c r="B3283" s="887" t="s">
        <v>60</v>
      </c>
      <c r="C3283" s="484" t="s">
        <v>69</v>
      </c>
      <c r="D3283" s="456">
        <v>0</v>
      </c>
      <c r="E3283" s="451" t="s">
        <v>46</v>
      </c>
      <c r="F3283" s="457">
        <f>F3274</f>
        <v>1200</v>
      </c>
      <c r="G3283" s="457">
        <f>INT(D3283*F3283*100)/100</f>
        <v>0</v>
      </c>
      <c r="H3283" s="457"/>
    </row>
    <row r="3284" spans="1:8" ht="12.75" customHeight="1">
      <c r="B3284" s="887"/>
      <c r="C3284" s="484" t="s">
        <v>43</v>
      </c>
      <c r="D3284" s="456">
        <v>0</v>
      </c>
      <c r="E3284" s="451" t="s">
        <v>46</v>
      </c>
      <c r="F3284" s="457">
        <f>F3275</f>
        <v>870</v>
      </c>
      <c r="G3284" s="457">
        <f>INT(D3284*F3284*100)/100</f>
        <v>0</v>
      </c>
      <c r="H3284" s="457"/>
    </row>
    <row r="3285" spans="1:8" ht="92.4">
      <c r="B3285" s="450" t="s">
        <v>63</v>
      </c>
      <c r="C3285" s="562" t="s">
        <v>1091</v>
      </c>
      <c r="D3285" s="536">
        <v>1</v>
      </c>
      <c r="E3285" s="536" t="s">
        <v>50</v>
      </c>
      <c r="F3285" s="655">
        <f>'aluminium dw'!F12</f>
        <v>10394.16</v>
      </c>
      <c r="G3285" s="655">
        <f>INT(D3285*F3285*100)/100</f>
        <v>10394.16</v>
      </c>
      <c r="H3285" s="517" t="str">
        <f>'aluminium dw'!G12</f>
        <v>ktm pg-32(4) 102 series window</v>
      </c>
    </row>
    <row r="3286" spans="1:8" ht="12.75" customHeight="1">
      <c r="B3286" s="855" t="s">
        <v>124</v>
      </c>
      <c r="C3286" s="855"/>
      <c r="D3286" s="856" t="s">
        <v>61</v>
      </c>
      <c r="E3286" s="856"/>
      <c r="F3286" s="856"/>
      <c r="G3286" s="457">
        <f>SUM(G3283:G3285)</f>
        <v>10394.16</v>
      </c>
      <c r="H3286" s="457"/>
    </row>
    <row r="3287" spans="1:8" ht="12.75" customHeight="1">
      <c r="B3287" s="855"/>
      <c r="C3287" s="855"/>
      <c r="D3287" s="857" t="s">
        <v>573</v>
      </c>
      <c r="E3287" s="857"/>
      <c r="F3287" s="857"/>
      <c r="G3287" s="457">
        <f>INT(G3286*15%*100)/100</f>
        <v>1559.12</v>
      </c>
      <c r="H3287" s="457"/>
    </row>
    <row r="3288" spans="1:8" ht="12.75" customHeight="1">
      <c r="B3288" s="855"/>
      <c r="C3288" s="855"/>
      <c r="D3288" s="856" t="s">
        <v>47</v>
      </c>
      <c r="E3288" s="856"/>
      <c r="F3288" s="856"/>
      <c r="G3288" s="457">
        <f>SUM(G3286:G3287)</f>
        <v>11953.279999999999</v>
      </c>
      <c r="H3288" s="457"/>
    </row>
    <row r="3289" spans="1:8" ht="12.75" customHeight="1">
      <c r="B3289" s="458"/>
      <c r="C3289" s="458"/>
      <c r="F3289" s="459"/>
      <c r="G3289" s="460"/>
      <c r="H3289" s="460"/>
    </row>
    <row r="3290" spans="1:8" ht="12.75" customHeight="1">
      <c r="B3290" s="458"/>
      <c r="C3290" s="458"/>
      <c r="F3290" s="459"/>
      <c r="G3290" s="460"/>
      <c r="H3290" s="460"/>
    </row>
    <row r="3291" spans="1:8" ht="54" customHeight="1">
      <c r="A3291" s="603">
        <v>25.05</v>
      </c>
      <c r="B3291" s="446">
        <v>5</v>
      </c>
      <c r="C3291" s="888" t="str">
        <f>'aluminium dw'!B13</f>
        <v>Providing and fixing 2 or 3 Panel Sliding Window of aluminium section in naturally anodized or Black anodized/powder coaded color, Section size (87x56x1.2) fitted with 5 mm clear glass without fly mesh shutter.(window size 6'x5' or average area 30 sq. feet per window).</v>
      </c>
      <c r="D3291" s="889"/>
      <c r="E3291" s="890"/>
      <c r="F3291" s="447" t="s">
        <v>50</v>
      </c>
      <c r="G3291" s="448">
        <f>G3296</f>
        <v>5918</v>
      </c>
      <c r="H3291" s="448">
        <f>G3298</f>
        <v>6805.7</v>
      </c>
    </row>
    <row r="3292" spans="1:8" ht="12.75" customHeight="1">
      <c r="B3292" s="450" t="s">
        <v>80</v>
      </c>
      <c r="C3292" s="451" t="s">
        <v>81</v>
      </c>
      <c r="D3292" s="451" t="s">
        <v>44</v>
      </c>
      <c r="E3292" s="451" t="s">
        <v>45</v>
      </c>
      <c r="F3292" s="452" t="s">
        <v>58</v>
      </c>
      <c r="G3292" s="452" t="s">
        <v>59</v>
      </c>
      <c r="H3292" s="452" t="s">
        <v>52</v>
      </c>
    </row>
    <row r="3293" spans="1:8" ht="12.75" customHeight="1">
      <c r="B3293" s="887" t="s">
        <v>60</v>
      </c>
      <c r="C3293" s="484" t="s">
        <v>69</v>
      </c>
      <c r="D3293" s="456">
        <v>0</v>
      </c>
      <c r="E3293" s="451" t="s">
        <v>46</v>
      </c>
      <c r="F3293" s="457">
        <f>F3283</f>
        <v>1200</v>
      </c>
      <c r="G3293" s="457">
        <f>INT(D3293*F3293*100)/100</f>
        <v>0</v>
      </c>
      <c r="H3293" s="457"/>
    </row>
    <row r="3294" spans="1:8" ht="12.75" customHeight="1">
      <c r="B3294" s="887"/>
      <c r="C3294" s="484" t="s">
        <v>43</v>
      </c>
      <c r="D3294" s="456">
        <v>0</v>
      </c>
      <c r="E3294" s="451" t="s">
        <v>46</v>
      </c>
      <c r="F3294" s="457">
        <f>F3284</f>
        <v>870</v>
      </c>
      <c r="G3294" s="457">
        <f>INT(D3294*F3294*100)/100</f>
        <v>0</v>
      </c>
      <c r="H3294" s="457"/>
    </row>
    <row r="3295" spans="1:8" ht="105.6">
      <c r="B3295" s="450" t="s">
        <v>63</v>
      </c>
      <c r="C3295" s="562" t="s">
        <v>1165</v>
      </c>
      <c r="D3295" s="536">
        <v>1</v>
      </c>
      <c r="E3295" s="536" t="s">
        <v>50</v>
      </c>
      <c r="F3295" s="655">
        <f>'aluminium dw'!F13</f>
        <v>5918</v>
      </c>
      <c r="G3295" s="655">
        <f>INT(D3295*F3295*100)/100</f>
        <v>5918</v>
      </c>
      <c r="H3295" s="517" t="str">
        <f>'aluminium dw'!G13</f>
        <v>ktm pg-32(1) 90 series window</v>
      </c>
    </row>
    <row r="3296" spans="1:8" ht="12.75" customHeight="1">
      <c r="B3296" s="855" t="s">
        <v>124</v>
      </c>
      <c r="C3296" s="855"/>
      <c r="D3296" s="856" t="s">
        <v>61</v>
      </c>
      <c r="E3296" s="856"/>
      <c r="F3296" s="856"/>
      <c r="G3296" s="457">
        <f>SUM(G3293:G3295)</f>
        <v>5918</v>
      </c>
      <c r="H3296" s="457"/>
    </row>
    <row r="3297" spans="1:8" ht="12.75" customHeight="1">
      <c r="B3297" s="855"/>
      <c r="C3297" s="855"/>
      <c r="D3297" s="857" t="s">
        <v>573</v>
      </c>
      <c r="E3297" s="857"/>
      <c r="F3297" s="857"/>
      <c r="G3297" s="457">
        <f>INT(G3296*15%*100)/100</f>
        <v>887.7</v>
      </c>
      <c r="H3297" s="457"/>
    </row>
    <row r="3298" spans="1:8" ht="12.75" customHeight="1">
      <c r="B3298" s="855"/>
      <c r="C3298" s="855"/>
      <c r="D3298" s="856" t="s">
        <v>47</v>
      </c>
      <c r="E3298" s="856"/>
      <c r="F3298" s="856"/>
      <c r="G3298" s="457">
        <f>SUM(G3296:G3297)</f>
        <v>6805.7</v>
      </c>
      <c r="H3298" s="457"/>
    </row>
    <row r="3299" spans="1:8" ht="12.75" customHeight="1">
      <c r="B3299" s="458"/>
      <c r="C3299" s="458"/>
      <c r="F3299" s="459"/>
      <c r="G3299" s="460"/>
      <c r="H3299" s="460"/>
    </row>
    <row r="3300" spans="1:8" ht="12.75" customHeight="1">
      <c r="B3300" s="458"/>
      <c r="C3300" s="458"/>
      <c r="F3300" s="462"/>
      <c r="G3300" s="460"/>
      <c r="H3300" s="460"/>
    </row>
    <row r="3301" spans="1:8" ht="69.75" customHeight="1">
      <c r="A3301" s="603">
        <v>25.06</v>
      </c>
      <c r="B3301" s="446">
        <v>6</v>
      </c>
      <c r="C3301" s="888" t="str">
        <f>'aluminium dw'!B14</f>
        <v>Providing and fixing 2 or 3 Panel Sliding Window of aluminium section in naturally anodized or Black anodized/powder coaded color, Section size (87x56x1.5) fitted with 5 mm clear glass without fly mesh shutter.(window size 6'x5' or average area 30 sq. feet per window).</v>
      </c>
      <c r="D3301" s="889"/>
      <c r="E3301" s="890"/>
      <c r="F3301" s="447" t="s">
        <v>50</v>
      </c>
      <c r="G3301" s="448">
        <f>G3306</f>
        <v>6821.84</v>
      </c>
      <c r="H3301" s="448">
        <f>G3308</f>
        <v>7845.1100000000006</v>
      </c>
    </row>
    <row r="3302" spans="1:8" ht="12.75" customHeight="1">
      <c r="B3302" s="450" t="s">
        <v>80</v>
      </c>
      <c r="C3302" s="451" t="s">
        <v>81</v>
      </c>
      <c r="D3302" s="451" t="s">
        <v>44</v>
      </c>
      <c r="E3302" s="451" t="s">
        <v>45</v>
      </c>
      <c r="F3302" s="452" t="s">
        <v>58</v>
      </c>
      <c r="G3302" s="452" t="s">
        <v>59</v>
      </c>
      <c r="H3302" s="452" t="s">
        <v>52</v>
      </c>
    </row>
    <row r="3303" spans="1:8" ht="12.75" customHeight="1">
      <c r="B3303" s="887" t="s">
        <v>60</v>
      </c>
      <c r="C3303" s="484" t="s">
        <v>69</v>
      </c>
      <c r="D3303" s="456">
        <v>0</v>
      </c>
      <c r="E3303" s="451" t="s">
        <v>46</v>
      </c>
      <c r="F3303" s="457">
        <f>F3293</f>
        <v>1200</v>
      </c>
      <c r="G3303" s="457">
        <f>INT(D3303*F3303*100)/100</f>
        <v>0</v>
      </c>
      <c r="H3303" s="457"/>
    </row>
    <row r="3304" spans="1:8" ht="12.75" customHeight="1">
      <c r="B3304" s="887"/>
      <c r="C3304" s="484" t="s">
        <v>43</v>
      </c>
      <c r="D3304" s="456">
        <v>0</v>
      </c>
      <c r="E3304" s="451" t="s">
        <v>46</v>
      </c>
      <c r="F3304" s="457">
        <f>F3294</f>
        <v>870</v>
      </c>
      <c r="G3304" s="457">
        <f>INT(D3304*F3304*100)/100</f>
        <v>0</v>
      </c>
      <c r="H3304" s="457"/>
    </row>
    <row r="3305" spans="1:8" ht="105.6">
      <c r="B3305" s="450" t="s">
        <v>63</v>
      </c>
      <c r="C3305" s="562" t="s">
        <v>1166</v>
      </c>
      <c r="D3305" s="536">
        <v>1</v>
      </c>
      <c r="E3305" s="536" t="s">
        <v>50</v>
      </c>
      <c r="F3305" s="655">
        <f>'aluminium dw'!F14</f>
        <v>6821.84</v>
      </c>
      <c r="G3305" s="655">
        <f>INT(D3305*F3305*100)/100</f>
        <v>6821.84</v>
      </c>
      <c r="H3305" s="517" t="str">
        <f>'aluminium dw'!G14</f>
        <v>ktm pg-33(2) 90 series window</v>
      </c>
    </row>
    <row r="3306" spans="1:8" ht="12.75" customHeight="1">
      <c r="B3306" s="855" t="s">
        <v>124</v>
      </c>
      <c r="C3306" s="855"/>
      <c r="D3306" s="856" t="s">
        <v>61</v>
      </c>
      <c r="E3306" s="856"/>
      <c r="F3306" s="856"/>
      <c r="G3306" s="457">
        <f>SUM(G3303:G3305)</f>
        <v>6821.84</v>
      </c>
      <c r="H3306" s="457"/>
    </row>
    <row r="3307" spans="1:8" ht="12.75" customHeight="1">
      <c r="B3307" s="855"/>
      <c r="C3307" s="855"/>
      <c r="D3307" s="857" t="s">
        <v>573</v>
      </c>
      <c r="E3307" s="857"/>
      <c r="F3307" s="857"/>
      <c r="G3307" s="457">
        <f>INT(G3306*15%*100)/100</f>
        <v>1023.27</v>
      </c>
      <c r="H3307" s="457"/>
    </row>
    <row r="3308" spans="1:8" ht="12.75" customHeight="1">
      <c r="B3308" s="855"/>
      <c r="C3308" s="855"/>
      <c r="D3308" s="856" t="s">
        <v>47</v>
      </c>
      <c r="E3308" s="856"/>
      <c r="F3308" s="856"/>
      <c r="G3308" s="457">
        <f>SUM(G3306:G3307)</f>
        <v>7845.1100000000006</v>
      </c>
      <c r="H3308" s="457"/>
    </row>
    <row r="3309" spans="1:8" ht="12.75" customHeight="1">
      <c r="B3309" s="463"/>
      <c r="C3309" s="463"/>
      <c r="D3309" s="464"/>
      <c r="E3309" s="464"/>
      <c r="F3309" s="464"/>
      <c r="G3309" s="466"/>
      <c r="H3309" s="466"/>
    </row>
    <row r="3310" spans="1:8" ht="12.75" customHeight="1">
      <c r="B3310" s="463"/>
      <c r="C3310" s="463"/>
      <c r="D3310" s="464"/>
      <c r="E3310" s="464"/>
      <c r="F3310" s="500"/>
      <c r="G3310" s="466"/>
      <c r="H3310" s="466"/>
    </row>
    <row r="3311" spans="1:8" ht="72.75" customHeight="1">
      <c r="A3311" s="603">
        <v>25.07</v>
      </c>
      <c r="B3311" s="446">
        <v>7</v>
      </c>
      <c r="C3311" s="888" t="str">
        <f>'aluminium dw'!B15</f>
        <v>Providing and fixing 2 or 3 Panel Sliding Window with top fix glass of aluminium section in naturally anodized or Black anodized/powder coated color, Section size (87x56x1.20) fitted with 5 mm clear glass without fly mesh shutter.(window size 6'x5' or average area 30 sq. feet per window).</v>
      </c>
      <c r="D3311" s="889"/>
      <c r="E3311" s="890"/>
      <c r="F3311" s="447" t="s">
        <v>50</v>
      </c>
      <c r="G3311" s="448">
        <f>G3316</f>
        <v>6445.24</v>
      </c>
      <c r="H3311" s="448">
        <f>G3318</f>
        <v>7412.0199999999995</v>
      </c>
    </row>
    <row r="3312" spans="1:8" ht="12.75" customHeight="1">
      <c r="B3312" s="450" t="s">
        <v>80</v>
      </c>
      <c r="C3312" s="451" t="s">
        <v>81</v>
      </c>
      <c r="D3312" s="451" t="s">
        <v>44</v>
      </c>
      <c r="E3312" s="451" t="s">
        <v>45</v>
      </c>
      <c r="F3312" s="452" t="s">
        <v>58</v>
      </c>
      <c r="G3312" s="452" t="s">
        <v>59</v>
      </c>
      <c r="H3312" s="452" t="s">
        <v>52</v>
      </c>
    </row>
    <row r="3313" spans="1:8" ht="12.75" customHeight="1">
      <c r="B3313" s="887" t="s">
        <v>60</v>
      </c>
      <c r="C3313" s="484" t="s">
        <v>69</v>
      </c>
      <c r="D3313" s="456">
        <v>0</v>
      </c>
      <c r="E3313" s="451" t="s">
        <v>46</v>
      </c>
      <c r="F3313" s="457">
        <f>F3303</f>
        <v>1200</v>
      </c>
      <c r="G3313" s="457">
        <f>INT(D3313*F3313*100)/100</f>
        <v>0</v>
      </c>
      <c r="H3313" s="457"/>
    </row>
    <row r="3314" spans="1:8" ht="12.75" customHeight="1">
      <c r="B3314" s="887"/>
      <c r="C3314" s="484" t="s">
        <v>43</v>
      </c>
      <c r="D3314" s="456">
        <v>0</v>
      </c>
      <c r="E3314" s="451" t="s">
        <v>46</v>
      </c>
      <c r="F3314" s="457">
        <f>F3304</f>
        <v>870</v>
      </c>
      <c r="G3314" s="457">
        <f>INT(D3314*F3314*100)/100</f>
        <v>0</v>
      </c>
      <c r="H3314" s="457"/>
    </row>
    <row r="3315" spans="1:8" ht="105.6">
      <c r="B3315" s="450" t="s">
        <v>63</v>
      </c>
      <c r="C3315" s="562" t="str">
        <f>C3311</f>
        <v>Providing and fixing 2 or 3 Panel Sliding Window with top fix glass of aluminium section in naturally anodized or Black anodized/powder coated color, Section size (87x56x1.20) fitted with 5 mm clear glass without fly mesh shutter.(window size 6'x5' or average area 30 sq. feet per window).</v>
      </c>
      <c r="D3315" s="536">
        <v>1</v>
      </c>
      <c r="E3315" s="536" t="s">
        <v>50</v>
      </c>
      <c r="F3315" s="655">
        <f>'aluminium dw'!F15</f>
        <v>6445.24</v>
      </c>
      <c r="G3315" s="655">
        <f>INT(D3315*F3315*100)/100</f>
        <v>6445.24</v>
      </c>
      <c r="H3315" s="517" t="str">
        <f>'aluminium dw'!G15</f>
        <v>ktm pg-33(3) 90 series window</v>
      </c>
    </row>
    <row r="3316" spans="1:8" ht="12.75" customHeight="1">
      <c r="B3316" s="855" t="s">
        <v>124</v>
      </c>
      <c r="C3316" s="855"/>
      <c r="D3316" s="856" t="s">
        <v>61</v>
      </c>
      <c r="E3316" s="856"/>
      <c r="F3316" s="856"/>
      <c r="G3316" s="457">
        <f>SUM(G3313:G3315)</f>
        <v>6445.24</v>
      </c>
      <c r="H3316" s="457"/>
    </row>
    <row r="3317" spans="1:8" ht="12.75" customHeight="1">
      <c r="B3317" s="855"/>
      <c r="C3317" s="855"/>
      <c r="D3317" s="857" t="s">
        <v>573</v>
      </c>
      <c r="E3317" s="857"/>
      <c r="F3317" s="857"/>
      <c r="G3317" s="457">
        <f>INT(G3316*15%*100)/100</f>
        <v>966.78</v>
      </c>
      <c r="H3317" s="457"/>
    </row>
    <row r="3318" spans="1:8" ht="12.75" customHeight="1">
      <c r="B3318" s="855"/>
      <c r="C3318" s="855"/>
      <c r="D3318" s="856" t="s">
        <v>47</v>
      </c>
      <c r="E3318" s="856"/>
      <c r="F3318" s="856"/>
      <c r="G3318" s="457">
        <f>SUM(G3316:G3317)</f>
        <v>7412.0199999999995</v>
      </c>
      <c r="H3318" s="457"/>
    </row>
    <row r="3319" spans="1:8" ht="12.75" customHeight="1">
      <c r="B3319" s="458"/>
      <c r="C3319" s="458"/>
      <c r="F3319" s="459"/>
      <c r="G3319" s="460"/>
      <c r="H3319" s="460"/>
    </row>
    <row r="3320" spans="1:8" ht="12.75" customHeight="1">
      <c r="B3320" s="458"/>
      <c r="C3320" s="458"/>
      <c r="F3320" s="459"/>
      <c r="G3320" s="460"/>
      <c r="H3320" s="460"/>
    </row>
    <row r="3321" spans="1:8" ht="12.75" customHeight="1">
      <c r="B3321" s="458"/>
      <c r="C3321" s="458"/>
      <c r="F3321" s="509"/>
      <c r="G3321" s="460"/>
      <c r="H3321" s="460"/>
    </row>
    <row r="3322" spans="1:8" s="485" customFormat="1" ht="71.25" customHeight="1">
      <c r="A3322" s="748">
        <v>25.08</v>
      </c>
      <c r="B3322" s="749">
        <v>8</v>
      </c>
      <c r="C3322" s="876" t="str">
        <f>'aluminium dw'!B16</f>
        <v>Providing and fixing 2 or 3 Panel Sliding Window with top fix glass of aluminium section in naturally anodized or Black anodized/powder coated color, Section size (87x56x1.50) fitted with 5 mm clear glass without fly mesh shutter.(window size 6'x5' or average area 30 sq. feet per window).</v>
      </c>
      <c r="D3322" s="877"/>
      <c r="E3322" s="878"/>
      <c r="F3322" s="750" t="s">
        <v>50</v>
      </c>
      <c r="G3322" s="751">
        <f>G3327</f>
        <v>7424.4</v>
      </c>
      <c r="H3322" s="751">
        <f>G3329</f>
        <v>8538.06</v>
      </c>
    </row>
    <row r="3323" spans="1:8" ht="12.75" customHeight="1">
      <c r="B3323" s="450" t="s">
        <v>80</v>
      </c>
      <c r="C3323" s="451" t="s">
        <v>81</v>
      </c>
      <c r="D3323" s="451" t="s">
        <v>44</v>
      </c>
      <c r="E3323" s="451" t="s">
        <v>45</v>
      </c>
      <c r="F3323" s="452" t="s">
        <v>58</v>
      </c>
      <c r="G3323" s="452" t="s">
        <v>59</v>
      </c>
      <c r="H3323" s="452" t="s">
        <v>52</v>
      </c>
    </row>
    <row r="3324" spans="1:8" ht="12.75" customHeight="1">
      <c r="B3324" s="887" t="s">
        <v>60</v>
      </c>
      <c r="C3324" s="484" t="s">
        <v>69</v>
      </c>
      <c r="D3324" s="456">
        <v>0</v>
      </c>
      <c r="E3324" s="451" t="s">
        <v>46</v>
      </c>
      <c r="F3324" s="457">
        <f>F3313</f>
        <v>1200</v>
      </c>
      <c r="G3324" s="457">
        <f>INT(D3324*F3324*100)/100</f>
        <v>0</v>
      </c>
      <c r="H3324" s="457"/>
    </row>
    <row r="3325" spans="1:8" ht="12.75" customHeight="1">
      <c r="B3325" s="887"/>
      <c r="C3325" s="484" t="s">
        <v>43</v>
      </c>
      <c r="D3325" s="456">
        <v>0</v>
      </c>
      <c r="E3325" s="451" t="s">
        <v>46</v>
      </c>
      <c r="F3325" s="457">
        <f>F3314</f>
        <v>870</v>
      </c>
      <c r="G3325" s="457">
        <f>INT(D3325*F3325*100)/100</f>
        <v>0</v>
      </c>
      <c r="H3325" s="457"/>
    </row>
    <row r="3326" spans="1:8" ht="105.6">
      <c r="B3326" s="450" t="s">
        <v>63</v>
      </c>
      <c r="C3326" s="562" t="str">
        <f>C3322</f>
        <v>Providing and fixing 2 or 3 Panel Sliding Window with top fix glass of aluminium section in naturally anodized or Black anodized/powder coated color, Section size (87x56x1.50) fitted with 5 mm clear glass without fly mesh shutter.(window size 6'x5' or average area 30 sq. feet per window).</v>
      </c>
      <c r="D3326" s="536">
        <v>1</v>
      </c>
      <c r="E3326" s="536" t="s">
        <v>50</v>
      </c>
      <c r="F3326" s="655">
        <f>'aluminium dw'!F16</f>
        <v>7424.4</v>
      </c>
      <c r="G3326" s="655">
        <f>INT(D3326*F3326*100)/100</f>
        <v>7424.4</v>
      </c>
      <c r="H3326" s="517" t="str">
        <f>'aluminium dw'!G16</f>
        <v>ktm pg-33(4) 90 series window</v>
      </c>
    </row>
    <row r="3327" spans="1:8" ht="12.75" customHeight="1">
      <c r="B3327" s="855" t="s">
        <v>124</v>
      </c>
      <c r="C3327" s="855"/>
      <c r="D3327" s="856" t="s">
        <v>61</v>
      </c>
      <c r="E3327" s="856"/>
      <c r="F3327" s="856"/>
      <c r="G3327" s="457">
        <f>SUM(G3324:G3326)</f>
        <v>7424.4</v>
      </c>
      <c r="H3327" s="457"/>
    </row>
    <row r="3328" spans="1:8" ht="12.75" customHeight="1">
      <c r="B3328" s="855"/>
      <c r="C3328" s="855"/>
      <c r="D3328" s="857" t="s">
        <v>573</v>
      </c>
      <c r="E3328" s="857"/>
      <c r="F3328" s="857"/>
      <c r="G3328" s="457">
        <f>INT(G3327*15%*100)/100</f>
        <v>1113.6600000000001</v>
      </c>
      <c r="H3328" s="457"/>
    </row>
    <row r="3329" spans="1:8" ht="12.75" customHeight="1">
      <c r="B3329" s="855"/>
      <c r="C3329" s="855"/>
      <c r="D3329" s="856" t="s">
        <v>47</v>
      </c>
      <c r="E3329" s="856"/>
      <c r="F3329" s="856"/>
      <c r="G3329" s="457">
        <f>SUM(G3327:G3328)</f>
        <v>8538.06</v>
      </c>
      <c r="H3329" s="457"/>
    </row>
    <row r="3330" spans="1:8" ht="12.75" customHeight="1">
      <c r="B3330" s="458"/>
      <c r="C3330" s="458"/>
      <c r="F3330" s="459"/>
      <c r="G3330" s="460"/>
      <c r="H3330" s="460"/>
    </row>
    <row r="3331" spans="1:8" ht="12.75" customHeight="1">
      <c r="B3331" s="458"/>
      <c r="C3331" s="458"/>
      <c r="F3331" s="509"/>
      <c r="G3331" s="460"/>
      <c r="H3331" s="460"/>
    </row>
    <row r="3332" spans="1:8" ht="68.400000000000006" customHeight="1">
      <c r="A3332" s="603">
        <v>25.09</v>
      </c>
      <c r="B3332" s="446">
        <v>9</v>
      </c>
      <c r="C3332" s="888" t="str">
        <f>'aluminium dw'!B17</f>
        <v>Providing and fixing Fixed Window of aluminium section in naturally anodized or Black anodized/powder coated color, Section size (87x25+12x1.20) fitted with 5 mm clear glass without fly mesh shutter.(Average area 5 sq. feet per Panel).</v>
      </c>
      <c r="D3332" s="889"/>
      <c r="E3332" s="890"/>
      <c r="F3332" s="447" t="s">
        <v>50</v>
      </c>
      <c r="G3332" s="448">
        <f>G3337</f>
        <v>4906.5600000000004</v>
      </c>
      <c r="H3332" s="448">
        <f>G3339</f>
        <v>5642.5400000000009</v>
      </c>
    </row>
    <row r="3333" spans="1:8" ht="12.75" customHeight="1">
      <c r="B3333" s="450" t="s">
        <v>80</v>
      </c>
      <c r="C3333" s="451" t="s">
        <v>81</v>
      </c>
      <c r="D3333" s="451" t="s">
        <v>44</v>
      </c>
      <c r="E3333" s="451" t="s">
        <v>45</v>
      </c>
      <c r="F3333" s="452" t="s">
        <v>58</v>
      </c>
      <c r="G3333" s="452" t="s">
        <v>59</v>
      </c>
      <c r="H3333" s="452" t="s">
        <v>52</v>
      </c>
    </row>
    <row r="3334" spans="1:8" ht="12.75" customHeight="1">
      <c r="B3334" s="887" t="s">
        <v>60</v>
      </c>
      <c r="C3334" s="484" t="s">
        <v>69</v>
      </c>
      <c r="D3334" s="456">
        <v>0</v>
      </c>
      <c r="E3334" s="451" t="s">
        <v>46</v>
      </c>
      <c r="F3334" s="457">
        <f>F3324</f>
        <v>1200</v>
      </c>
      <c r="G3334" s="457">
        <f>INT(D3334*F3334*100)/100</f>
        <v>0</v>
      </c>
      <c r="H3334" s="457"/>
    </row>
    <row r="3335" spans="1:8" ht="12.75" customHeight="1">
      <c r="B3335" s="887"/>
      <c r="C3335" s="484" t="s">
        <v>43</v>
      </c>
      <c r="D3335" s="456">
        <v>0</v>
      </c>
      <c r="E3335" s="451" t="s">
        <v>46</v>
      </c>
      <c r="F3335" s="457">
        <f>F3325</f>
        <v>870</v>
      </c>
      <c r="G3335" s="457">
        <f>INT(D3335*F3335*100)/100</f>
        <v>0</v>
      </c>
      <c r="H3335" s="457"/>
    </row>
    <row r="3336" spans="1:8" ht="92.4">
      <c r="B3336" s="450" t="s">
        <v>63</v>
      </c>
      <c r="C3336" s="562" t="str">
        <f>C3332</f>
        <v>Providing and fixing Fixed Window of aluminium section in naturally anodized or Black anodized/powder coated color, Section size (87x25+12x1.20) fitted with 5 mm clear glass without fly mesh shutter.(Average area 5 sq. feet per Panel).</v>
      </c>
      <c r="D3336" s="536">
        <v>1</v>
      </c>
      <c r="E3336" s="536" t="s">
        <v>50</v>
      </c>
      <c r="F3336" s="655">
        <f>'aluminium dw'!F17</f>
        <v>4906.5599999999995</v>
      </c>
      <c r="G3336" s="655">
        <f>INT(D3336*F3336*100)/100</f>
        <v>4906.5600000000004</v>
      </c>
      <c r="H3336" s="517" t="str">
        <f>'aluminium dw'!G17</f>
        <v>ktm pg-33(5) 90 series window</v>
      </c>
    </row>
    <row r="3337" spans="1:8" ht="12.75" customHeight="1">
      <c r="B3337" s="855" t="s">
        <v>124</v>
      </c>
      <c r="C3337" s="855"/>
      <c r="D3337" s="856" t="s">
        <v>61</v>
      </c>
      <c r="E3337" s="856"/>
      <c r="F3337" s="856"/>
      <c r="G3337" s="457">
        <f>SUM(G3334:G3336)</f>
        <v>4906.5600000000004</v>
      </c>
      <c r="H3337" s="457"/>
    </row>
    <row r="3338" spans="1:8" ht="12.75" customHeight="1">
      <c r="B3338" s="855"/>
      <c r="C3338" s="855"/>
      <c r="D3338" s="857" t="s">
        <v>573</v>
      </c>
      <c r="E3338" s="857"/>
      <c r="F3338" s="857"/>
      <c r="G3338" s="457">
        <f>INT(G3337*15%*100)/100</f>
        <v>735.98</v>
      </c>
      <c r="H3338" s="457"/>
    </row>
    <row r="3339" spans="1:8" ht="12.75" customHeight="1">
      <c r="B3339" s="855"/>
      <c r="C3339" s="855"/>
      <c r="D3339" s="856" t="s">
        <v>47</v>
      </c>
      <c r="E3339" s="856"/>
      <c r="F3339" s="856"/>
      <c r="G3339" s="457">
        <f>SUM(G3337:G3338)</f>
        <v>5642.5400000000009</v>
      </c>
      <c r="H3339" s="457"/>
    </row>
    <row r="3340" spans="1:8" ht="68.25" customHeight="1">
      <c r="A3340" s="603">
        <v>25.1</v>
      </c>
      <c r="B3340" s="446">
        <v>10</v>
      </c>
      <c r="C3340" s="888" t="str">
        <f>'aluminium dw'!B18</f>
        <v>Providing and fixing Fixed Window of aluminium section in naturally anodized or Black anodized/powder coated color, Section size (87x25+12x1.50) fitted with 5 mm clear glass with out fly mesh shutter.(Average area 5 sq. feet per Panel).</v>
      </c>
      <c r="D3340" s="889"/>
      <c r="E3340" s="890"/>
      <c r="F3340" s="447" t="s">
        <v>50</v>
      </c>
      <c r="G3340" s="448">
        <f>G3345</f>
        <v>5638.24</v>
      </c>
      <c r="H3340" s="448">
        <f>G3347</f>
        <v>6483.9699999999993</v>
      </c>
    </row>
    <row r="3341" spans="1:8" ht="12.75" customHeight="1">
      <c r="B3341" s="450" t="s">
        <v>80</v>
      </c>
      <c r="C3341" s="451" t="s">
        <v>81</v>
      </c>
      <c r="D3341" s="451" t="s">
        <v>44</v>
      </c>
      <c r="E3341" s="451" t="s">
        <v>45</v>
      </c>
      <c r="F3341" s="452" t="s">
        <v>58</v>
      </c>
      <c r="G3341" s="452" t="s">
        <v>59</v>
      </c>
      <c r="H3341" s="452" t="s">
        <v>52</v>
      </c>
    </row>
    <row r="3342" spans="1:8" ht="12.75" customHeight="1">
      <c r="B3342" s="887" t="s">
        <v>60</v>
      </c>
      <c r="C3342" s="484" t="s">
        <v>69</v>
      </c>
      <c r="D3342" s="456">
        <v>0</v>
      </c>
      <c r="E3342" s="451" t="s">
        <v>46</v>
      </c>
      <c r="F3342" s="457">
        <f>F3334</f>
        <v>1200</v>
      </c>
      <c r="G3342" s="457">
        <f>INT(D3342*F3342*100)/100</f>
        <v>0</v>
      </c>
      <c r="H3342" s="457"/>
    </row>
    <row r="3343" spans="1:8" ht="12.75" customHeight="1">
      <c r="B3343" s="887"/>
      <c r="C3343" s="484" t="s">
        <v>43</v>
      </c>
      <c r="D3343" s="456">
        <v>0</v>
      </c>
      <c r="E3343" s="451" t="s">
        <v>46</v>
      </c>
      <c r="F3343" s="457">
        <f>F3335</f>
        <v>870</v>
      </c>
      <c r="G3343" s="457">
        <f>INT(D3343*F3343*100)/100</f>
        <v>0</v>
      </c>
      <c r="H3343" s="457"/>
    </row>
    <row r="3344" spans="1:8" ht="92.4">
      <c r="B3344" s="450" t="s">
        <v>63</v>
      </c>
      <c r="C3344" s="562" t="str">
        <f>C3340</f>
        <v>Providing and fixing Fixed Window of aluminium section in naturally anodized or Black anodized/powder coated color, Section size (87x25+12x1.50) fitted with 5 mm clear glass with out fly mesh shutter.(Average area 5 sq. feet per Panel).</v>
      </c>
      <c r="D3344" s="536">
        <v>1</v>
      </c>
      <c r="E3344" s="536" t="s">
        <v>50</v>
      </c>
      <c r="F3344" s="655">
        <f>'aluminium dw'!F18</f>
        <v>5638.24</v>
      </c>
      <c r="G3344" s="655">
        <f>INT(D3344*F3344*100)/100</f>
        <v>5638.24</v>
      </c>
      <c r="H3344" s="517" t="str">
        <f>'aluminium dw'!G18</f>
        <v>ktm pg-33(6) 90 series window</v>
      </c>
    </row>
    <row r="3345" spans="1:8" ht="12.75" customHeight="1">
      <c r="B3345" s="855" t="s">
        <v>124</v>
      </c>
      <c r="C3345" s="855"/>
      <c r="D3345" s="856" t="s">
        <v>61</v>
      </c>
      <c r="E3345" s="856"/>
      <c r="F3345" s="856"/>
      <c r="G3345" s="457">
        <f>SUM(G3342:G3344)</f>
        <v>5638.24</v>
      </c>
      <c r="H3345" s="457"/>
    </row>
    <row r="3346" spans="1:8" ht="12.75" customHeight="1">
      <c r="B3346" s="855"/>
      <c r="C3346" s="855"/>
      <c r="D3346" s="857" t="s">
        <v>573</v>
      </c>
      <c r="E3346" s="857"/>
      <c r="F3346" s="857"/>
      <c r="G3346" s="457">
        <f>INT(G3345*15%*100)/100</f>
        <v>845.73</v>
      </c>
      <c r="H3346" s="457"/>
    </row>
    <row r="3347" spans="1:8" ht="12.75" customHeight="1">
      <c r="B3347" s="855"/>
      <c r="C3347" s="855"/>
      <c r="D3347" s="856" t="s">
        <v>47</v>
      </c>
      <c r="E3347" s="856"/>
      <c r="F3347" s="856"/>
      <c r="G3347" s="457">
        <f>SUM(G3345:G3346)</f>
        <v>6483.9699999999993</v>
      </c>
      <c r="H3347" s="457"/>
    </row>
    <row r="3348" spans="1:8" ht="12.75" customHeight="1">
      <c r="B3348" s="458"/>
      <c r="C3348" s="458"/>
      <c r="F3348" s="509"/>
      <c r="G3348" s="460"/>
      <c r="H3348" s="460"/>
    </row>
    <row r="3349" spans="1:8" ht="41.25" customHeight="1">
      <c r="A3349" s="603">
        <v>25.11</v>
      </c>
      <c r="B3349" s="446">
        <v>11</v>
      </c>
      <c r="C3349" s="888" t="str">
        <f>'aluminium dw'!B19</f>
        <v>Providing and fixing Fly Mesh Shutter with stainless steel fly mesh in 90 series for sliding window.(Section thickness 1 mm)</v>
      </c>
      <c r="D3349" s="889"/>
      <c r="E3349" s="890"/>
      <c r="F3349" s="447" t="s">
        <v>50</v>
      </c>
      <c r="G3349" s="448">
        <f>G3354</f>
        <v>2152</v>
      </c>
      <c r="H3349" s="448">
        <f>G3356</f>
        <v>2474.8000000000002</v>
      </c>
    </row>
    <row r="3350" spans="1:8" ht="12.75" customHeight="1">
      <c r="B3350" s="450" t="s">
        <v>80</v>
      </c>
      <c r="C3350" s="451" t="s">
        <v>81</v>
      </c>
      <c r="D3350" s="451" t="s">
        <v>44</v>
      </c>
      <c r="E3350" s="451" t="s">
        <v>45</v>
      </c>
      <c r="F3350" s="452" t="s">
        <v>58</v>
      </c>
      <c r="G3350" s="452" t="s">
        <v>59</v>
      </c>
      <c r="H3350" s="452" t="s">
        <v>52</v>
      </c>
    </row>
    <row r="3351" spans="1:8" ht="12.75" customHeight="1">
      <c r="B3351" s="887" t="s">
        <v>60</v>
      </c>
      <c r="C3351" s="484" t="s">
        <v>69</v>
      </c>
      <c r="D3351" s="456">
        <v>0</v>
      </c>
      <c r="E3351" s="451" t="s">
        <v>46</v>
      </c>
      <c r="F3351" s="457">
        <f>F3342</f>
        <v>1200</v>
      </c>
      <c r="G3351" s="457">
        <f>INT(D3351*F3351*100)/100</f>
        <v>0</v>
      </c>
      <c r="H3351" s="457"/>
    </row>
    <row r="3352" spans="1:8" ht="12.75" customHeight="1">
      <c r="B3352" s="887"/>
      <c r="C3352" s="484" t="s">
        <v>43</v>
      </c>
      <c r="D3352" s="456">
        <v>0</v>
      </c>
      <c r="E3352" s="451" t="s">
        <v>46</v>
      </c>
      <c r="F3352" s="457">
        <f>F3343</f>
        <v>870</v>
      </c>
      <c r="G3352" s="457">
        <f>INT(D3352*F3352*100)/100</f>
        <v>0</v>
      </c>
      <c r="H3352" s="457"/>
    </row>
    <row r="3353" spans="1:8" ht="52.8">
      <c r="B3353" s="450" t="s">
        <v>63</v>
      </c>
      <c r="C3353" s="562" t="str">
        <f>C3349</f>
        <v>Providing and fixing Fly Mesh Shutter with stainless steel fly mesh in 90 series for sliding window.(Section thickness 1 mm)</v>
      </c>
      <c r="D3353" s="536">
        <v>1</v>
      </c>
      <c r="E3353" s="536" t="s">
        <v>50</v>
      </c>
      <c r="F3353" s="655">
        <f>'aluminium dw'!F19</f>
        <v>2152</v>
      </c>
      <c r="G3353" s="655">
        <f>INT(D3353*F3353*100)/100</f>
        <v>2152</v>
      </c>
      <c r="H3353" s="517" t="str">
        <f>'aluminium dw'!G19</f>
        <v>ktm pg-33(7) 90 series window</v>
      </c>
    </row>
    <row r="3354" spans="1:8" ht="12.75" customHeight="1">
      <c r="B3354" s="855" t="s">
        <v>124</v>
      </c>
      <c r="C3354" s="855"/>
      <c r="D3354" s="856" t="s">
        <v>61</v>
      </c>
      <c r="E3354" s="856"/>
      <c r="F3354" s="856"/>
      <c r="G3354" s="457">
        <f>SUM(G3351:G3353)</f>
        <v>2152</v>
      </c>
      <c r="H3354" s="457"/>
    </row>
    <row r="3355" spans="1:8" ht="12.75" customHeight="1">
      <c r="B3355" s="855"/>
      <c r="C3355" s="855"/>
      <c r="D3355" s="857" t="s">
        <v>573</v>
      </c>
      <c r="E3355" s="857"/>
      <c r="F3355" s="857"/>
      <c r="G3355" s="457">
        <f>INT(G3354*15%*100)/100</f>
        <v>322.8</v>
      </c>
      <c r="H3355" s="457"/>
    </row>
    <row r="3356" spans="1:8" ht="12.75" customHeight="1">
      <c r="B3356" s="855"/>
      <c r="C3356" s="855"/>
      <c r="D3356" s="856" t="s">
        <v>47</v>
      </c>
      <c r="E3356" s="856"/>
      <c r="F3356" s="856"/>
      <c r="G3356" s="457">
        <f>SUM(G3354:G3355)</f>
        <v>2474.8000000000002</v>
      </c>
      <c r="H3356" s="457"/>
    </row>
    <row r="3357" spans="1:8" ht="12.75" customHeight="1">
      <c r="B3357" s="458"/>
      <c r="C3357" s="458"/>
      <c r="F3357" s="509"/>
      <c r="G3357" s="460"/>
      <c r="H3357" s="460"/>
    </row>
    <row r="3358" spans="1:8" ht="66.599999999999994" customHeight="1">
      <c r="A3358" s="603">
        <v>25.12</v>
      </c>
      <c r="B3358" s="446">
        <v>12</v>
      </c>
      <c r="C3358" s="888" t="str">
        <f>'aluminium dw'!B20</f>
        <v>Providing and fixing Full Height Partition of aluminium section in naturally anodized or black anodized/powder coated color section size (102x45x1.5) fitted with 5 mm clear glass or 9 mm both side laminated board.(average panel area 8.00 Sq.ft)</v>
      </c>
      <c r="D3358" s="889"/>
      <c r="E3358" s="890"/>
      <c r="F3358" s="447" t="s">
        <v>455</v>
      </c>
      <c r="G3358" s="448">
        <f>G3363</f>
        <v>5950.28</v>
      </c>
      <c r="H3358" s="448">
        <f>G3365</f>
        <v>6842.82</v>
      </c>
    </row>
    <row r="3359" spans="1:8" ht="12.75" customHeight="1">
      <c r="B3359" s="450" t="s">
        <v>80</v>
      </c>
      <c r="C3359" s="451" t="s">
        <v>81</v>
      </c>
      <c r="D3359" s="451" t="s">
        <v>44</v>
      </c>
      <c r="E3359" s="451" t="s">
        <v>45</v>
      </c>
      <c r="F3359" s="452" t="s">
        <v>58</v>
      </c>
      <c r="G3359" s="452" t="s">
        <v>59</v>
      </c>
      <c r="H3359" s="452" t="s">
        <v>52</v>
      </c>
    </row>
    <row r="3360" spans="1:8" ht="12.75" customHeight="1">
      <c r="B3360" s="887" t="s">
        <v>60</v>
      </c>
      <c r="C3360" s="484" t="s">
        <v>69</v>
      </c>
      <c r="D3360" s="456">
        <v>0</v>
      </c>
      <c r="E3360" s="451" t="s">
        <v>46</v>
      </c>
      <c r="F3360" s="457">
        <f>F3351</f>
        <v>1200</v>
      </c>
      <c r="G3360" s="457">
        <f>INT(D3360*F3360*100)/100</f>
        <v>0</v>
      </c>
      <c r="H3360" s="457"/>
    </row>
    <row r="3361" spans="1:8" ht="12.75" customHeight="1">
      <c r="B3361" s="887"/>
      <c r="C3361" s="484" t="s">
        <v>43</v>
      </c>
      <c r="D3361" s="456">
        <v>0</v>
      </c>
      <c r="E3361" s="451" t="s">
        <v>46</v>
      </c>
      <c r="F3361" s="457">
        <f>F3352</f>
        <v>870</v>
      </c>
      <c r="G3361" s="457">
        <f>INT(D3361*F3361*100)/100</f>
        <v>0</v>
      </c>
      <c r="H3361" s="457"/>
    </row>
    <row r="3362" spans="1:8" ht="92.4">
      <c r="B3362" s="450" t="s">
        <v>63</v>
      </c>
      <c r="C3362" s="562" t="str">
        <f>C3358</f>
        <v>Providing and fixing Full Height Partition of aluminium section in naturally anodized or black anodized/powder coated color section size (102x45x1.5) fitted with 5 mm clear glass or 9 mm both side laminated board.(average panel area 8.00 Sq.ft)</v>
      </c>
      <c r="D3362" s="536">
        <v>1</v>
      </c>
      <c r="E3362" s="536" t="s">
        <v>50</v>
      </c>
      <c r="F3362" s="655">
        <f>'aluminium dw'!F20</f>
        <v>5950.28</v>
      </c>
      <c r="G3362" s="655">
        <f>INT(D3362*F3362*100)/100</f>
        <v>5950.28</v>
      </c>
      <c r="H3362" s="517" t="str">
        <f>'aluminium dw'!G20</f>
        <v>ktm pg-33(1) 102 series partition</v>
      </c>
    </row>
    <row r="3363" spans="1:8" ht="12.75" customHeight="1">
      <c r="B3363" s="855" t="s">
        <v>124</v>
      </c>
      <c r="C3363" s="855"/>
      <c r="D3363" s="856" t="s">
        <v>61</v>
      </c>
      <c r="E3363" s="856"/>
      <c r="F3363" s="856"/>
      <c r="G3363" s="457">
        <f>SUM(G3360:G3362)</f>
        <v>5950.28</v>
      </c>
      <c r="H3363" s="457"/>
    </row>
    <row r="3364" spans="1:8" ht="12.75" customHeight="1">
      <c r="B3364" s="855"/>
      <c r="C3364" s="855"/>
      <c r="D3364" s="857" t="s">
        <v>573</v>
      </c>
      <c r="E3364" s="857"/>
      <c r="F3364" s="857"/>
      <c r="G3364" s="457">
        <f>INT(G3363*15%*100)/100</f>
        <v>892.54</v>
      </c>
      <c r="H3364" s="457"/>
    </row>
    <row r="3365" spans="1:8" ht="12.75" customHeight="1">
      <c r="B3365" s="855"/>
      <c r="C3365" s="855"/>
      <c r="D3365" s="856" t="s">
        <v>47</v>
      </c>
      <c r="E3365" s="856"/>
      <c r="F3365" s="856"/>
      <c r="G3365" s="457">
        <f>SUM(G3363:G3364)</f>
        <v>6842.82</v>
      </c>
      <c r="H3365" s="457"/>
    </row>
    <row r="3367" spans="1:8" ht="66.599999999999994" customHeight="1">
      <c r="A3367" s="603">
        <v>25.13</v>
      </c>
      <c r="B3367" s="446">
        <v>13</v>
      </c>
      <c r="C3367" s="888" t="str">
        <f>'aluminium dw'!B21</f>
        <v>Providing and fixing Half Height Partition of aluminium section in naturally anodized or black anodized/powder coated color section size (102x45x1.5) fitted with 5 mm clear glass or 9 mm both side laminated board.(average panel area 6.00 Sq.ft)</v>
      </c>
      <c r="D3367" s="889"/>
      <c r="E3367" s="890"/>
      <c r="F3367" s="447" t="s">
        <v>50</v>
      </c>
      <c r="G3367" s="448">
        <f>G3372</f>
        <v>6456</v>
      </c>
      <c r="H3367" s="448">
        <f>G3374</f>
        <v>7424.4</v>
      </c>
    </row>
    <row r="3368" spans="1:8" ht="12.75" customHeight="1">
      <c r="B3368" s="450" t="s">
        <v>80</v>
      </c>
      <c r="C3368" s="451" t="s">
        <v>81</v>
      </c>
      <c r="D3368" s="451" t="s">
        <v>44</v>
      </c>
      <c r="E3368" s="451" t="s">
        <v>45</v>
      </c>
      <c r="F3368" s="452" t="s">
        <v>58</v>
      </c>
      <c r="G3368" s="452" t="s">
        <v>59</v>
      </c>
      <c r="H3368" s="452" t="s">
        <v>52</v>
      </c>
    </row>
    <row r="3369" spans="1:8" ht="12.75" customHeight="1">
      <c r="B3369" s="887" t="s">
        <v>60</v>
      </c>
      <c r="C3369" s="484" t="s">
        <v>69</v>
      </c>
      <c r="D3369" s="456">
        <v>0</v>
      </c>
      <c r="E3369" s="451" t="s">
        <v>46</v>
      </c>
      <c r="F3369" s="457">
        <f>F3360</f>
        <v>1200</v>
      </c>
      <c r="G3369" s="457">
        <f>INT(D3369*F3369*100)/100</f>
        <v>0</v>
      </c>
      <c r="H3369" s="457"/>
    </row>
    <row r="3370" spans="1:8" ht="12.75" customHeight="1">
      <c r="B3370" s="887"/>
      <c r="C3370" s="484" t="s">
        <v>43</v>
      </c>
      <c r="D3370" s="456">
        <v>0</v>
      </c>
      <c r="E3370" s="451" t="s">
        <v>46</v>
      </c>
      <c r="F3370" s="457">
        <f>F3361</f>
        <v>870</v>
      </c>
      <c r="G3370" s="457">
        <f>INT(D3370*F3370*100)/100</f>
        <v>0</v>
      </c>
      <c r="H3370" s="457"/>
    </row>
    <row r="3371" spans="1:8" ht="92.4">
      <c r="B3371" s="450" t="s">
        <v>63</v>
      </c>
      <c r="C3371" s="562" t="str">
        <f>C3367</f>
        <v>Providing and fixing Half Height Partition of aluminium section in naturally anodized or black anodized/powder coated color section size (102x45x1.5) fitted with 5 mm clear glass or 9 mm both side laminated board.(average panel area 6.00 Sq.ft)</v>
      </c>
      <c r="D3371" s="536">
        <v>1</v>
      </c>
      <c r="E3371" s="536" t="s">
        <v>50</v>
      </c>
      <c r="F3371" s="655">
        <f>'aluminium dw'!F21</f>
        <v>6456</v>
      </c>
      <c r="G3371" s="655">
        <f>INT(D3371*F3371*100)/100</f>
        <v>6456</v>
      </c>
      <c r="H3371" s="517" t="str">
        <f>'aluminium dw'!G21</f>
        <v>ktm pg-33(2) 102 series partition</v>
      </c>
    </row>
    <row r="3372" spans="1:8" ht="12.75" customHeight="1">
      <c r="B3372" s="855" t="s">
        <v>124</v>
      </c>
      <c r="C3372" s="855"/>
      <c r="D3372" s="856" t="s">
        <v>61</v>
      </c>
      <c r="E3372" s="856"/>
      <c r="F3372" s="856"/>
      <c r="G3372" s="457">
        <f>SUM(G3369:G3371)</f>
        <v>6456</v>
      </c>
      <c r="H3372" s="457"/>
    </row>
    <row r="3373" spans="1:8" ht="12.75" customHeight="1">
      <c r="B3373" s="855"/>
      <c r="C3373" s="855"/>
      <c r="D3373" s="857" t="s">
        <v>573</v>
      </c>
      <c r="E3373" s="857"/>
      <c r="F3373" s="857"/>
      <c r="G3373" s="457">
        <f>INT(G3372*15%*100)/100</f>
        <v>968.4</v>
      </c>
      <c r="H3373" s="457"/>
    </row>
    <row r="3374" spans="1:8" ht="12.75" customHeight="1">
      <c r="B3374" s="855"/>
      <c r="C3374" s="855"/>
      <c r="D3374" s="856" t="s">
        <v>47</v>
      </c>
      <c r="E3374" s="856"/>
      <c r="F3374" s="856"/>
      <c r="G3374" s="457">
        <f>SUM(G3372:G3373)</f>
        <v>7424.4</v>
      </c>
      <c r="H3374" s="457"/>
    </row>
    <row r="3375" spans="1:8" ht="68.25" customHeight="1">
      <c r="A3375" s="603">
        <v>25.14</v>
      </c>
      <c r="B3375" s="446">
        <v>14</v>
      </c>
      <c r="C3375" s="888" t="str">
        <f>'aluminium dw'!B22</f>
        <v>Providing and fixing Full Height Partition of aluminium section in naturally anodized or black anodized/powder coated color section size (64x38x1.10mm) fitted with 5 mm clear glass or 9 mm both side laminated board.(average panel area 8.00 Sq.ft)</v>
      </c>
      <c r="D3375" s="889"/>
      <c r="E3375" s="890"/>
      <c r="F3375" s="447" t="s">
        <v>50</v>
      </c>
      <c r="G3375" s="448">
        <f>G3380</f>
        <v>4465.3999999999996</v>
      </c>
      <c r="H3375" s="448">
        <f>G3382</f>
        <v>5135.2099999999991</v>
      </c>
    </row>
    <row r="3376" spans="1:8" ht="12.75" customHeight="1">
      <c r="B3376" s="450" t="s">
        <v>80</v>
      </c>
      <c r="C3376" s="451" t="s">
        <v>81</v>
      </c>
      <c r="D3376" s="451" t="s">
        <v>44</v>
      </c>
      <c r="E3376" s="451" t="s">
        <v>45</v>
      </c>
      <c r="F3376" s="452" t="s">
        <v>58</v>
      </c>
      <c r="G3376" s="452" t="s">
        <v>59</v>
      </c>
      <c r="H3376" s="452" t="s">
        <v>52</v>
      </c>
    </row>
    <row r="3377" spans="1:8" ht="12.75" customHeight="1">
      <c r="B3377" s="887" t="s">
        <v>60</v>
      </c>
      <c r="C3377" s="484" t="s">
        <v>69</v>
      </c>
      <c r="D3377" s="456">
        <v>0</v>
      </c>
      <c r="E3377" s="451" t="s">
        <v>46</v>
      </c>
      <c r="F3377" s="457">
        <f>F3369</f>
        <v>1200</v>
      </c>
      <c r="G3377" s="457">
        <f>INT(D3377*F3377*100)/100</f>
        <v>0</v>
      </c>
      <c r="H3377" s="457"/>
    </row>
    <row r="3378" spans="1:8" ht="12.75" customHeight="1">
      <c r="B3378" s="887"/>
      <c r="C3378" s="484" t="s">
        <v>43</v>
      </c>
      <c r="D3378" s="456">
        <v>0</v>
      </c>
      <c r="E3378" s="451" t="s">
        <v>46</v>
      </c>
      <c r="F3378" s="457">
        <f>F3370</f>
        <v>870</v>
      </c>
      <c r="G3378" s="457">
        <f>INT(D3378*F3378*100)/100</f>
        <v>0</v>
      </c>
      <c r="H3378" s="457"/>
    </row>
    <row r="3379" spans="1:8" ht="92.4">
      <c r="B3379" s="450" t="s">
        <v>63</v>
      </c>
      <c r="C3379" s="562" t="str">
        <f>C3375</f>
        <v>Providing and fixing Full Height Partition of aluminium section in naturally anodized or black anodized/powder coated color section size (64x38x1.10mm) fitted with 5 mm clear glass or 9 mm both side laminated board.(average panel area 8.00 Sq.ft)</v>
      </c>
      <c r="D3379" s="536">
        <v>1</v>
      </c>
      <c r="E3379" s="536" t="s">
        <v>50</v>
      </c>
      <c r="F3379" s="655">
        <f>'aluminium dw'!F22</f>
        <v>4465.3999999999996</v>
      </c>
      <c r="G3379" s="655">
        <f>INT(D3379*F3379*100)/100</f>
        <v>4465.3999999999996</v>
      </c>
      <c r="H3379" s="517" t="str">
        <f>'aluminium dw'!G22</f>
        <v>ktm pg-33(1) 64 series partition</v>
      </c>
    </row>
    <row r="3380" spans="1:8" ht="12.75" customHeight="1">
      <c r="B3380" s="855" t="s">
        <v>124</v>
      </c>
      <c r="C3380" s="855"/>
      <c r="D3380" s="856" t="s">
        <v>61</v>
      </c>
      <c r="E3380" s="856"/>
      <c r="F3380" s="856"/>
      <c r="G3380" s="457">
        <f>SUM(G3377:G3379)</f>
        <v>4465.3999999999996</v>
      </c>
      <c r="H3380" s="457"/>
    </row>
    <row r="3381" spans="1:8" ht="12.75" customHeight="1">
      <c r="B3381" s="855"/>
      <c r="C3381" s="855"/>
      <c r="D3381" s="857" t="s">
        <v>573</v>
      </c>
      <c r="E3381" s="857"/>
      <c r="F3381" s="857"/>
      <c r="G3381" s="457">
        <f>INT(G3380*15%*100)/100</f>
        <v>669.81</v>
      </c>
      <c r="H3381" s="457"/>
    </row>
    <row r="3382" spans="1:8" ht="12.75" customHeight="1">
      <c r="B3382" s="855"/>
      <c r="C3382" s="855"/>
      <c r="D3382" s="885" t="s">
        <v>47</v>
      </c>
      <c r="E3382" s="885"/>
      <c r="F3382" s="885"/>
      <c r="G3382" s="475">
        <f>SUM(G3380:G3381)</f>
        <v>5135.2099999999991</v>
      </c>
      <c r="H3382" s="475"/>
    </row>
    <row r="3383" spans="1:8" ht="12.75" customHeight="1">
      <c r="B3383" s="458"/>
      <c r="C3383" s="458"/>
      <c r="F3383" s="459"/>
      <c r="G3383" s="460"/>
      <c r="H3383" s="460"/>
    </row>
    <row r="3384" spans="1:8" ht="66" customHeight="1">
      <c r="A3384" s="603">
        <v>25.15</v>
      </c>
      <c r="B3384" s="446">
        <v>15</v>
      </c>
      <c r="C3384" s="886" t="str">
        <f>'aluminium dw'!B23</f>
        <v>Providing and fixing Half Height Partition of aluminium section in naturally anodized or black anodized/powder coated color section size (64x38x1.10mm) fitted with 5 mm clear glass or 9 mm both side laminated board.(average panel area 6.00 Sq.ft)</v>
      </c>
      <c r="D3384" s="886"/>
      <c r="E3384" s="886"/>
      <c r="F3384" s="447" t="s">
        <v>50</v>
      </c>
      <c r="G3384" s="448">
        <f>G3389</f>
        <v>5476.84</v>
      </c>
      <c r="H3384" s="448">
        <f>G3391</f>
        <v>6298.3600000000006</v>
      </c>
    </row>
    <row r="3385" spans="1:8" ht="12.75" customHeight="1">
      <c r="B3385" s="450" t="s">
        <v>80</v>
      </c>
      <c r="C3385" s="451" t="s">
        <v>81</v>
      </c>
      <c r="D3385" s="451" t="s">
        <v>44</v>
      </c>
      <c r="E3385" s="451" t="s">
        <v>45</v>
      </c>
      <c r="F3385" s="452" t="s">
        <v>58</v>
      </c>
      <c r="G3385" s="452" t="s">
        <v>59</v>
      </c>
      <c r="H3385" s="452" t="s">
        <v>52</v>
      </c>
    </row>
    <row r="3386" spans="1:8" ht="12.75" customHeight="1">
      <c r="B3386" s="887" t="s">
        <v>60</v>
      </c>
      <c r="C3386" s="484" t="s">
        <v>69</v>
      </c>
      <c r="D3386" s="456">
        <v>0</v>
      </c>
      <c r="E3386" s="451" t="s">
        <v>46</v>
      </c>
      <c r="F3386" s="457">
        <f>F3377</f>
        <v>1200</v>
      </c>
      <c r="G3386" s="457">
        <f>INT(D3386*F3386*100)/100</f>
        <v>0</v>
      </c>
      <c r="H3386" s="457"/>
    </row>
    <row r="3387" spans="1:8" ht="12.75" customHeight="1">
      <c r="B3387" s="887"/>
      <c r="C3387" s="484" t="s">
        <v>43</v>
      </c>
      <c r="D3387" s="456">
        <v>0</v>
      </c>
      <c r="E3387" s="451" t="s">
        <v>46</v>
      </c>
      <c r="F3387" s="457">
        <f>F3378</f>
        <v>870</v>
      </c>
      <c r="G3387" s="457">
        <f>INT(D3387*F3387*100)/100</f>
        <v>0</v>
      </c>
      <c r="H3387" s="457"/>
    </row>
    <row r="3388" spans="1:8" ht="92.4">
      <c r="B3388" s="450" t="s">
        <v>63</v>
      </c>
      <c r="C3388" s="562" t="str">
        <f>C3384</f>
        <v>Providing and fixing Half Height Partition of aluminium section in naturally anodized or black anodized/powder coated color section size (64x38x1.10mm) fitted with 5 mm clear glass or 9 mm both side laminated board.(average panel area 6.00 Sq.ft)</v>
      </c>
      <c r="D3388" s="536">
        <v>1</v>
      </c>
      <c r="E3388" s="536" t="s">
        <v>50</v>
      </c>
      <c r="F3388" s="655">
        <f>'aluminium dw'!F23</f>
        <v>5476.84</v>
      </c>
      <c r="G3388" s="655">
        <f>INT(D3388*F3388*100)/100</f>
        <v>5476.84</v>
      </c>
      <c r="H3388" s="517" t="str">
        <f>'aluminium dw'!G23</f>
        <v>ktm pg-33(2) 64 series partition</v>
      </c>
    </row>
    <row r="3389" spans="1:8" ht="12.75" customHeight="1">
      <c r="B3389" s="855" t="s">
        <v>124</v>
      </c>
      <c r="C3389" s="855"/>
      <c r="D3389" s="856" t="s">
        <v>61</v>
      </c>
      <c r="E3389" s="856"/>
      <c r="F3389" s="856"/>
      <c r="G3389" s="457">
        <f>SUM(G3386:G3388)</f>
        <v>5476.84</v>
      </c>
      <c r="H3389" s="457"/>
    </row>
    <row r="3390" spans="1:8" ht="12.75" customHeight="1">
      <c r="B3390" s="855"/>
      <c r="C3390" s="855"/>
      <c r="D3390" s="857" t="s">
        <v>573</v>
      </c>
      <c r="E3390" s="857"/>
      <c r="F3390" s="857"/>
      <c r="G3390" s="457">
        <f>INT(G3389*15%*100)/100</f>
        <v>821.52</v>
      </c>
      <c r="H3390" s="457"/>
    </row>
    <row r="3391" spans="1:8" ht="12.75" customHeight="1">
      <c r="B3391" s="855"/>
      <c r="C3391" s="855"/>
      <c r="D3391" s="856" t="s">
        <v>47</v>
      </c>
      <c r="E3391" s="856"/>
      <c r="F3391" s="856"/>
      <c r="G3391" s="457">
        <f>SUM(G3389:G3390)</f>
        <v>6298.3600000000006</v>
      </c>
      <c r="H3391" s="457"/>
    </row>
    <row r="3392" spans="1:8" ht="12.75" customHeight="1">
      <c r="B3392" s="458"/>
      <c r="C3392" s="458"/>
      <c r="F3392" s="459"/>
      <c r="G3392" s="460"/>
      <c r="H3392" s="460"/>
    </row>
    <row r="3393" spans="1:8" ht="41.25" customHeight="1">
      <c r="A3393" s="603">
        <v>25.16</v>
      </c>
      <c r="B3393" s="446">
        <v>16</v>
      </c>
      <c r="C3393" s="886" t="str">
        <f>'aluminium dw'!B24</f>
        <v>False ceiling by Gypsum, Gypsum board 12 mm With providing,finisging og joint with compound &amp; tape all complete</v>
      </c>
      <c r="D3393" s="886"/>
      <c r="E3393" s="886"/>
      <c r="F3393" s="447" t="s">
        <v>50</v>
      </c>
      <c r="G3393" s="448">
        <f>G3398</f>
        <v>1400</v>
      </c>
      <c r="H3393" s="448">
        <f>G3400</f>
        <v>1610</v>
      </c>
    </row>
    <row r="3394" spans="1:8" ht="12.75" customHeight="1">
      <c r="B3394" s="450" t="s">
        <v>80</v>
      </c>
      <c r="C3394" s="451" t="s">
        <v>81</v>
      </c>
      <c r="D3394" s="451" t="s">
        <v>44</v>
      </c>
      <c r="E3394" s="451" t="s">
        <v>45</v>
      </c>
      <c r="F3394" s="452" t="s">
        <v>58</v>
      </c>
      <c r="G3394" s="452" t="s">
        <v>59</v>
      </c>
      <c r="H3394" s="452" t="s">
        <v>52</v>
      </c>
    </row>
    <row r="3395" spans="1:8" ht="12.75" customHeight="1">
      <c r="B3395" s="887" t="s">
        <v>60</v>
      </c>
      <c r="C3395" s="484" t="s">
        <v>69</v>
      </c>
      <c r="D3395" s="456">
        <v>0</v>
      </c>
      <c r="E3395" s="451" t="s">
        <v>46</v>
      </c>
      <c r="F3395" s="457">
        <f>F3386</f>
        <v>1200</v>
      </c>
      <c r="G3395" s="457">
        <f>INT(D3395*F3395*100)/100</f>
        <v>0</v>
      </c>
      <c r="H3395" s="457"/>
    </row>
    <row r="3396" spans="1:8" ht="12.75" customHeight="1">
      <c r="B3396" s="887"/>
      <c r="C3396" s="484" t="s">
        <v>43</v>
      </c>
      <c r="D3396" s="456">
        <v>0</v>
      </c>
      <c r="E3396" s="451" t="s">
        <v>46</v>
      </c>
      <c r="F3396" s="457">
        <f>F3387</f>
        <v>870</v>
      </c>
      <c r="G3396" s="457">
        <f>INT(D3396*F3396*100)/100</f>
        <v>0</v>
      </c>
      <c r="H3396" s="457"/>
    </row>
    <row r="3397" spans="1:8" ht="57.75" customHeight="1">
      <c r="B3397" s="450" t="s">
        <v>63</v>
      </c>
      <c r="C3397" s="562" t="str">
        <f>C3393</f>
        <v>False ceiling by Gypsum, Gypsum board 12 mm With providing,finisging og joint with compound &amp; tape all complete</v>
      </c>
      <c r="D3397" s="536">
        <v>1</v>
      </c>
      <c r="E3397" s="536" t="s">
        <v>50</v>
      </c>
      <c r="F3397" s="655">
        <f>'aluminium dw'!F24</f>
        <v>1400</v>
      </c>
      <c r="G3397" s="655">
        <f>INT(D3397*F3397*100)/100</f>
        <v>1400</v>
      </c>
      <c r="H3397" s="517" t="str">
        <f>'aluminium dw'!G24</f>
        <v>10-412</v>
      </c>
    </row>
    <row r="3398" spans="1:8" ht="12.75" customHeight="1">
      <c r="B3398" s="855" t="s">
        <v>124</v>
      </c>
      <c r="C3398" s="855"/>
      <c r="D3398" s="856" t="s">
        <v>61</v>
      </c>
      <c r="E3398" s="856"/>
      <c r="F3398" s="856"/>
      <c r="G3398" s="457">
        <f>SUM(G3395:G3397)</f>
        <v>1400</v>
      </c>
      <c r="H3398" s="457"/>
    </row>
    <row r="3399" spans="1:8" ht="12.75" customHeight="1">
      <c r="B3399" s="855"/>
      <c r="C3399" s="855"/>
      <c r="D3399" s="857" t="s">
        <v>573</v>
      </c>
      <c r="E3399" s="857"/>
      <c r="F3399" s="857"/>
      <c r="G3399" s="457">
        <f>INT(G3398*15%*100)/100</f>
        <v>210</v>
      </c>
      <c r="H3399" s="457"/>
    </row>
    <row r="3400" spans="1:8" ht="12.75" customHeight="1">
      <c r="B3400" s="855"/>
      <c r="C3400" s="855"/>
      <c r="D3400" s="856" t="s">
        <v>47</v>
      </c>
      <c r="E3400" s="856"/>
      <c r="F3400" s="856"/>
      <c r="G3400" s="457">
        <f>SUM(G3398:G3399)</f>
        <v>1610</v>
      </c>
      <c r="H3400" s="457"/>
    </row>
    <row r="3401" spans="1:8" s="605" customFormat="1" ht="12" customHeight="1">
      <c r="A3401" s="603">
        <v>11.09</v>
      </c>
      <c r="B3401" s="604" t="s">
        <v>499</v>
      </c>
      <c r="C3401" s="876" t="s">
        <v>632</v>
      </c>
      <c r="D3401" s="877"/>
      <c r="E3401" s="878"/>
      <c r="F3401" s="610" t="s">
        <v>630</v>
      </c>
      <c r="G3401" s="610" t="s">
        <v>707</v>
      </c>
      <c r="H3401" s="610" t="s">
        <v>707</v>
      </c>
    </row>
    <row r="3402" spans="1:8">
      <c r="B3402" s="450" t="s">
        <v>80</v>
      </c>
      <c r="C3402" s="451" t="s">
        <v>81</v>
      </c>
      <c r="D3402" s="451" t="s">
        <v>44</v>
      </c>
      <c r="E3402" s="451" t="s">
        <v>45</v>
      </c>
      <c r="F3402" s="452" t="s">
        <v>58</v>
      </c>
      <c r="G3402" s="452" t="s">
        <v>59</v>
      </c>
      <c r="H3402" s="452" t="s">
        <v>52</v>
      </c>
    </row>
    <row r="3403" spans="1:8" ht="12" customHeight="1">
      <c r="B3403" s="864" t="s">
        <v>60</v>
      </c>
      <c r="C3403" s="484" t="s">
        <v>69</v>
      </c>
      <c r="D3403" s="488">
        <v>0.1</v>
      </c>
      <c r="E3403" s="451" t="s">
        <v>46</v>
      </c>
      <c r="F3403" s="457">
        <f>LOOKUP(C3403,'Basic Rate'!$B$8:$B$328,'Basic Rate'!$F$8:$F$328)</f>
        <v>1200</v>
      </c>
      <c r="G3403" s="457">
        <f>INT(D3403*F3403*100)/100</f>
        <v>120</v>
      </c>
      <c r="H3403" s="457"/>
    </row>
    <row r="3404" spans="1:8" ht="12" customHeight="1">
      <c r="B3404" s="865"/>
      <c r="C3404" s="484" t="s">
        <v>43</v>
      </c>
      <c r="D3404" s="488">
        <v>0</v>
      </c>
      <c r="E3404" s="451" t="s">
        <v>46</v>
      </c>
      <c r="F3404" s="457">
        <f>LOOKUP(C3404,'Basic Rate'!$B$8:$B$328,'Basic Rate'!$F$8:$F$328)</f>
        <v>870</v>
      </c>
      <c r="G3404" s="457">
        <f>INT(D3404*F3404*100)/100</f>
        <v>0</v>
      </c>
      <c r="H3404" s="457"/>
    </row>
    <row r="3405" spans="1:8" ht="12" customHeight="1">
      <c r="B3405" s="864" t="s">
        <v>63</v>
      </c>
      <c r="C3405" s="484" t="s">
        <v>632</v>
      </c>
      <c r="D3405" s="488">
        <v>1.1000000000000001</v>
      </c>
      <c r="E3405" s="451" t="s">
        <v>630</v>
      </c>
      <c r="F3405" s="457">
        <v>741.6</v>
      </c>
      <c r="G3405" s="457">
        <f>INT(D3405*F3405*100)/100</f>
        <v>815.76</v>
      </c>
      <c r="H3405" s="457" t="s">
        <v>633</v>
      </c>
    </row>
    <row r="3406" spans="1:8" ht="24" customHeight="1">
      <c r="B3406" s="865"/>
      <c r="C3406" s="585" t="s">
        <v>501</v>
      </c>
      <c r="D3406" s="488">
        <f>1*0.1</f>
        <v>0.1</v>
      </c>
      <c r="E3406" s="451" t="s">
        <v>628</v>
      </c>
      <c r="F3406" s="457">
        <f>'Basic Rate'!D110</f>
        <v>0</v>
      </c>
      <c r="G3406" s="457">
        <f>INT(D3406*F3406*100)/100</f>
        <v>0</v>
      </c>
      <c r="H3406" s="457"/>
    </row>
    <row r="3407" spans="1:8" ht="12" customHeight="1">
      <c r="B3407" s="879" t="s">
        <v>631</v>
      </c>
      <c r="C3407" s="880"/>
      <c r="D3407" s="858" t="s">
        <v>61</v>
      </c>
      <c r="E3407" s="859"/>
      <c r="F3407" s="860"/>
      <c r="G3407" s="457">
        <f>SUM(G3404:G3406)</f>
        <v>815.76</v>
      </c>
      <c r="H3407" s="457"/>
    </row>
    <row r="3408" spans="1:8" ht="12" customHeight="1">
      <c r="B3408" s="881"/>
      <c r="C3408" s="882"/>
      <c r="D3408" s="861" t="s">
        <v>573</v>
      </c>
      <c r="E3408" s="862"/>
      <c r="F3408" s="863"/>
      <c r="G3408" s="457">
        <f>INT(G3407*15%*100)/100</f>
        <v>122.36</v>
      </c>
      <c r="H3408" s="457"/>
    </row>
    <row r="3409" spans="1:8" ht="12" customHeight="1">
      <c r="B3409" s="883"/>
      <c r="C3409" s="884"/>
      <c r="D3409" s="858" t="s">
        <v>47</v>
      </c>
      <c r="E3409" s="859"/>
      <c r="F3409" s="860"/>
      <c r="G3409" s="457">
        <f>SUM(G3407:G3408)</f>
        <v>938.12</v>
      </c>
      <c r="H3409" s="457"/>
    </row>
    <row r="3411" spans="1:8" ht="18.75" customHeight="1">
      <c r="A3411" s="656">
        <f>A3397+1</f>
        <v>1</v>
      </c>
      <c r="B3411" s="858" t="s">
        <v>1606</v>
      </c>
      <c r="C3411" s="859"/>
      <c r="D3411" s="859"/>
      <c r="E3411" s="859"/>
      <c r="F3411" s="859"/>
      <c r="G3411" s="859"/>
      <c r="H3411" s="860"/>
    </row>
    <row r="3412" spans="1:8" ht="15" customHeight="1">
      <c r="A3412" s="459" t="s">
        <v>988</v>
      </c>
      <c r="B3412" s="859" t="s">
        <v>989</v>
      </c>
      <c r="C3412" s="859"/>
      <c r="D3412" s="859"/>
      <c r="E3412" s="859"/>
      <c r="F3412" s="859"/>
      <c r="G3412" s="859"/>
      <c r="H3412" s="859"/>
    </row>
    <row r="3413" spans="1:8">
      <c r="B3413" s="450" t="str">
        <f>B3402</f>
        <v>Resources</v>
      </c>
      <c r="C3413" s="450" t="str">
        <f>C3402</f>
        <v>Level/Type</v>
      </c>
      <c r="D3413" s="450" t="str">
        <f>D3402</f>
        <v>Quantity</v>
      </c>
      <c r="E3413" s="451" t="s">
        <v>45</v>
      </c>
      <c r="F3413" s="452" t="s">
        <v>58</v>
      </c>
      <c r="G3413" s="452" t="s">
        <v>59</v>
      </c>
      <c r="H3413" s="452" t="s">
        <v>52</v>
      </c>
    </row>
    <row r="3414" spans="1:8" ht="16.5" customHeight="1">
      <c r="B3414" s="864" t="s">
        <v>60</v>
      </c>
      <c r="C3414" s="484" t="s">
        <v>69</v>
      </c>
      <c r="D3414" s="657">
        <v>13</v>
      </c>
      <c r="E3414" s="451" t="s">
        <v>996</v>
      </c>
      <c r="F3414" s="658" t="e">
        <f>#REF!</f>
        <v>#REF!</v>
      </c>
      <c r="G3414" s="658" t="e">
        <f t="shared" ref="G3414:G3419" si="130">FLOOR(D3414*F3414,0.01)</f>
        <v>#REF!</v>
      </c>
      <c r="H3414" s="536"/>
    </row>
    <row r="3415" spans="1:8" ht="16.5" customHeight="1">
      <c r="B3415" s="865"/>
      <c r="C3415" s="484" t="s">
        <v>43</v>
      </c>
      <c r="D3415" s="659">
        <v>4.5</v>
      </c>
      <c r="E3415" s="451" t="s">
        <v>996</v>
      </c>
      <c r="F3415" s="658" t="e">
        <f>#REF!</f>
        <v>#REF!</v>
      </c>
      <c r="G3415" s="456" t="e">
        <f t="shared" si="130"/>
        <v>#REF!</v>
      </c>
      <c r="H3415" s="536" t="e">
        <f>SUM(G3414+G3415)</f>
        <v>#REF!</v>
      </c>
    </row>
    <row r="3416" spans="1:8" ht="16.5" customHeight="1">
      <c r="B3416" s="864" t="s">
        <v>63</v>
      </c>
      <c r="C3416" s="660" t="s">
        <v>1015</v>
      </c>
      <c r="D3416" s="455">
        <v>5.6000000000000001E-2</v>
      </c>
      <c r="E3416" s="451" t="s">
        <v>753</v>
      </c>
      <c r="F3416" s="658" t="e">
        <f>#REF!</f>
        <v>#REF!</v>
      </c>
      <c r="G3416" s="658" t="e">
        <f t="shared" si="130"/>
        <v>#REF!</v>
      </c>
      <c r="H3416" s="536"/>
    </row>
    <row r="3417" spans="1:8" ht="19.350000000000001" customHeight="1">
      <c r="B3417" s="868"/>
      <c r="C3417" s="586" t="s">
        <v>1016</v>
      </c>
      <c r="D3417" s="455">
        <v>0.152</v>
      </c>
      <c r="E3417" s="451" t="s">
        <v>685</v>
      </c>
      <c r="F3417" s="658" t="e">
        <f>#REF!</f>
        <v>#REF!</v>
      </c>
      <c r="G3417" s="658" t="e">
        <f t="shared" si="130"/>
        <v>#REF!</v>
      </c>
      <c r="H3417" s="536"/>
    </row>
    <row r="3418" spans="1:8" ht="19.350000000000001" customHeight="1">
      <c r="B3418" s="868"/>
      <c r="C3418" s="586" t="s">
        <v>1017</v>
      </c>
      <c r="D3418" s="455">
        <v>3.2280000000000002</v>
      </c>
      <c r="E3418" s="451" t="s">
        <v>1019</v>
      </c>
      <c r="F3418" s="658">
        <v>29</v>
      </c>
      <c r="G3418" s="658">
        <f t="shared" si="130"/>
        <v>93.61</v>
      </c>
      <c r="H3418" s="536"/>
    </row>
    <row r="3419" spans="1:8" ht="16.5" customHeight="1">
      <c r="B3419" s="865"/>
      <c r="C3419" s="586" t="s">
        <v>1018</v>
      </c>
      <c r="D3419" s="456">
        <v>11</v>
      </c>
      <c r="E3419" s="451" t="s">
        <v>628</v>
      </c>
      <c r="F3419" s="658" t="e">
        <f>#REF!</f>
        <v>#REF!</v>
      </c>
      <c r="G3419" s="658" t="e">
        <f t="shared" si="130"/>
        <v>#REF!</v>
      </c>
      <c r="H3419" s="536" t="e">
        <f>SUM(G3416:G3419)</f>
        <v>#REF!</v>
      </c>
    </row>
    <row r="3420" spans="1:8">
      <c r="B3420" s="443"/>
      <c r="D3420" s="443"/>
      <c r="E3420" s="443"/>
      <c r="F3420" s="443" t="s">
        <v>990</v>
      </c>
      <c r="G3420" s="443"/>
      <c r="H3420" s="659" t="e">
        <f>H3419+H3415</f>
        <v>#REF!</v>
      </c>
    </row>
    <row r="3421" spans="1:8">
      <c r="B3421" s="443" t="s">
        <v>991</v>
      </c>
      <c r="D3421" s="443"/>
      <c r="E3421" s="443"/>
      <c r="F3421" s="443" t="s">
        <v>992</v>
      </c>
      <c r="G3421" s="443"/>
      <c r="H3421" s="456" t="e">
        <f>FLOOR(H3420*0.15,0.01)</f>
        <v>#REF!</v>
      </c>
    </row>
    <row r="3422" spans="1:8">
      <c r="B3422" s="661" t="e">
        <f>+H3422</f>
        <v>#REF!</v>
      </c>
      <c r="C3422" s="653" t="s">
        <v>993</v>
      </c>
      <c r="D3422" s="657" t="e">
        <f>B3422/B3423</f>
        <v>#REF!</v>
      </c>
      <c r="E3422" s="443" t="s">
        <v>994</v>
      </c>
      <c r="F3422" s="443" t="s">
        <v>995</v>
      </c>
      <c r="G3422" s="443"/>
      <c r="H3422" s="657" t="e">
        <f>SUM(H3420:H3421)</f>
        <v>#REF!</v>
      </c>
    </row>
    <row r="3423" spans="1:8">
      <c r="B3423" s="661">
        <v>10</v>
      </c>
    </row>
    <row r="3425" spans="1:8" ht="20.25" customHeight="1">
      <c r="A3425" s="662">
        <f>A3411+1</f>
        <v>2</v>
      </c>
      <c r="B3425" s="873" t="s">
        <v>1607</v>
      </c>
      <c r="C3425" s="874"/>
      <c r="D3425" s="874"/>
      <c r="E3425" s="874"/>
      <c r="F3425" s="874"/>
      <c r="G3425" s="874"/>
      <c r="H3425" s="874"/>
    </row>
    <row r="3426" spans="1:8" ht="15" customHeight="1">
      <c r="A3426" s="663" t="s">
        <v>997</v>
      </c>
      <c r="B3426" s="871" t="s">
        <v>998</v>
      </c>
      <c r="C3426" s="872"/>
      <c r="D3426" s="872"/>
      <c r="E3426" s="872"/>
      <c r="F3426" s="872"/>
      <c r="G3426" s="872"/>
      <c r="H3426" s="872"/>
    </row>
    <row r="3427" spans="1:8" ht="26.4">
      <c r="A3427" s="664" t="s">
        <v>999</v>
      </c>
      <c r="B3427" s="660" t="s">
        <v>80</v>
      </c>
      <c r="C3427" s="660" t="s">
        <v>54</v>
      </c>
      <c r="D3427" s="660" t="s">
        <v>81</v>
      </c>
      <c r="E3427" s="660" t="s">
        <v>1002</v>
      </c>
      <c r="F3427" s="660" t="s">
        <v>1003</v>
      </c>
      <c r="G3427" s="660" t="s">
        <v>1004</v>
      </c>
      <c r="H3427" s="660" t="s">
        <v>1005</v>
      </c>
    </row>
    <row r="3428" spans="1:8" ht="17.25" customHeight="1">
      <c r="A3428" s="665"/>
      <c r="B3428" s="869" t="s">
        <v>1006</v>
      </c>
      <c r="C3428" s="666" t="s">
        <v>794</v>
      </c>
      <c r="D3428" s="657">
        <v>13</v>
      </c>
      <c r="E3428" s="471" t="s">
        <v>1007</v>
      </c>
      <c r="F3428" s="667">
        <f>mason</f>
        <v>800</v>
      </c>
      <c r="G3428" s="667">
        <f t="shared" ref="G3428:G3433" si="131">FLOOR(D3428*F3428,0.01)</f>
        <v>10400</v>
      </c>
      <c r="H3428" s="668"/>
    </row>
    <row r="3429" spans="1:8" ht="17.25" customHeight="1">
      <c r="A3429" s="665"/>
      <c r="B3429" s="870"/>
      <c r="C3429" s="669" t="s">
        <v>795</v>
      </c>
      <c r="D3429" s="659">
        <v>4.5</v>
      </c>
      <c r="E3429" s="669" t="s">
        <v>1007</v>
      </c>
      <c r="F3429" s="659" t="e">
        <f>F3415</f>
        <v>#REF!</v>
      </c>
      <c r="G3429" s="659" t="e">
        <f t="shared" si="131"/>
        <v>#REF!</v>
      </c>
      <c r="H3429" s="670" t="e">
        <f>SUM(G3428+G3429)</f>
        <v>#REF!</v>
      </c>
    </row>
    <row r="3430" spans="1:8" ht="17.25" customHeight="1">
      <c r="A3430" s="665"/>
      <c r="B3430" s="864" t="s">
        <v>1008</v>
      </c>
      <c r="C3430" s="471" t="s">
        <v>1009</v>
      </c>
      <c r="D3430" s="470">
        <v>5.6000000000000001E-2</v>
      </c>
      <c r="E3430" s="471" t="s">
        <v>1010</v>
      </c>
      <c r="F3430" s="657" t="e">
        <f>F3416</f>
        <v>#REF!</v>
      </c>
      <c r="G3430" s="657" t="e">
        <f t="shared" si="131"/>
        <v>#REF!</v>
      </c>
      <c r="H3430" s="668"/>
    </row>
    <row r="3431" spans="1:8" ht="17.25" customHeight="1">
      <c r="A3431" s="665"/>
      <c r="B3431" s="868"/>
      <c r="C3431" s="671" t="s">
        <v>1011</v>
      </c>
      <c r="D3431" s="672">
        <v>0.152</v>
      </c>
      <c r="E3431" s="671" t="s">
        <v>865</v>
      </c>
      <c r="F3431" s="673" t="e">
        <f>F3417</f>
        <v>#REF!</v>
      </c>
      <c r="G3431" s="673" t="e">
        <f t="shared" si="131"/>
        <v>#REF!</v>
      </c>
      <c r="H3431" s="670"/>
    </row>
    <row r="3432" spans="1:8" ht="17.25" customHeight="1">
      <c r="A3432" s="665"/>
      <c r="B3432" s="868"/>
      <c r="C3432" s="671" t="s">
        <v>867</v>
      </c>
      <c r="D3432" s="672">
        <v>3.2280000000000002</v>
      </c>
      <c r="E3432" s="671" t="s">
        <v>866</v>
      </c>
      <c r="F3432" s="673">
        <v>29</v>
      </c>
      <c r="G3432" s="673">
        <f t="shared" si="131"/>
        <v>93.61</v>
      </c>
      <c r="H3432" s="670"/>
    </row>
    <row r="3433" spans="1:8" ht="17.25" customHeight="1">
      <c r="A3433" s="665"/>
      <c r="B3433" s="865"/>
      <c r="C3433" s="674" t="s">
        <v>1012</v>
      </c>
      <c r="D3433" s="659">
        <v>11</v>
      </c>
      <c r="E3433" s="669" t="s">
        <v>868</v>
      </c>
      <c r="F3433" s="659">
        <f>111*10.76</f>
        <v>1194.3599999999999</v>
      </c>
      <c r="G3433" s="659">
        <f t="shared" si="131"/>
        <v>13137.960000000001</v>
      </c>
      <c r="H3433" s="675" t="e">
        <f>SUM(G3430:G3433)</f>
        <v>#REF!</v>
      </c>
    </row>
    <row r="3434" spans="1:8">
      <c r="A3434" s="665"/>
      <c r="B3434" s="443"/>
      <c r="D3434" s="443"/>
      <c r="E3434" s="443"/>
      <c r="F3434" s="443" t="s">
        <v>990</v>
      </c>
      <c r="G3434" s="592"/>
      <c r="H3434" s="659" t="e">
        <f>SUM(H3429:H3433)</f>
        <v>#REF!</v>
      </c>
    </row>
    <row r="3435" spans="1:8">
      <c r="A3435" s="665"/>
      <c r="B3435" s="443" t="s">
        <v>991</v>
      </c>
      <c r="D3435" s="443"/>
      <c r="E3435" s="443"/>
      <c r="F3435" s="443" t="s">
        <v>1013</v>
      </c>
      <c r="G3435" s="592"/>
      <c r="H3435" s="456" t="e">
        <f>FLOOR(H3434*0.15,0.01)</f>
        <v>#REF!</v>
      </c>
    </row>
    <row r="3436" spans="1:8">
      <c r="A3436" s="665"/>
      <c r="B3436" s="661" t="e">
        <f>+H3436</f>
        <v>#REF!</v>
      </c>
      <c r="C3436" s="653" t="s">
        <v>1014</v>
      </c>
      <c r="D3436" s="456" t="e">
        <f>INT(B3436/B3437*100)/100</f>
        <v>#REF!</v>
      </c>
      <c r="E3436" s="443" t="s">
        <v>994</v>
      </c>
      <c r="F3436" s="443" t="s">
        <v>995</v>
      </c>
      <c r="G3436" s="592"/>
      <c r="H3436" s="456" t="e">
        <f>SUM(H3434:H3435)</f>
        <v>#REF!</v>
      </c>
    </row>
    <row r="3437" spans="1:8">
      <c r="B3437" s="661">
        <v>10</v>
      </c>
    </row>
    <row r="3440" spans="1:8" ht="12" customHeight="1">
      <c r="A3440" s="507">
        <v>8.2799999999999994</v>
      </c>
      <c r="B3440" s="446"/>
      <c r="C3440" s="876" t="s">
        <v>968</v>
      </c>
      <c r="D3440" s="877"/>
      <c r="E3440" s="878"/>
      <c r="F3440" s="447" t="s">
        <v>50</v>
      </c>
      <c r="G3440" s="447">
        <f>TRUNC(G3448/10,2)</f>
        <v>2455.94</v>
      </c>
      <c r="H3440" s="448">
        <f>TRUNC(G3450/10,2)</f>
        <v>2824.33</v>
      </c>
    </row>
    <row r="3441" spans="1:8">
      <c r="A3441" s="592"/>
      <c r="B3441" s="450" t="s">
        <v>80</v>
      </c>
      <c r="C3441" s="451" t="s">
        <v>81</v>
      </c>
      <c r="D3441" s="451" t="s">
        <v>44</v>
      </c>
      <c r="E3441" s="451" t="s">
        <v>45</v>
      </c>
      <c r="F3441" s="452" t="s">
        <v>58</v>
      </c>
      <c r="G3441" s="452" t="s">
        <v>59</v>
      </c>
      <c r="H3441" s="452" t="s">
        <v>52</v>
      </c>
    </row>
    <row r="3442" spans="1:8" ht="12" customHeight="1">
      <c r="A3442" s="592"/>
      <c r="B3442" s="864" t="s">
        <v>60</v>
      </c>
      <c r="C3442" s="484" t="s">
        <v>69</v>
      </c>
      <c r="D3442" s="488">
        <v>1</v>
      </c>
      <c r="E3442" s="451" t="s">
        <v>46</v>
      </c>
      <c r="F3442" s="457">
        <f>LOOKUP(C3442,'Basic Rate'!$B$8:$B$328,'Basic Rate'!$F$8:$F$328)</f>
        <v>1200</v>
      </c>
      <c r="G3442" s="457">
        <f t="shared" ref="G3442:G3447" si="132">TRUNC(D3442*F3442,2)</f>
        <v>1200</v>
      </c>
      <c r="H3442" s="457"/>
    </row>
    <row r="3443" spans="1:8" ht="12" customHeight="1">
      <c r="A3443" s="592"/>
      <c r="B3443" s="868"/>
      <c r="C3443" s="484" t="s">
        <v>43</v>
      </c>
      <c r="D3443" s="488">
        <v>3</v>
      </c>
      <c r="E3443" s="451" t="s">
        <v>46</v>
      </c>
      <c r="F3443" s="457">
        <f>LOOKUP(C3443,'Basic Rate'!$B$8:$B$328,'Basic Rate'!$F$8:$F$328)</f>
        <v>870</v>
      </c>
      <c r="G3443" s="457">
        <f t="shared" si="132"/>
        <v>2610</v>
      </c>
      <c r="H3443" s="457"/>
    </row>
    <row r="3444" spans="1:8" ht="12" customHeight="1">
      <c r="A3444" s="592"/>
      <c r="B3444" s="865"/>
      <c r="C3444" s="484" t="s">
        <v>43</v>
      </c>
      <c r="D3444" s="488">
        <v>7</v>
      </c>
      <c r="E3444" s="451" t="s">
        <v>46</v>
      </c>
      <c r="F3444" s="457">
        <f>LOOKUP(C3444,'Basic Rate'!$B$8:$B$328,'Basic Rate'!$F$8:$F$328)</f>
        <v>870</v>
      </c>
      <c r="G3444" s="457">
        <f t="shared" si="132"/>
        <v>6090</v>
      </c>
      <c r="H3444" s="457"/>
    </row>
    <row r="3445" spans="1:8" ht="12" customHeight="1">
      <c r="A3445" s="592"/>
      <c r="B3445" s="864" t="s">
        <v>63</v>
      </c>
      <c r="C3445" s="454" t="s">
        <v>966</v>
      </c>
      <c r="D3445" s="488">
        <v>11</v>
      </c>
      <c r="E3445" s="451" t="s">
        <v>50</v>
      </c>
      <c r="F3445" s="457">
        <v>1184.93</v>
      </c>
      <c r="G3445" s="457">
        <f t="shared" si="132"/>
        <v>13034.23</v>
      </c>
      <c r="H3445" s="457"/>
    </row>
    <row r="3446" spans="1:8" ht="12" customHeight="1">
      <c r="A3446" s="592"/>
      <c r="B3446" s="868"/>
      <c r="C3446" s="454" t="s">
        <v>967</v>
      </c>
      <c r="D3446" s="488">
        <v>0.55000000000000004</v>
      </c>
      <c r="E3446" s="451" t="s">
        <v>50</v>
      </c>
      <c r="F3446" s="457">
        <v>110.19</v>
      </c>
      <c r="G3446" s="457">
        <f t="shared" si="132"/>
        <v>60.6</v>
      </c>
      <c r="H3446" s="457"/>
    </row>
    <row r="3447" spans="1:8" ht="12" customHeight="1">
      <c r="A3447" s="592"/>
      <c r="B3447" s="865"/>
      <c r="C3447" s="528" t="s">
        <v>793</v>
      </c>
      <c r="D3447" s="488">
        <v>0.71</v>
      </c>
      <c r="E3447" s="451" t="s">
        <v>68</v>
      </c>
      <c r="F3447" s="457">
        <v>2203.7199999999998</v>
      </c>
      <c r="G3447" s="457">
        <f t="shared" si="132"/>
        <v>1564.64</v>
      </c>
      <c r="H3447" s="457"/>
    </row>
    <row r="3448" spans="1:8" ht="12" customHeight="1">
      <c r="A3448" s="592"/>
      <c r="B3448" s="879" t="s">
        <v>165</v>
      </c>
      <c r="C3448" s="880"/>
      <c r="D3448" s="858" t="s">
        <v>61</v>
      </c>
      <c r="E3448" s="859"/>
      <c r="F3448" s="860"/>
      <c r="G3448" s="457">
        <f>SUM(G3442:G3447)</f>
        <v>24559.469999999998</v>
      </c>
      <c r="H3448" s="457"/>
    </row>
    <row r="3449" spans="1:8" ht="12" customHeight="1">
      <c r="A3449" s="592"/>
      <c r="B3449" s="881"/>
      <c r="C3449" s="882"/>
      <c r="D3449" s="861" t="s">
        <v>573</v>
      </c>
      <c r="E3449" s="862"/>
      <c r="F3449" s="863"/>
      <c r="G3449" s="457">
        <f>INT(15%*G3448*100)/100</f>
        <v>3683.92</v>
      </c>
      <c r="H3449" s="457"/>
    </row>
    <row r="3450" spans="1:8" ht="12" customHeight="1">
      <c r="A3450" s="592"/>
      <c r="B3450" s="883"/>
      <c r="C3450" s="884"/>
      <c r="D3450" s="858" t="s">
        <v>47</v>
      </c>
      <c r="E3450" s="859"/>
      <c r="F3450" s="860"/>
      <c r="G3450" s="457">
        <f>SUM(G3448:G3449)</f>
        <v>28243.39</v>
      </c>
      <c r="H3450" s="457"/>
    </row>
    <row r="3454" spans="1:8" ht="12" customHeight="1">
      <c r="A3454" s="507">
        <v>8.1</v>
      </c>
      <c r="B3454" s="446" t="s">
        <v>400</v>
      </c>
      <c r="C3454" s="876" t="s">
        <v>222</v>
      </c>
      <c r="D3454" s="877"/>
      <c r="E3454" s="878"/>
      <c r="F3454" s="447" t="s">
        <v>50</v>
      </c>
      <c r="G3454" s="447">
        <f>TRUNC(G3462/10,2)</f>
        <v>3708.68</v>
      </c>
      <c r="H3454" s="448">
        <f>TRUNC(G3464/10,2)</f>
        <v>4264.9799999999996</v>
      </c>
    </row>
    <row r="3455" spans="1:8">
      <c r="A3455" s="592"/>
      <c r="B3455" s="450" t="s">
        <v>80</v>
      </c>
      <c r="C3455" s="451" t="s">
        <v>81</v>
      </c>
      <c r="D3455" s="451" t="s">
        <v>44</v>
      </c>
      <c r="E3455" s="451" t="s">
        <v>45</v>
      </c>
      <c r="F3455" s="452" t="s">
        <v>58</v>
      </c>
      <c r="G3455" s="452" t="s">
        <v>59</v>
      </c>
      <c r="H3455" s="452" t="s">
        <v>52</v>
      </c>
    </row>
    <row r="3456" spans="1:8" ht="12" customHeight="1">
      <c r="A3456" s="592"/>
      <c r="B3456" s="864" t="s">
        <v>60</v>
      </c>
      <c r="C3456" s="484" t="s">
        <v>69</v>
      </c>
      <c r="D3456" s="488">
        <v>13</v>
      </c>
      <c r="E3456" s="451" t="s">
        <v>46</v>
      </c>
      <c r="F3456" s="457">
        <f>LOOKUP(C3456,'Basic Rate'!$B$8:$B$328,'Basic Rate'!$F$8:$F$328)</f>
        <v>1200</v>
      </c>
      <c r="G3456" s="457">
        <f t="shared" ref="G3456:G3461" si="133">TRUNC(D3456*F3456,2)</f>
        <v>15600</v>
      </c>
      <c r="H3456" s="457"/>
    </row>
    <row r="3457" spans="1:8" ht="12" customHeight="1">
      <c r="A3457" s="592"/>
      <c r="B3457" s="865"/>
      <c r="C3457" s="484" t="s">
        <v>43</v>
      </c>
      <c r="D3457" s="488">
        <v>4.5</v>
      </c>
      <c r="E3457" s="451" t="s">
        <v>46</v>
      </c>
      <c r="F3457" s="457">
        <f>LOOKUP(C3457,'Basic Rate'!$B$8:$B$328,'Basic Rate'!$F$8:$F$328)</f>
        <v>870</v>
      </c>
      <c r="G3457" s="457">
        <f t="shared" si="133"/>
        <v>3915</v>
      </c>
      <c r="H3457" s="457"/>
    </row>
    <row r="3458" spans="1:8" ht="17.55" customHeight="1">
      <c r="A3458" s="592"/>
      <c r="B3458" s="864" t="s">
        <v>63</v>
      </c>
      <c r="C3458" s="490" t="s">
        <v>220</v>
      </c>
      <c r="D3458" s="488">
        <v>11</v>
      </c>
      <c r="E3458" s="451" t="s">
        <v>50</v>
      </c>
      <c r="F3458" s="457">
        <f>140*10.76</f>
        <v>1506.3999999999999</v>
      </c>
      <c r="G3458" s="457">
        <f t="shared" si="133"/>
        <v>16570.400000000001</v>
      </c>
      <c r="H3458" s="457" t="s">
        <v>1023</v>
      </c>
    </row>
    <row r="3459" spans="1:8" ht="12" customHeight="1">
      <c r="A3459" s="592"/>
      <c r="B3459" s="868"/>
      <c r="C3459" s="484" t="s">
        <v>70</v>
      </c>
      <c r="D3459" s="488">
        <v>5.6000000000000001E-2</v>
      </c>
      <c r="E3459" s="451" t="s">
        <v>71</v>
      </c>
      <c r="F3459" s="457">
        <f>LOOKUP(C3459,'Basic Rate'!$B$8:$B$328,'Basic Rate'!$F$8:$F$328)</f>
        <v>14000</v>
      </c>
      <c r="G3459" s="457">
        <f t="shared" si="133"/>
        <v>784</v>
      </c>
      <c r="H3459" s="457"/>
    </row>
    <row r="3460" spans="1:8" ht="12" customHeight="1">
      <c r="A3460" s="592"/>
      <c r="B3460" s="868"/>
      <c r="C3460" s="528" t="str">
        <f>C3444</f>
        <v>Unskilled</v>
      </c>
      <c r="D3460" s="488">
        <v>0.152</v>
      </c>
      <c r="E3460" s="451" t="s">
        <v>68</v>
      </c>
      <c r="F3460" s="457">
        <f>LOOKUP(C3460,'Basic Rate'!$B$8:$B$328,'Basic Rate'!$F$8:$F$328)</f>
        <v>870</v>
      </c>
      <c r="G3460" s="457">
        <f t="shared" si="133"/>
        <v>132.24</v>
      </c>
      <c r="H3460" s="457"/>
    </row>
    <row r="3461" spans="1:8" ht="12" customHeight="1">
      <c r="A3461" s="592"/>
      <c r="B3461" s="865"/>
      <c r="C3461" s="484" t="s">
        <v>104</v>
      </c>
      <c r="D3461" s="488">
        <v>3.2280000000000002</v>
      </c>
      <c r="E3461" s="456" t="s">
        <v>74</v>
      </c>
      <c r="F3461" s="457">
        <f>LOOKUP(C3461,'Basic Rate'!$B$8:$B$328,'Basic Rate'!$F$8:$F$328)/1000</f>
        <v>26.4</v>
      </c>
      <c r="G3461" s="457">
        <f t="shared" si="133"/>
        <v>85.21</v>
      </c>
      <c r="H3461" s="457"/>
    </row>
    <row r="3462" spans="1:8" ht="12" customHeight="1">
      <c r="A3462" s="592"/>
      <c r="B3462" s="879" t="s">
        <v>165</v>
      </c>
      <c r="C3462" s="880"/>
      <c r="D3462" s="858" t="s">
        <v>61</v>
      </c>
      <c r="E3462" s="859"/>
      <c r="F3462" s="860"/>
      <c r="G3462" s="457">
        <f>SUM(G3456:G3461)</f>
        <v>37086.85</v>
      </c>
      <c r="H3462" s="457"/>
    </row>
    <row r="3463" spans="1:8" ht="12" customHeight="1">
      <c r="A3463" s="592"/>
      <c r="B3463" s="881"/>
      <c r="C3463" s="882"/>
      <c r="D3463" s="861" t="s">
        <v>573</v>
      </c>
      <c r="E3463" s="862"/>
      <c r="F3463" s="863"/>
      <c r="G3463" s="457">
        <f>INT(15%*G3462*100)/100</f>
        <v>5563.02</v>
      </c>
      <c r="H3463" s="457"/>
    </row>
    <row r="3464" spans="1:8" ht="12" customHeight="1">
      <c r="A3464" s="592"/>
      <c r="B3464" s="883"/>
      <c r="C3464" s="884"/>
      <c r="D3464" s="858" t="s">
        <v>47</v>
      </c>
      <c r="E3464" s="859"/>
      <c r="F3464" s="860"/>
      <c r="G3464" s="457">
        <f>SUM(G3462:G3463)</f>
        <v>42649.869999999995</v>
      </c>
      <c r="H3464" s="457"/>
    </row>
    <row r="3468" spans="1:8" ht="18.75" customHeight="1">
      <c r="A3468" s="676">
        <f>A3421+1</f>
        <v>1</v>
      </c>
      <c r="B3468" s="802"/>
      <c r="C3468" s="875" t="s">
        <v>1031</v>
      </c>
      <c r="D3468" s="875"/>
      <c r="E3468" s="875"/>
      <c r="F3468" s="803"/>
      <c r="G3468" s="803"/>
      <c r="H3468" s="803"/>
    </row>
    <row r="3469" spans="1:8" ht="14.25" customHeight="1">
      <c r="A3469" s="674" t="s">
        <v>1024</v>
      </c>
      <c r="B3469" s="866" t="s">
        <v>1025</v>
      </c>
      <c r="C3469" s="867"/>
      <c r="D3469" s="867"/>
      <c r="E3469" s="867"/>
      <c r="F3469" s="867"/>
      <c r="G3469" s="867"/>
      <c r="H3469" s="867"/>
    </row>
    <row r="3470" spans="1:8" ht="25.2">
      <c r="A3470" s="788"/>
      <c r="B3470" s="789" t="s">
        <v>1000</v>
      </c>
      <c r="C3470" s="789" t="s">
        <v>1001</v>
      </c>
      <c r="D3470" s="789" t="s">
        <v>934</v>
      </c>
      <c r="E3470" s="789" t="s">
        <v>1002</v>
      </c>
      <c r="F3470" s="789" t="s">
        <v>1003</v>
      </c>
      <c r="G3470" s="789" t="s">
        <v>1004</v>
      </c>
      <c r="H3470" s="789" t="s">
        <v>1005</v>
      </c>
    </row>
    <row r="3471" spans="1:8" ht="17.25" customHeight="1">
      <c r="A3471" s="790"/>
      <c r="B3471" s="990" t="s">
        <v>1026</v>
      </c>
      <c r="C3471" s="791" t="s">
        <v>640</v>
      </c>
      <c r="D3471" s="792">
        <v>13</v>
      </c>
      <c r="E3471" s="793" t="s">
        <v>1007</v>
      </c>
      <c r="F3471" s="794">
        <f>'LABOUR 2082083'!F5</f>
        <v>1200</v>
      </c>
      <c r="G3471" s="795">
        <f>FLOOR(D3471*F3471,0.01)</f>
        <v>15600</v>
      </c>
      <c r="H3471" s="795"/>
    </row>
    <row r="3472" spans="1:8" ht="17.25" customHeight="1">
      <c r="A3472" s="788"/>
      <c r="B3472" s="992"/>
      <c r="C3472" s="796" t="s">
        <v>644</v>
      </c>
      <c r="D3472" s="797">
        <v>4.5</v>
      </c>
      <c r="E3472" s="787" t="s">
        <v>1007</v>
      </c>
      <c r="F3472" s="798">
        <f>'LABOUR 2082083'!F4</f>
        <v>870</v>
      </c>
      <c r="G3472" s="797">
        <f>FLOOR(D3472*F3472,0.01)</f>
        <v>3915</v>
      </c>
      <c r="H3472" s="798">
        <f>SUM(G3471+G3472)</f>
        <v>19515</v>
      </c>
    </row>
    <row r="3473" spans="1:8" ht="17.25" customHeight="1">
      <c r="A3473" s="788"/>
      <c r="B3473" s="990" t="s">
        <v>1008</v>
      </c>
      <c r="C3473" s="791" t="s">
        <v>1027</v>
      </c>
      <c r="D3473" s="792">
        <v>5.6000000000000001E-2</v>
      </c>
      <c r="E3473" s="793" t="s">
        <v>1028</v>
      </c>
      <c r="F3473" s="794">
        <f>'Basic Rate'!F35</f>
        <v>14000</v>
      </c>
      <c r="G3473" s="794">
        <f>FLOOR(D3473*F3473,0.01)</f>
        <v>784</v>
      </c>
      <c r="H3473" s="794"/>
    </row>
    <row r="3474" spans="1:8" ht="17.25" customHeight="1">
      <c r="A3474" s="788"/>
      <c r="B3474" s="991"/>
      <c r="C3474" s="791" t="s">
        <v>1033</v>
      </c>
      <c r="D3474" s="799">
        <v>0.152</v>
      </c>
      <c r="E3474" s="793" t="s">
        <v>1029</v>
      </c>
      <c r="F3474" s="794" t="e">
        <f>#REF!</f>
        <v>#REF!</v>
      </c>
      <c r="G3474" s="794" t="e">
        <f>FLOOR(D3474*F3474,0.01)</f>
        <v>#REF!</v>
      </c>
      <c r="H3474" s="794"/>
    </row>
    <row r="3475" spans="1:8" ht="17.25" customHeight="1">
      <c r="A3475" s="788"/>
      <c r="B3475" s="992"/>
      <c r="C3475" s="796" t="s">
        <v>1032</v>
      </c>
      <c r="D3475" s="797">
        <v>11</v>
      </c>
      <c r="E3475" s="787" t="s">
        <v>1030</v>
      </c>
      <c r="F3475" s="798">
        <f>60*10.76</f>
        <v>645.6</v>
      </c>
      <c r="G3475" s="798">
        <f>FLOOR(D3475*F3475,0.01)</f>
        <v>7101.6</v>
      </c>
      <c r="H3475" s="798" t="e">
        <f>SUM(G3473+G3474+G3475)</f>
        <v>#REF!</v>
      </c>
    </row>
    <row r="3476" spans="1:8">
      <c r="A3476" s="788"/>
      <c r="B3476" s="788"/>
      <c r="C3476" s="788"/>
      <c r="D3476" s="788"/>
      <c r="E3476" s="788"/>
      <c r="F3476" s="788" t="s">
        <v>990</v>
      </c>
      <c r="G3476" s="788"/>
      <c r="H3476" s="797" t="e">
        <f>SUM(H3472:H3475)</f>
        <v>#REF!</v>
      </c>
    </row>
    <row r="3477" spans="1:8" ht="25.8">
      <c r="A3477" s="788"/>
      <c r="B3477" s="788" t="s">
        <v>991</v>
      </c>
      <c r="C3477" s="788"/>
      <c r="D3477" s="788"/>
      <c r="E3477" s="788"/>
      <c r="F3477" s="788" t="s">
        <v>992</v>
      </c>
      <c r="G3477" s="788"/>
      <c r="H3477" s="800" t="e">
        <f>FLOOR(H3476*0.15,0.01)</f>
        <v>#REF!</v>
      </c>
    </row>
    <row r="3478" spans="1:8">
      <c r="A3478" s="790"/>
      <c r="B3478" s="801" t="e">
        <f>+H3478</f>
        <v>#REF!</v>
      </c>
      <c r="C3478" s="790" t="s">
        <v>993</v>
      </c>
      <c r="D3478" s="800" t="e">
        <f>FLOOR(B3478/B3479,0.01)</f>
        <v>#REF!</v>
      </c>
      <c r="E3478" s="788" t="s">
        <v>994</v>
      </c>
      <c r="F3478" s="788" t="s">
        <v>995</v>
      </c>
      <c r="G3478" s="788"/>
      <c r="H3478" s="800" t="e">
        <f>SUM(H3476:H3477)</f>
        <v>#REF!</v>
      </c>
    </row>
    <row r="3479" spans="1:8">
      <c r="A3479" s="677"/>
      <c r="B3479" s="678">
        <v>10</v>
      </c>
      <c r="C3479" s="677"/>
      <c r="D3479" s="677"/>
      <c r="E3479" s="677"/>
      <c r="F3479" s="677"/>
      <c r="G3479" s="677"/>
      <c r="H3479" s="677"/>
    </row>
  </sheetData>
  <mergeCells count="2071">
    <mergeCell ref="B3473:B3475"/>
    <mergeCell ref="C2728:E2728"/>
    <mergeCell ref="B2732:B2735"/>
    <mergeCell ref="D3081:F3081"/>
    <mergeCell ref="D3073:F3073"/>
    <mergeCell ref="C3076:E3076"/>
    <mergeCell ref="B3088:B3089"/>
    <mergeCell ref="D2925:F2925"/>
    <mergeCell ref="D2915:F2915"/>
    <mergeCell ref="B2980:B2981"/>
    <mergeCell ref="B2708:B2709"/>
    <mergeCell ref="B2693:C2695"/>
    <mergeCell ref="D2694:F2694"/>
    <mergeCell ref="C2706:E2706"/>
    <mergeCell ref="C2669:E2669"/>
    <mergeCell ref="B3471:B3472"/>
    <mergeCell ref="D2675:F2675"/>
    <mergeCell ref="D2695:F2695"/>
    <mergeCell ref="D2686:F2686"/>
    <mergeCell ref="D2704:F2704"/>
    <mergeCell ref="D2982:F2982"/>
    <mergeCell ref="D2984:F2984"/>
    <mergeCell ref="D2992:F2992"/>
    <mergeCell ref="D2974:F2974"/>
    <mergeCell ref="D2991:F2991"/>
    <mergeCell ref="B2923:C2925"/>
    <mergeCell ref="B3014:C3016"/>
    <mergeCell ref="D2960:F2960"/>
    <mergeCell ref="A3002:H3002"/>
    <mergeCell ref="C2986:E2986"/>
    <mergeCell ref="C2936:E2936"/>
    <mergeCell ref="B2938:B2939"/>
    <mergeCell ref="C2286:E2286"/>
    <mergeCell ref="D2291:F2291"/>
    <mergeCell ref="D2593:F2593"/>
    <mergeCell ref="B2601:C2603"/>
    <mergeCell ref="C2606:E2606"/>
    <mergeCell ref="B2673:B2674"/>
    <mergeCell ref="D2702:F2702"/>
    <mergeCell ref="C2688:E2688"/>
    <mergeCell ref="B2702:C2704"/>
    <mergeCell ref="B2699:B2700"/>
    <mergeCell ref="D2703:F2703"/>
    <mergeCell ref="B2592:C2594"/>
    <mergeCell ref="C2596:E2596"/>
    <mergeCell ref="D2622:F2622"/>
    <mergeCell ref="B2675:C2677"/>
    <mergeCell ref="C2661:E2661"/>
    <mergeCell ref="C2616:E2616"/>
    <mergeCell ref="B2608:B2609"/>
    <mergeCell ref="D2621:F2621"/>
    <mergeCell ref="D2677:F2677"/>
    <mergeCell ref="B2598:B2599"/>
    <mergeCell ref="C2634:E2634"/>
    <mergeCell ref="B2648:C2650"/>
    <mergeCell ref="D2668:F2668"/>
    <mergeCell ref="D2658:F2658"/>
    <mergeCell ref="C2697:E2697"/>
    <mergeCell ref="D3015:F3015"/>
    <mergeCell ref="D2998:F2998"/>
    <mergeCell ref="B2990:C2992"/>
    <mergeCell ref="B2982:C2984"/>
    <mergeCell ref="D3026:F3026"/>
    <mergeCell ref="D2292:F2292"/>
    <mergeCell ref="D2161:F2161"/>
    <mergeCell ref="D2252:F2252"/>
    <mergeCell ref="D2312:F2312"/>
    <mergeCell ref="D2293:F2293"/>
    <mergeCell ref="A2294:H2294"/>
    <mergeCell ref="H2307:H2308"/>
    <mergeCell ref="D2594:F2594"/>
    <mergeCell ref="D2632:F2632"/>
    <mergeCell ref="B2621:C2623"/>
    <mergeCell ref="D2613:F2613"/>
    <mergeCell ref="B2618:B2619"/>
    <mergeCell ref="B2611:C2613"/>
    <mergeCell ref="D2601:F2601"/>
    <mergeCell ref="D2612:F2612"/>
    <mergeCell ref="D2611:F2611"/>
    <mergeCell ref="D2623:F2623"/>
    <mergeCell ref="D2602:F2602"/>
    <mergeCell ref="D2603:F2603"/>
    <mergeCell ref="D2631:F2631"/>
    <mergeCell ref="C2624:E2624"/>
    <mergeCell ref="B2630:C2632"/>
    <mergeCell ref="B2628:B2629"/>
    <mergeCell ref="D2555:F2555"/>
    <mergeCell ref="D2575:F2575"/>
    <mergeCell ref="D2585:F2585"/>
    <mergeCell ref="C2549:E2549"/>
    <mergeCell ref="D2942:F2942"/>
    <mergeCell ref="B2973:C2975"/>
    <mergeCell ref="D2958:F2958"/>
    <mergeCell ref="D2959:F2959"/>
    <mergeCell ref="D2950:F2950"/>
    <mergeCell ref="H3114:H3118"/>
    <mergeCell ref="D3064:F3064"/>
    <mergeCell ref="D3107:F3107"/>
    <mergeCell ref="B3105:C3107"/>
    <mergeCell ref="B3078:B3079"/>
    <mergeCell ref="C3028:E3028"/>
    <mergeCell ref="C3099:E3099"/>
    <mergeCell ref="D3093:F3093"/>
    <mergeCell ref="C3052:E3052"/>
    <mergeCell ref="D3041:F3041"/>
    <mergeCell ref="D2714:F2714"/>
    <mergeCell ref="D2750:F2750"/>
    <mergeCell ref="D2770:F2770"/>
    <mergeCell ref="D2738:F2738"/>
    <mergeCell ref="D2736:F2736"/>
    <mergeCell ref="D3000:F3000"/>
    <mergeCell ref="D2923:F2923"/>
    <mergeCell ref="C2907:E2907"/>
    <mergeCell ref="D2903:F2903"/>
    <mergeCell ref="C2918:E2918"/>
    <mergeCell ref="B2719:B2720"/>
    <mergeCell ref="D3042:F3042"/>
    <mergeCell ref="D3071:F3071"/>
    <mergeCell ref="B2988:B2989"/>
    <mergeCell ref="D3048:F3048"/>
    <mergeCell ref="B3007:C3009"/>
    <mergeCell ref="D3007:F3007"/>
    <mergeCell ref="B2724:C2726"/>
    <mergeCell ref="B2810:B2811"/>
    <mergeCell ref="B2757:C2759"/>
    <mergeCell ref="B2882:B2883"/>
    <mergeCell ref="C2740:E2740"/>
    <mergeCell ref="D2782:F2782"/>
    <mergeCell ref="D2783:F2783"/>
    <mergeCell ref="D2771:F2771"/>
    <mergeCell ref="C2837:E2837"/>
    <mergeCell ref="B2892:B2893"/>
    <mergeCell ref="C2889:E2889"/>
    <mergeCell ref="C2880:E2880"/>
    <mergeCell ref="D2876:F2876"/>
    <mergeCell ref="C2898:E2898"/>
    <mergeCell ref="B2876:C2878"/>
    <mergeCell ref="D2894:F2894"/>
    <mergeCell ref="D2885:F2885"/>
    <mergeCell ref="B2885:C2887"/>
    <mergeCell ref="D2886:F2886"/>
    <mergeCell ref="D2726:F2726"/>
    <mergeCell ref="C2316:E2316"/>
    <mergeCell ref="B2421:C2423"/>
    <mergeCell ref="D2332:F2332"/>
    <mergeCell ref="C2326:E2326"/>
    <mergeCell ref="B2322:C2324"/>
    <mergeCell ref="B2338:B2339"/>
    <mergeCell ref="C2416:E2416"/>
    <mergeCell ref="B2302:C2304"/>
    <mergeCell ref="C2296:E2296"/>
    <mergeCell ref="D2311:F2311"/>
    <mergeCell ref="B2300:B2301"/>
    <mergeCell ref="D2302:F2302"/>
    <mergeCell ref="B2307:B2308"/>
    <mergeCell ref="D2303:F2303"/>
    <mergeCell ref="B2298:B2299"/>
    <mergeCell ref="B2389:B2390"/>
    <mergeCell ref="D2374:F2374"/>
    <mergeCell ref="B2372:C2374"/>
    <mergeCell ref="B2340:B2341"/>
    <mergeCell ref="B2401:C2403"/>
    <mergeCell ref="D2383:F2383"/>
    <mergeCell ref="D2402:F2402"/>
    <mergeCell ref="D2381:F2381"/>
    <mergeCell ref="D2352:F2352"/>
    <mergeCell ref="D2322:F2322"/>
    <mergeCell ref="D2422:F2422"/>
    <mergeCell ref="B2288:B2289"/>
    <mergeCell ref="B2311:C2313"/>
    <mergeCell ref="B2291:C2293"/>
    <mergeCell ref="D2313:F2313"/>
    <mergeCell ref="C2305:E2305"/>
    <mergeCell ref="B2309:B2310"/>
    <mergeCell ref="D2281:F2281"/>
    <mergeCell ref="B2271:B2273"/>
    <mergeCell ref="E2279:E2280"/>
    <mergeCell ref="C2267:E2267"/>
    <mergeCell ref="C2236:E2236"/>
    <mergeCell ref="C2279:C2280"/>
    <mergeCell ref="C2257:E2257"/>
    <mergeCell ref="B2262:C2264"/>
    <mergeCell ref="D2264:F2264"/>
    <mergeCell ref="D2243:F2243"/>
    <mergeCell ref="D2191:F2191"/>
    <mergeCell ref="B2231:C2233"/>
    <mergeCell ref="C2225:E2225"/>
    <mergeCell ref="D2223:F2223"/>
    <mergeCell ref="D2253:F2253"/>
    <mergeCell ref="C2247:E2247"/>
    <mergeCell ref="B2227:B2228"/>
    <mergeCell ref="D2254:F2254"/>
    <mergeCell ref="B2242:C2244"/>
    <mergeCell ref="F2279:F2280"/>
    <mergeCell ref="C2277:E2277"/>
    <mergeCell ref="D2275:F2275"/>
    <mergeCell ref="D2276:F2276"/>
    <mergeCell ref="B2274:C2276"/>
    <mergeCell ref="D2274:F2274"/>
    <mergeCell ref="D2279:D2280"/>
    <mergeCell ref="D2283:F2283"/>
    <mergeCell ref="B2269:B2270"/>
    <mergeCell ref="D2262:F2262"/>
    <mergeCell ref="D2263:F2263"/>
    <mergeCell ref="D2244:F2244"/>
    <mergeCell ref="B2281:C2283"/>
    <mergeCell ref="C2215:E2215"/>
    <mergeCell ref="B2209:B2210"/>
    <mergeCell ref="D2213:F2213"/>
    <mergeCell ref="D2211:F2211"/>
    <mergeCell ref="D2242:F2242"/>
    <mergeCell ref="B2229:B2230"/>
    <mergeCell ref="B2240:B2241"/>
    <mergeCell ref="D2232:F2232"/>
    <mergeCell ref="D2221:F2221"/>
    <mergeCell ref="D2233:F2233"/>
    <mergeCell ref="B2207:B2208"/>
    <mergeCell ref="B2217:B2218"/>
    <mergeCell ref="B2211:C2213"/>
    <mergeCell ref="D2222:F2222"/>
    <mergeCell ref="B2252:C2254"/>
    <mergeCell ref="D2282:F2282"/>
    <mergeCell ref="B2238:B2239"/>
    <mergeCell ref="D2014:F2014"/>
    <mergeCell ref="D2012:F2012"/>
    <mergeCell ref="C2027:E2027"/>
    <mergeCell ref="C2016:E2016"/>
    <mergeCell ref="D2160:F2160"/>
    <mergeCell ref="B2105:B2106"/>
    <mergeCell ref="B2115:B2116"/>
    <mergeCell ref="D2119:F2119"/>
    <mergeCell ref="B2139:C2141"/>
    <mergeCell ref="B2127:B2128"/>
    <mergeCell ref="D2121:F2121"/>
    <mergeCell ref="B2125:B2126"/>
    <mergeCell ref="C2123:E2123"/>
    <mergeCell ref="B2129:C2131"/>
    <mergeCell ref="B2135:B2136"/>
    <mergeCell ref="D2131:F2131"/>
    <mergeCell ref="D2130:F2130"/>
    <mergeCell ref="D2100:F2100"/>
    <mergeCell ref="D2129:F2129"/>
    <mergeCell ref="B2119:C2121"/>
    <mergeCell ref="C2113:E2113"/>
    <mergeCell ref="B2064:C2066"/>
    <mergeCell ref="B2071:B2072"/>
    <mergeCell ref="B2073:B2075"/>
    <mergeCell ref="B2054:C2056"/>
    <mergeCell ref="C2069:E2069"/>
    <mergeCell ref="D2099:F2099"/>
    <mergeCell ref="B2088:C2090"/>
    <mergeCell ref="C2093:E2093"/>
    <mergeCell ref="D2077:F2077"/>
    <mergeCell ref="D2078:F2078"/>
    <mergeCell ref="D2055:F2055"/>
    <mergeCell ref="B2221:C2223"/>
    <mergeCell ref="D2231:F2231"/>
    <mergeCell ref="B2259:B2260"/>
    <mergeCell ref="B2199:B2200"/>
    <mergeCell ref="B2186:B2187"/>
    <mergeCell ref="C2205:E2205"/>
    <mergeCell ref="D2202:F2202"/>
    <mergeCell ref="D2170:F2170"/>
    <mergeCell ref="C2174:E2174"/>
    <mergeCell ref="D2190:F2190"/>
    <mergeCell ref="D2212:F2212"/>
    <mergeCell ref="B2249:B2250"/>
    <mergeCell ref="B2168:B2169"/>
    <mergeCell ref="D2182:F2182"/>
    <mergeCell ref="C2184:E2184"/>
    <mergeCell ref="B2166:B2167"/>
    <mergeCell ref="B2178:B2179"/>
    <mergeCell ref="B2170:C2172"/>
    <mergeCell ref="B2176:B2177"/>
    <mergeCell ref="D2180:F2180"/>
    <mergeCell ref="D2192:F2192"/>
    <mergeCell ref="B2201:C2203"/>
    <mergeCell ref="D2201:F2201"/>
    <mergeCell ref="B2190:C2192"/>
    <mergeCell ref="D2203:F2203"/>
    <mergeCell ref="B2197:B2198"/>
    <mergeCell ref="C2195:E2195"/>
    <mergeCell ref="B2188:B2189"/>
    <mergeCell ref="C2058:E2058"/>
    <mergeCell ref="B2219:B2220"/>
    <mergeCell ref="D2172:F2172"/>
    <mergeCell ref="D2171:F2171"/>
    <mergeCell ref="B2180:C2182"/>
    <mergeCell ref="B2117:B2118"/>
    <mergeCell ref="B2107:B2108"/>
    <mergeCell ref="D2101:F2101"/>
    <mergeCell ref="D2056:F2056"/>
    <mergeCell ref="B2044:C2046"/>
    <mergeCell ref="D2034:F2034"/>
    <mergeCell ref="B2033:C2035"/>
    <mergeCell ref="B2097:B2098"/>
    <mergeCell ref="C2081:E2081"/>
    <mergeCell ref="B2040:B2041"/>
    <mergeCell ref="B2095:B2096"/>
    <mergeCell ref="B2085:B2087"/>
    <mergeCell ref="D2033:F2033"/>
    <mergeCell ref="B2083:B2084"/>
    <mergeCell ref="D2088:F2088"/>
    <mergeCell ref="D2076:F2076"/>
    <mergeCell ref="B2062:B2063"/>
    <mergeCell ref="D2109:F2109"/>
    <mergeCell ref="D2110:F2110"/>
    <mergeCell ref="D2111:F2111"/>
    <mergeCell ref="B2109:C2111"/>
    <mergeCell ref="B2050:B2051"/>
    <mergeCell ref="B2042:B2043"/>
    <mergeCell ref="D2045:F2045"/>
    <mergeCell ref="D2066:F2066"/>
    <mergeCell ref="D2181:F2181"/>
    <mergeCell ref="C2164:E2164"/>
    <mergeCell ref="C1769:E1769"/>
    <mergeCell ref="B1785:B1787"/>
    <mergeCell ref="B1783:B1784"/>
    <mergeCell ref="B1788:C1790"/>
    <mergeCell ref="D1788:F1788"/>
    <mergeCell ref="D1776:F1776"/>
    <mergeCell ref="B1799:C1801"/>
    <mergeCell ref="B1795:B1796"/>
    <mergeCell ref="D1801:F1801"/>
    <mergeCell ref="D1800:F1800"/>
    <mergeCell ref="D1811:F1811"/>
    <mergeCell ref="A2004:H2004"/>
    <mergeCell ref="B2031:B2032"/>
    <mergeCell ref="D2022:F2022"/>
    <mergeCell ref="C2006:E2006"/>
    <mergeCell ref="B1898:B1899"/>
    <mergeCell ref="B2008:B2009"/>
    <mergeCell ref="B2010:B2011"/>
    <mergeCell ref="B2029:B2030"/>
    <mergeCell ref="D1915:F1915"/>
    <mergeCell ref="C1906:E1906"/>
    <mergeCell ref="C1918:E1918"/>
    <mergeCell ref="D1810:F1810"/>
    <mergeCell ref="C1826:E1826"/>
    <mergeCell ref="B1810:C1812"/>
    <mergeCell ref="D1822:F1822"/>
    <mergeCell ref="D1821:F1821"/>
    <mergeCell ref="B1880:C1882"/>
    <mergeCell ref="B1842:C1844"/>
    <mergeCell ref="C1866:E1866"/>
    <mergeCell ref="C1896:E1896"/>
    <mergeCell ref="D1932:F1932"/>
    <mergeCell ref="B1870:C1872"/>
    <mergeCell ref="D1880:F1880"/>
    <mergeCell ref="B1862:C1864"/>
    <mergeCell ref="D1914:F1914"/>
    <mergeCell ref="D1902:F1902"/>
    <mergeCell ref="D2023:F2023"/>
    <mergeCell ref="D1930:F1930"/>
    <mergeCell ref="B1808:B1809"/>
    <mergeCell ref="B1819:B1820"/>
    <mergeCell ref="C1815:E1815"/>
    <mergeCell ref="B1771:B1772"/>
    <mergeCell ref="B1773:B1775"/>
    <mergeCell ref="D1778:F1778"/>
    <mergeCell ref="C1781:E1781"/>
    <mergeCell ref="D1789:F1789"/>
    <mergeCell ref="D1799:F1799"/>
    <mergeCell ref="C1793:E1793"/>
    <mergeCell ref="B1889:B1890"/>
    <mergeCell ref="D1882:F1882"/>
    <mergeCell ref="D1892:F1892"/>
    <mergeCell ref="B1913:C1915"/>
    <mergeCell ref="D1913:F1913"/>
    <mergeCell ref="B1920:B1921"/>
    <mergeCell ref="D1891:F1891"/>
    <mergeCell ref="D1903:F1903"/>
    <mergeCell ref="D1890:E1890"/>
    <mergeCell ref="D2013:F2013"/>
    <mergeCell ref="B1922:B1928"/>
    <mergeCell ref="D1931:F1931"/>
    <mergeCell ref="B2020:B2021"/>
    <mergeCell ref="B2022:C2024"/>
    <mergeCell ref="B2012:C2014"/>
    <mergeCell ref="D1854:F1854"/>
    <mergeCell ref="D1842:F1842"/>
    <mergeCell ref="B1877:B1878"/>
    <mergeCell ref="D1872:F1872"/>
    <mergeCell ref="C1846:E1846"/>
    <mergeCell ref="D1864:F1864"/>
    <mergeCell ref="D2139:F2139"/>
    <mergeCell ref="C2103:E2103"/>
    <mergeCell ref="B2099:C2101"/>
    <mergeCell ref="D2089:F2089"/>
    <mergeCell ref="D2090:F2090"/>
    <mergeCell ref="C1875:E1875"/>
    <mergeCell ref="D1901:F1901"/>
    <mergeCell ref="D1893:F1893"/>
    <mergeCell ref="C2133:E2133"/>
    <mergeCell ref="B1936:B1938"/>
    <mergeCell ref="B1853:C1855"/>
    <mergeCell ref="D1853:F1853"/>
    <mergeCell ref="D1965:F1965"/>
    <mergeCell ref="D1966:F1966"/>
    <mergeCell ref="D1967:F1967"/>
    <mergeCell ref="B1930:C1932"/>
    <mergeCell ref="B1910:B1912"/>
    <mergeCell ref="D1955:F1955"/>
    <mergeCell ref="B1970:B1972"/>
    <mergeCell ref="B1887:B1888"/>
    <mergeCell ref="C1885:E1885"/>
    <mergeCell ref="D1863:F1863"/>
    <mergeCell ref="D1881:F1881"/>
    <mergeCell ref="B1891:C1893"/>
    <mergeCell ref="D1844:F1844"/>
    <mergeCell ref="D1870:F1870"/>
    <mergeCell ref="D1855:F1855"/>
    <mergeCell ref="B1830:B1831"/>
    <mergeCell ref="B1850:B1852"/>
    <mergeCell ref="B1840:B1841"/>
    <mergeCell ref="D1843:F1843"/>
    <mergeCell ref="B1848:B1849"/>
    <mergeCell ref="D1832:F1832"/>
    <mergeCell ref="B2157:B2158"/>
    <mergeCell ref="B2149:C2151"/>
    <mergeCell ref="D2140:F2140"/>
    <mergeCell ref="D2150:F2150"/>
    <mergeCell ref="B2145:B2146"/>
    <mergeCell ref="D2159:F2159"/>
    <mergeCell ref="B1951:B1953"/>
    <mergeCell ref="B1954:C1956"/>
    <mergeCell ref="D1954:F1954"/>
    <mergeCell ref="C1934:E1934"/>
    <mergeCell ref="D2120:F2120"/>
    <mergeCell ref="B2076:C2078"/>
    <mergeCell ref="D2064:F2064"/>
    <mergeCell ref="B1939:B1941"/>
    <mergeCell ref="C2143:E2143"/>
    <mergeCell ref="B2147:B2148"/>
    <mergeCell ref="D2151:F2151"/>
    <mergeCell ref="B2137:B2138"/>
    <mergeCell ref="D2149:F2149"/>
    <mergeCell ref="B1908:B1909"/>
    <mergeCell ref="B1901:C1903"/>
    <mergeCell ref="B2018:B2019"/>
    <mergeCell ref="C1957:E1957"/>
    <mergeCell ref="B1838:B1839"/>
    <mergeCell ref="D1862:F1862"/>
    <mergeCell ref="D2412:F2412"/>
    <mergeCell ref="D2393:F2393"/>
    <mergeCell ref="C2446:E2446"/>
    <mergeCell ref="D2413:F2413"/>
    <mergeCell ref="B2573:C2575"/>
    <mergeCell ref="D2584:F2584"/>
    <mergeCell ref="C2520:E2520"/>
    <mergeCell ref="B2512:B2514"/>
    <mergeCell ref="D2565:F2565"/>
    <mergeCell ref="B2583:C2585"/>
    <mergeCell ref="D2583:F2583"/>
    <mergeCell ref="D2574:F2574"/>
    <mergeCell ref="D2554:F2554"/>
    <mergeCell ref="B2551:B2552"/>
    <mergeCell ref="B2564:C2566"/>
    <mergeCell ref="C2530:E2530"/>
    <mergeCell ref="C2568:E2568"/>
    <mergeCell ref="B2451:C2453"/>
    <mergeCell ref="D2451:F2451"/>
    <mergeCell ref="B2461:C2463"/>
    <mergeCell ref="D2484:F2484"/>
    <mergeCell ref="D2505:F2505"/>
    <mergeCell ref="B2488:B2489"/>
    <mergeCell ref="D2463:F2463"/>
    <mergeCell ref="B2470:B2471"/>
    <mergeCell ref="D2493:F2493"/>
    <mergeCell ref="D2423:F2423"/>
    <mergeCell ref="C2426:E2426"/>
    <mergeCell ref="D2544:F2544"/>
    <mergeCell ref="D2546:F2546"/>
    <mergeCell ref="C2539:E2539"/>
    <mergeCell ref="D2453:F2453"/>
    <mergeCell ref="B2721:B2723"/>
    <mergeCell ref="D2592:F2592"/>
    <mergeCell ref="B2579:B2580"/>
    <mergeCell ref="B2710:B2711"/>
    <mergeCell ref="B2645:B2646"/>
    <mergeCell ref="B2636:B2637"/>
    <mergeCell ref="D2630:F2630"/>
    <mergeCell ref="C2587:E2587"/>
    <mergeCell ref="B2712:C2714"/>
    <mergeCell ref="B2901:B2902"/>
    <mergeCell ref="B2570:B2571"/>
    <mergeCell ref="B2777:B2780"/>
    <mergeCell ref="C2773:E2773"/>
    <mergeCell ref="B2626:B2627"/>
    <mergeCell ref="C2577:E2577"/>
    <mergeCell ref="D2573:F2573"/>
    <mergeCell ref="D2832:F2832"/>
    <mergeCell ref="D2693:F2693"/>
    <mergeCell ref="D2725:F2725"/>
    <mergeCell ref="B2730:B2731"/>
    <mergeCell ref="B2831:C2833"/>
    <mergeCell ref="C2817:E2817"/>
    <mergeCell ref="B2822:C2824"/>
    <mergeCell ref="A2835:H2835"/>
    <mergeCell ref="D2805:F2805"/>
    <mergeCell ref="D2806:F2806"/>
    <mergeCell ref="D2793:F2793"/>
    <mergeCell ref="D2759:F2759"/>
    <mergeCell ref="B2793:C2795"/>
    <mergeCell ref="D2895:F2895"/>
    <mergeCell ref="D2713:F2713"/>
    <mergeCell ref="B2789:B2792"/>
    <mergeCell ref="D2973:F2973"/>
    <mergeCell ref="B2966:C2968"/>
    <mergeCell ref="B3283:B3284"/>
    <mergeCell ref="D3297:F3297"/>
    <mergeCell ref="D2887:F2887"/>
    <mergeCell ref="B2787:B2788"/>
    <mergeCell ref="D2904:F2904"/>
    <mergeCell ref="D2896:F2896"/>
    <mergeCell ref="D3145:F3145"/>
    <mergeCell ref="D2922:F2922"/>
    <mergeCell ref="D2934:F2934"/>
    <mergeCell ref="B3265:B3266"/>
    <mergeCell ref="B3274:B3275"/>
    <mergeCell ref="B3277:C3279"/>
    <mergeCell ref="D3277:F3277"/>
    <mergeCell ref="D3279:F3279"/>
    <mergeCell ref="D3268:F3268"/>
    <mergeCell ref="D3269:F3269"/>
    <mergeCell ref="D3270:F3270"/>
    <mergeCell ref="B3268:C3270"/>
    <mergeCell ref="D3049:F3049"/>
    <mergeCell ref="B3144:C3146"/>
    <mergeCell ref="D3200:F3200"/>
    <mergeCell ref="D3174:F3174"/>
    <mergeCell ref="D2932:F2932"/>
    <mergeCell ref="D2941:F2941"/>
    <mergeCell ref="D2943:F2943"/>
    <mergeCell ref="C2978:E2978"/>
    <mergeCell ref="D2968:F2968"/>
    <mergeCell ref="D2949:F2949"/>
    <mergeCell ref="D2975:F2975"/>
    <mergeCell ref="B2941:C2943"/>
    <mergeCell ref="D2940:F2940"/>
    <mergeCell ref="C2927:E2927"/>
    <mergeCell ref="B2947:B2948"/>
    <mergeCell ref="B2950:C2952"/>
    <mergeCell ref="B2929:B2930"/>
    <mergeCell ref="D2933:F2933"/>
    <mergeCell ref="B2932:C2934"/>
    <mergeCell ref="D2952:F2952"/>
    <mergeCell ref="H3129:H3132"/>
    <mergeCell ref="H3127:H3128"/>
    <mergeCell ref="B2996:B2997"/>
    <mergeCell ref="D3057:F3057"/>
    <mergeCell ref="D3008:F3008"/>
    <mergeCell ref="D3035:F3035"/>
    <mergeCell ref="D2999:F2999"/>
    <mergeCell ref="B3024:C3026"/>
    <mergeCell ref="B3030:B3031"/>
    <mergeCell ref="H3112:H3113"/>
    <mergeCell ref="D2966:F2966"/>
    <mergeCell ref="C2970:E2970"/>
    <mergeCell ref="D2967:F2967"/>
    <mergeCell ref="C2955:E2955"/>
    <mergeCell ref="B3032:B3033"/>
    <mergeCell ref="D3016:F3016"/>
    <mergeCell ref="C3011:E3011"/>
    <mergeCell ref="B3020:B3021"/>
    <mergeCell ref="C2963:E2963"/>
    <mergeCell ref="C2945:E2945"/>
    <mergeCell ref="B3071:C3073"/>
    <mergeCell ref="C3067:E3067"/>
    <mergeCell ref="D3065:F3065"/>
    <mergeCell ref="B3055:C3057"/>
    <mergeCell ref="D2916:F2916"/>
    <mergeCell ref="D2905:F2905"/>
    <mergeCell ref="B2894:C2896"/>
    <mergeCell ref="D2840:F2840"/>
    <mergeCell ref="B2840:C2842"/>
    <mergeCell ref="D2870:F2870"/>
    <mergeCell ref="D2856:F2856"/>
    <mergeCell ref="B2868:C2870"/>
    <mergeCell ref="D2842:F2842"/>
    <mergeCell ref="B2801:B2804"/>
    <mergeCell ref="D2769:F2769"/>
    <mergeCell ref="C2752:E2752"/>
    <mergeCell ref="C2785:E2785"/>
    <mergeCell ref="D2757:F2757"/>
    <mergeCell ref="B2754:B2755"/>
    <mergeCell ref="B2765:B2768"/>
    <mergeCell ref="B2775:B2776"/>
    <mergeCell ref="B2769:C2771"/>
    <mergeCell ref="D2781:F2781"/>
    <mergeCell ref="D2823:F2823"/>
    <mergeCell ref="D2831:F2831"/>
    <mergeCell ref="D2833:F2833"/>
    <mergeCell ref="D2822:F2822"/>
    <mergeCell ref="B2813:C2815"/>
    <mergeCell ref="B2903:C2905"/>
    <mergeCell ref="B2910:B2913"/>
    <mergeCell ref="B2854:C2856"/>
    <mergeCell ref="C2858:E2858"/>
    <mergeCell ref="C2845:E2845"/>
    <mergeCell ref="D2807:F2807"/>
    <mergeCell ref="B2819:B2820"/>
    <mergeCell ref="D2813:F2813"/>
    <mergeCell ref="D2749:F2749"/>
    <mergeCell ref="D2737:F2737"/>
    <mergeCell ref="B2748:C2750"/>
    <mergeCell ref="D2474:F2474"/>
    <mergeCell ref="D2473:F2473"/>
    <mergeCell ref="B2468:B2469"/>
    <mergeCell ref="B2781:C2783"/>
    <mergeCell ref="B2690:B2691"/>
    <mergeCell ref="C2717:E2717"/>
    <mergeCell ref="A2715:H2715"/>
    <mergeCell ref="D2724:F2724"/>
    <mergeCell ref="D2482:F2482"/>
    <mergeCell ref="D2758:F2758"/>
    <mergeCell ref="C2761:E2761"/>
    <mergeCell ref="B2763:B2764"/>
    <mergeCell ref="B2501:B2502"/>
    <mergeCell ref="D2650:F2650"/>
    <mergeCell ref="B2655:B2656"/>
    <mergeCell ref="D2659:F2659"/>
    <mergeCell ref="D2676:F2676"/>
    <mergeCell ref="D2685:F2685"/>
    <mergeCell ref="B2663:B2664"/>
    <mergeCell ref="D2684:F2684"/>
    <mergeCell ref="D2660:F2660"/>
    <mergeCell ref="C2678:E2678"/>
    <mergeCell ref="B2682:B2683"/>
    <mergeCell ref="B2671:B2672"/>
    <mergeCell ref="B2680:B2681"/>
    <mergeCell ref="B2684:C2686"/>
    <mergeCell ref="C2653:E2653"/>
    <mergeCell ref="D2712:F2712"/>
    <mergeCell ref="B2472:C2474"/>
    <mergeCell ref="C2808:E2808"/>
    <mergeCell ref="B2418:B2419"/>
    <mergeCell ref="D2492:F2492"/>
    <mergeCell ref="B2411:C2413"/>
    <mergeCell ref="B2397:B2398"/>
    <mergeCell ref="B2399:B2400"/>
    <mergeCell ref="B2381:C2383"/>
    <mergeCell ref="B2387:B2388"/>
    <mergeCell ref="B2391:C2393"/>
    <mergeCell ref="C2385:E2385"/>
    <mergeCell ref="C2395:E2395"/>
    <mergeCell ref="D2391:F2391"/>
    <mergeCell ref="B2805:C2807"/>
    <mergeCell ref="D2666:F2666"/>
    <mergeCell ref="B2589:B2590"/>
    <mergeCell ref="D2795:F2795"/>
    <mergeCell ref="D2748:F2748"/>
    <mergeCell ref="B2799:B2800"/>
    <mergeCell ref="D2794:F2794"/>
    <mergeCell ref="D2667:F2667"/>
    <mergeCell ref="B2666:C2668"/>
    <mergeCell ref="D2494:F2494"/>
    <mergeCell ref="B2744:B2747"/>
    <mergeCell ref="B2742:B2743"/>
    <mergeCell ref="C2797:E2797"/>
    <mergeCell ref="B2736:C2738"/>
    <mergeCell ref="B2482:C2484"/>
    <mergeCell ref="D2442:F2442"/>
    <mergeCell ref="D2472:F2472"/>
    <mergeCell ref="D2525:F2525"/>
    <mergeCell ref="B2510:B2511"/>
    <mergeCell ref="D2517:F2517"/>
    <mergeCell ref="B2828:B2829"/>
    <mergeCell ref="D2815:F2815"/>
    <mergeCell ref="D2814:F2814"/>
    <mergeCell ref="D2824:F2824"/>
    <mergeCell ref="C2826:E2826"/>
    <mergeCell ref="D2304:F2304"/>
    <mergeCell ref="B2358:B2359"/>
    <mergeCell ref="B2330:B2331"/>
    <mergeCell ref="B2328:B2329"/>
    <mergeCell ref="C1131:E1131"/>
    <mergeCell ref="D2323:F2323"/>
    <mergeCell ref="D2353:F2353"/>
    <mergeCell ref="D2324:F2324"/>
    <mergeCell ref="B2318:B2319"/>
    <mergeCell ref="C1215:E1215"/>
    <mergeCell ref="D1141:F1141"/>
    <mergeCell ref="D1222:F1222"/>
    <mergeCell ref="B1276:B1278"/>
    <mergeCell ref="B1254:B1257"/>
    <mergeCell ref="B1207:B1208"/>
    <mergeCell ref="C1205:E1205"/>
    <mergeCell ref="D1154:F1154"/>
    <mergeCell ref="B1133:B1134"/>
    <mergeCell ref="D1203:F1203"/>
    <mergeCell ref="D1202:F1202"/>
    <mergeCell ref="B1178:C1180"/>
    <mergeCell ref="D1140:F1140"/>
    <mergeCell ref="B1161:B1164"/>
    <mergeCell ref="D1153:F1153"/>
    <mergeCell ref="D1201:F1201"/>
    <mergeCell ref="D1247:F1247"/>
    <mergeCell ref="D2411:F2411"/>
    <mergeCell ref="D1103:F1103"/>
    <mergeCell ref="B1122:B1125"/>
    <mergeCell ref="D1104:F1104"/>
    <mergeCell ref="D1027:F1027"/>
    <mergeCell ref="D1093:F1093"/>
    <mergeCell ref="D1094:F1094"/>
    <mergeCell ref="C1060:E1060"/>
    <mergeCell ref="C1107:E1107"/>
    <mergeCell ref="C1097:E1097"/>
    <mergeCell ref="B1120:B1121"/>
    <mergeCell ref="C1047:E1047"/>
    <mergeCell ref="D1069:F1069"/>
    <mergeCell ref="B1049:B1050"/>
    <mergeCell ref="B1062:B1063"/>
    <mergeCell ref="D1055:F1055"/>
    <mergeCell ref="B1064:B1067"/>
    <mergeCell ref="D1083:F1083"/>
    <mergeCell ref="D1056:F1056"/>
    <mergeCell ref="D1082:F1082"/>
    <mergeCell ref="D1068:F1068"/>
    <mergeCell ref="B1068:C1070"/>
    <mergeCell ref="D1070:F1070"/>
    <mergeCell ref="B1075:B1076"/>
    <mergeCell ref="A1032:H1032"/>
    <mergeCell ref="D1019:F1019"/>
    <mergeCell ref="A995:H995"/>
    <mergeCell ref="A997:H997"/>
    <mergeCell ref="D1007:F1007"/>
    <mergeCell ref="A999:H999"/>
    <mergeCell ref="C611:E611"/>
    <mergeCell ref="D992:F992"/>
    <mergeCell ref="C983:E983"/>
    <mergeCell ref="B985:B986"/>
    <mergeCell ref="B987:B990"/>
    <mergeCell ref="D676:F676"/>
    <mergeCell ref="B688:C690"/>
    <mergeCell ref="B705:B710"/>
    <mergeCell ref="C737:E737"/>
    <mergeCell ref="B739:B740"/>
    <mergeCell ref="B748:B749"/>
    <mergeCell ref="B727:B732"/>
    <mergeCell ref="D689:F689"/>
    <mergeCell ref="B750:B754"/>
    <mergeCell ref="D1009:F1009"/>
    <mergeCell ref="D711:F711"/>
    <mergeCell ref="H912:H917"/>
    <mergeCell ref="B683:B687"/>
    <mergeCell ref="B670:B674"/>
    <mergeCell ref="B668:B669"/>
    <mergeCell ref="A976:H976"/>
    <mergeCell ref="C723:E723"/>
    <mergeCell ref="D797:F797"/>
    <mergeCell ref="B803:B809"/>
    <mergeCell ref="D795:F795"/>
    <mergeCell ref="D905:F905"/>
    <mergeCell ref="B795:C797"/>
    <mergeCell ref="C438:E438"/>
    <mergeCell ref="D544:F544"/>
    <mergeCell ref="B587:B588"/>
    <mergeCell ref="B681:B682"/>
    <mergeCell ref="B698:C700"/>
    <mergeCell ref="B934:B935"/>
    <mergeCell ref="C511:E511"/>
    <mergeCell ref="D496:F496"/>
    <mergeCell ref="B522:B523"/>
    <mergeCell ref="C520:E520"/>
    <mergeCell ref="B420:B423"/>
    <mergeCell ref="D424:F424"/>
    <mergeCell ref="D464:F464"/>
    <mergeCell ref="B449:B450"/>
    <mergeCell ref="B429:B430"/>
    <mergeCell ref="B442:B443"/>
    <mergeCell ref="B444:C446"/>
    <mergeCell ref="B462:B463"/>
    <mergeCell ref="D457:F457"/>
    <mergeCell ref="B424:C426"/>
    <mergeCell ref="D509:F509"/>
    <mergeCell ref="B513:B514"/>
    <mergeCell ref="B516:C518"/>
    <mergeCell ref="D516:F516"/>
    <mergeCell ref="D517:F517"/>
    <mergeCell ref="D518:F518"/>
    <mergeCell ref="B508:C510"/>
    <mergeCell ref="D608:F608"/>
    <mergeCell ref="D508:F508"/>
    <mergeCell ref="C576:E576"/>
    <mergeCell ref="B451:B454"/>
    <mergeCell ref="B503:B507"/>
    <mergeCell ref="B631:B632"/>
    <mergeCell ref="D624:F624"/>
    <mergeCell ref="D626:F626"/>
    <mergeCell ref="B661:C663"/>
    <mergeCell ref="C629:E629"/>
    <mergeCell ref="D642:F642"/>
    <mergeCell ref="B464:C466"/>
    <mergeCell ref="C459:E459"/>
    <mergeCell ref="D559:F559"/>
    <mergeCell ref="C647:E647"/>
    <mergeCell ref="B642:C644"/>
    <mergeCell ref="D644:F644"/>
    <mergeCell ref="D661:F661"/>
    <mergeCell ref="B651:B660"/>
    <mergeCell ref="C499:E499"/>
    <mergeCell ref="D557:F557"/>
    <mergeCell ref="D573:F573"/>
    <mergeCell ref="B624:C626"/>
    <mergeCell ref="B578:B579"/>
    <mergeCell ref="D607:F607"/>
    <mergeCell ref="B596:B597"/>
    <mergeCell ref="C562:E562"/>
    <mergeCell ref="B607:C609"/>
    <mergeCell ref="A1:H1"/>
    <mergeCell ref="C32:E32"/>
    <mergeCell ref="C3:E3"/>
    <mergeCell ref="D22:F22"/>
    <mergeCell ref="D23:F23"/>
    <mergeCell ref="C25:E25"/>
    <mergeCell ref="D35:F35"/>
    <mergeCell ref="C39:E39"/>
    <mergeCell ref="B130:B131"/>
    <mergeCell ref="B6:C8"/>
    <mergeCell ref="C11:E11"/>
    <mergeCell ref="D21:F21"/>
    <mergeCell ref="D6:F6"/>
    <mergeCell ref="D14:F14"/>
    <mergeCell ref="D7:F7"/>
    <mergeCell ref="C127:E127"/>
    <mergeCell ref="D81:F81"/>
    <mergeCell ref="B21:C23"/>
    <mergeCell ref="B28:C30"/>
    <mergeCell ref="D37:F37"/>
    <mergeCell ref="D116:F116"/>
    <mergeCell ref="D123:F123"/>
    <mergeCell ref="D15:F15"/>
    <mergeCell ref="B42:C44"/>
    <mergeCell ref="D36:F36"/>
    <mergeCell ref="C18:E18"/>
    <mergeCell ref="B35:C37"/>
    <mergeCell ref="B115:C117"/>
    <mergeCell ref="D117:F117"/>
    <mergeCell ref="D8:F8"/>
    <mergeCell ref="D455:F455"/>
    <mergeCell ref="D436:F436"/>
    <mergeCell ref="D444:F444"/>
    <mergeCell ref="B455:C457"/>
    <mergeCell ref="D413:F413"/>
    <mergeCell ref="C403:E403"/>
    <mergeCell ref="C1001:E1001"/>
    <mergeCell ref="B1003:B1004"/>
    <mergeCell ref="B991:C993"/>
    <mergeCell ref="D991:F991"/>
    <mergeCell ref="A483:H483"/>
    <mergeCell ref="D609:F609"/>
    <mergeCell ref="B649:B650"/>
    <mergeCell ref="D546:F546"/>
    <mergeCell ref="D456:F456"/>
    <mergeCell ref="D465:F465"/>
    <mergeCell ref="B487:B488"/>
    <mergeCell ref="B489:B493"/>
    <mergeCell ref="C548:E548"/>
    <mergeCell ref="B589:C591"/>
    <mergeCell ref="D446:F446"/>
    <mergeCell ref="D445:F445"/>
    <mergeCell ref="D494:F494"/>
    <mergeCell ref="A978:H978"/>
    <mergeCell ref="D558:F558"/>
    <mergeCell ref="C447:E447"/>
    <mergeCell ref="H901:H904"/>
    <mergeCell ref="B801:B802"/>
    <mergeCell ref="D466:F466"/>
    <mergeCell ref="C485:E485"/>
    <mergeCell ref="B501:B502"/>
    <mergeCell ref="D495:F495"/>
    <mergeCell ref="B580:B586"/>
    <mergeCell ref="D589:F589"/>
    <mergeCell ref="B557:C559"/>
    <mergeCell ref="C468:E468"/>
    <mergeCell ref="B469:E469"/>
    <mergeCell ref="D1128:F1128"/>
    <mergeCell ref="D1126:F1126"/>
    <mergeCell ref="B1005:B1006"/>
    <mergeCell ref="A974:H974"/>
    <mergeCell ref="D951:F951"/>
    <mergeCell ref="C954:E954"/>
    <mergeCell ref="D962:F962"/>
    <mergeCell ref="D952:F952"/>
    <mergeCell ref="D757:F757"/>
    <mergeCell ref="B770:B771"/>
    <mergeCell ref="D698:F698"/>
    <mergeCell ref="B711:C713"/>
    <mergeCell ref="D699:F699"/>
    <mergeCell ref="D713:F713"/>
    <mergeCell ref="B725:B726"/>
    <mergeCell ref="D743:F743"/>
    <mergeCell ref="D733:F733"/>
    <mergeCell ref="D721:F721"/>
    <mergeCell ref="B733:C735"/>
    <mergeCell ref="D643:F643"/>
    <mergeCell ref="D675:F675"/>
    <mergeCell ref="B675:C677"/>
    <mergeCell ref="D531:F531"/>
    <mergeCell ref="B494:C496"/>
    <mergeCell ref="B640:B641"/>
    <mergeCell ref="B615:B621"/>
    <mergeCell ref="B633:B639"/>
    <mergeCell ref="C1144:E1144"/>
    <mergeCell ref="D964:F964"/>
    <mergeCell ref="B962:C964"/>
    <mergeCell ref="B914:B917"/>
    <mergeCell ref="B958:B961"/>
    <mergeCell ref="D1095:F1095"/>
    <mergeCell ref="A968:H968"/>
    <mergeCell ref="A980:H980"/>
    <mergeCell ref="B1007:C1009"/>
    <mergeCell ref="D993:F993"/>
    <mergeCell ref="B946:B949"/>
    <mergeCell ref="B950:C952"/>
    <mergeCell ref="A972:H972"/>
    <mergeCell ref="A970:H970"/>
    <mergeCell ref="D963:F963"/>
    <mergeCell ref="B1111:B1112"/>
    <mergeCell ref="B1101:B1102"/>
    <mergeCell ref="B1093:C1095"/>
    <mergeCell ref="B1099:B1100"/>
    <mergeCell ref="B1103:C1105"/>
    <mergeCell ref="B1109:B1110"/>
    <mergeCell ref="B1126:C1128"/>
    <mergeCell ref="C942:E942"/>
    <mergeCell ref="B918:C920"/>
    <mergeCell ref="D930:F930"/>
    <mergeCell ref="D940:F940"/>
    <mergeCell ref="D920:F920"/>
    <mergeCell ref="C922:E922"/>
    <mergeCell ref="D939:F939"/>
    <mergeCell ref="D929:F929"/>
    <mergeCell ref="D919:F919"/>
    <mergeCell ref="D928:F928"/>
    <mergeCell ref="B232:B236"/>
    <mergeCell ref="C241:E241"/>
    <mergeCell ref="B243:B245"/>
    <mergeCell ref="D251:F251"/>
    <mergeCell ref="C136:E136"/>
    <mergeCell ref="D155:F155"/>
    <mergeCell ref="B218:B222"/>
    <mergeCell ref="D161:F161"/>
    <mergeCell ref="D162:F162"/>
    <mergeCell ref="C158:E158"/>
    <mergeCell ref="C151:E151"/>
    <mergeCell ref="D169:F169"/>
    <mergeCell ref="D156:F156"/>
    <mergeCell ref="C172:E172"/>
    <mergeCell ref="A212:H212"/>
    <mergeCell ref="B215:B217"/>
    <mergeCell ref="C213:E213"/>
    <mergeCell ref="D163:F163"/>
    <mergeCell ref="C164:E164"/>
    <mergeCell ref="B161:C163"/>
    <mergeCell ref="B168:C170"/>
    <mergeCell ref="D168:F168"/>
    <mergeCell ref="D208:F208"/>
    <mergeCell ref="D170:F170"/>
    <mergeCell ref="B154:C156"/>
    <mergeCell ref="D154:F154"/>
    <mergeCell ref="D178:F178"/>
    <mergeCell ref="B184:C186"/>
    <mergeCell ref="D184:F184"/>
    <mergeCell ref="D185:F185"/>
    <mergeCell ref="D176:F176"/>
    <mergeCell ref="C144:E144"/>
    <mergeCell ref="D1279:F1279"/>
    <mergeCell ref="D1246:F1246"/>
    <mergeCell ref="B1210:C1212"/>
    <mergeCell ref="B1217:B1218"/>
    <mergeCell ref="B1268:C1270"/>
    <mergeCell ref="B1264:B1265"/>
    <mergeCell ref="C1238:E1238"/>
    <mergeCell ref="D1234:F1234"/>
    <mergeCell ref="D1235:F1235"/>
    <mergeCell ref="D1248:F1248"/>
    <mergeCell ref="C1294:E1294"/>
    <mergeCell ref="B1258:C1260"/>
    <mergeCell ref="C1262:E1262"/>
    <mergeCell ref="D1210:F1210"/>
    <mergeCell ref="D1223:F1223"/>
    <mergeCell ref="B1240:B1241"/>
    <mergeCell ref="B1246:C1248"/>
    <mergeCell ref="D1270:F1270"/>
    <mergeCell ref="B1288:B1289"/>
    <mergeCell ref="B1290:C1292"/>
    <mergeCell ref="B1242:B1245"/>
    <mergeCell ref="D1224:F1224"/>
    <mergeCell ref="C1272:E1272"/>
    <mergeCell ref="D16:F16"/>
    <mergeCell ref="D28:F28"/>
    <mergeCell ref="D29:F29"/>
    <mergeCell ref="D30:F30"/>
    <mergeCell ref="D83:F83"/>
    <mergeCell ref="D82:F82"/>
    <mergeCell ref="C86:E86"/>
    <mergeCell ref="B14:C16"/>
    <mergeCell ref="C78:E78"/>
    <mergeCell ref="D72:F72"/>
    <mergeCell ref="B82:C84"/>
    <mergeCell ref="B123:C125"/>
    <mergeCell ref="D125:F125"/>
    <mergeCell ref="D92:F92"/>
    <mergeCell ref="C119:E119"/>
    <mergeCell ref="B108:C110"/>
    <mergeCell ref="D110:F110"/>
    <mergeCell ref="B106:B107"/>
    <mergeCell ref="D109:F109"/>
    <mergeCell ref="B90:C92"/>
    <mergeCell ref="C95:E95"/>
    <mergeCell ref="C103:E103"/>
    <mergeCell ref="D91:F91"/>
    <mergeCell ref="D99:F99"/>
    <mergeCell ref="D100:F100"/>
    <mergeCell ref="B98:C100"/>
    <mergeCell ref="D90:F90"/>
    <mergeCell ref="D89:F89"/>
    <mergeCell ref="D84:F84"/>
    <mergeCell ref="D43:F43"/>
    <mergeCell ref="D42:F42"/>
    <mergeCell ref="D73:F73"/>
    <mergeCell ref="D44:F44"/>
    <mergeCell ref="B58:C60"/>
    <mergeCell ref="B50:C52"/>
    <mergeCell ref="D51:F51"/>
    <mergeCell ref="D52:F52"/>
    <mergeCell ref="C55:E55"/>
    <mergeCell ref="D58:F58"/>
    <mergeCell ref="C47:E47"/>
    <mergeCell ref="C62:E62"/>
    <mergeCell ref="B72:C74"/>
    <mergeCell ref="D74:F74"/>
    <mergeCell ref="D132:F132"/>
    <mergeCell ref="D141:F141"/>
    <mergeCell ref="B140:C142"/>
    <mergeCell ref="B132:C134"/>
    <mergeCell ref="D140:F140"/>
    <mergeCell ref="D98:F98"/>
    <mergeCell ref="D133:F133"/>
    <mergeCell ref="D134:F134"/>
    <mergeCell ref="D142:F142"/>
    <mergeCell ref="C112:E112"/>
    <mergeCell ref="D59:F59"/>
    <mergeCell ref="D50:F50"/>
    <mergeCell ref="D115:F115"/>
    <mergeCell ref="A76:H76"/>
    <mergeCell ref="D124:F124"/>
    <mergeCell ref="D60:F60"/>
    <mergeCell ref="D108:F108"/>
    <mergeCell ref="D266:F266"/>
    <mergeCell ref="D238:F238"/>
    <mergeCell ref="D223:F223"/>
    <mergeCell ref="D225:F225"/>
    <mergeCell ref="D210:F210"/>
    <mergeCell ref="C204:E204"/>
    <mergeCell ref="D177:F177"/>
    <mergeCell ref="B176:C178"/>
    <mergeCell ref="B260:B264"/>
    <mergeCell ref="B229:B231"/>
    <mergeCell ref="D239:F239"/>
    <mergeCell ref="C227:E227"/>
    <mergeCell ref="B237:C239"/>
    <mergeCell ref="D237:F237"/>
    <mergeCell ref="B251:C253"/>
    <mergeCell ref="C188:E188"/>
    <mergeCell ref="B192:C194"/>
    <mergeCell ref="C180:E180"/>
    <mergeCell ref="C196:E196"/>
    <mergeCell ref="B200:C202"/>
    <mergeCell ref="B208:C210"/>
    <mergeCell ref="D186:F186"/>
    <mergeCell ref="B265:C267"/>
    <mergeCell ref="D192:F192"/>
    <mergeCell ref="D193:F193"/>
    <mergeCell ref="D194:F194"/>
    <mergeCell ref="D201:F201"/>
    <mergeCell ref="D202:F202"/>
    <mergeCell ref="D200:F200"/>
    <mergeCell ref="D267:F267"/>
    <mergeCell ref="D209:F209"/>
    <mergeCell ref="B223:C225"/>
    <mergeCell ref="D279:F279"/>
    <mergeCell ref="C269:E269"/>
    <mergeCell ref="C255:E255"/>
    <mergeCell ref="B257:B259"/>
    <mergeCell ref="B292:C294"/>
    <mergeCell ref="D281:F281"/>
    <mergeCell ref="B271:B273"/>
    <mergeCell ref="B274:B278"/>
    <mergeCell ref="D265:F265"/>
    <mergeCell ref="B284:B286"/>
    <mergeCell ref="D950:F950"/>
    <mergeCell ref="B944:B945"/>
    <mergeCell ref="B412:C414"/>
    <mergeCell ref="B407:B410"/>
    <mergeCell ref="D412:F412"/>
    <mergeCell ref="D591:F591"/>
    <mergeCell ref="D625:F625"/>
    <mergeCell ref="B613:B614"/>
    <mergeCell ref="B622:B623"/>
    <mergeCell ref="B703:B704"/>
    <mergeCell ref="D386:F386"/>
    <mergeCell ref="D530:F530"/>
    <mergeCell ref="D510:F510"/>
    <mergeCell ref="B279:C281"/>
    <mergeCell ref="D280:F280"/>
    <mergeCell ref="B301:B305"/>
    <mergeCell ref="B312:B314"/>
    <mergeCell ref="C310:E310"/>
    <mergeCell ref="B329:B333"/>
    <mergeCell ref="D532:F532"/>
    <mergeCell ref="D362:F362"/>
    <mergeCell ref="D399:F399"/>
    <mergeCell ref="D1302:F1302"/>
    <mergeCell ref="B1266:B1267"/>
    <mergeCell ref="B1252:B1253"/>
    <mergeCell ref="D1268:F1268"/>
    <mergeCell ref="D224:F224"/>
    <mergeCell ref="D252:F252"/>
    <mergeCell ref="D253:F253"/>
    <mergeCell ref="D321:F321"/>
    <mergeCell ref="C416:E416"/>
    <mergeCell ref="B544:C546"/>
    <mergeCell ref="B1274:B1275"/>
    <mergeCell ref="D1322:F1322"/>
    <mergeCell ref="D1335:F1335"/>
    <mergeCell ref="C1304:E1304"/>
    <mergeCell ref="B894:C896"/>
    <mergeCell ref="C1315:E1315"/>
    <mergeCell ref="D1311:F1311"/>
    <mergeCell ref="D1300:F1300"/>
    <mergeCell ref="C1284:E1284"/>
    <mergeCell ref="D1301:F1301"/>
    <mergeCell ref="D1269:F1269"/>
    <mergeCell ref="D1292:F1292"/>
    <mergeCell ref="D1291:F1291"/>
    <mergeCell ref="B1279:C1281"/>
    <mergeCell ref="B1298:B1299"/>
    <mergeCell ref="B1296:B1297"/>
    <mergeCell ref="D1281:F1281"/>
    <mergeCell ref="D1290:F1290"/>
    <mergeCell ref="B1286:B1287"/>
    <mergeCell ref="D1280:F1280"/>
    <mergeCell ref="C768:E768"/>
    <mergeCell ref="B246:B250"/>
    <mergeCell ref="B1411:B1412"/>
    <mergeCell ref="B1397:B1398"/>
    <mergeCell ref="D1363:F1363"/>
    <mergeCell ref="B1344:B1346"/>
    <mergeCell ref="B1306:B1307"/>
    <mergeCell ref="B1330:B1331"/>
    <mergeCell ref="B1356:B1362"/>
    <mergeCell ref="B1347:C1349"/>
    <mergeCell ref="B1335:C1337"/>
    <mergeCell ref="C1328:E1328"/>
    <mergeCell ref="B1322:C1324"/>
    <mergeCell ref="A1326:H1326"/>
    <mergeCell ref="B1308:B1310"/>
    <mergeCell ref="D1337:F1337"/>
    <mergeCell ref="D1312:F1312"/>
    <mergeCell ref="D1336:F1336"/>
    <mergeCell ref="D1323:F1323"/>
    <mergeCell ref="D1324:F1324"/>
    <mergeCell ref="B1319:B1321"/>
    <mergeCell ref="B1391:C1393"/>
    <mergeCell ref="B1371:B1376"/>
    <mergeCell ref="B1377:C1379"/>
    <mergeCell ref="D1364:F1364"/>
    <mergeCell ref="B1369:B1370"/>
    <mergeCell ref="B1354:B1355"/>
    <mergeCell ref="D1379:F1379"/>
    <mergeCell ref="C1340:E1340"/>
    <mergeCell ref="D1348:F1348"/>
    <mergeCell ref="D1349:F1349"/>
    <mergeCell ref="D1393:F1393"/>
    <mergeCell ref="D1377:F1377"/>
    <mergeCell ref="B1363:C1365"/>
    <mergeCell ref="D1502:F1502"/>
    <mergeCell ref="B1521:B1523"/>
    <mergeCell ref="D1421:F1421"/>
    <mergeCell ref="C1423:E1423"/>
    <mergeCell ref="B1433:C1435"/>
    <mergeCell ref="B1441:B1447"/>
    <mergeCell ref="D1449:F1449"/>
    <mergeCell ref="D1513:F1513"/>
    <mergeCell ref="B1519:B1520"/>
    <mergeCell ref="D1492:F1492"/>
    <mergeCell ref="B1627:B1628"/>
    <mergeCell ref="D1689:F1689"/>
    <mergeCell ref="B1681:B1688"/>
    <mergeCell ref="D1675:F1675"/>
    <mergeCell ref="B1662:B1663"/>
    <mergeCell ref="C1660:E1660"/>
    <mergeCell ref="D1673:F1673"/>
    <mergeCell ref="B1679:B1680"/>
    <mergeCell ref="D1674:F1674"/>
    <mergeCell ref="C1677:E1677"/>
    <mergeCell ref="C1648:E1648"/>
    <mergeCell ref="B1640:B1642"/>
    <mergeCell ref="D1656:F1656"/>
    <mergeCell ref="B1643:C1645"/>
    <mergeCell ref="D1634:F1634"/>
    <mergeCell ref="D1644:F1644"/>
    <mergeCell ref="D1655:F1655"/>
    <mergeCell ref="B1650:B1651"/>
    <mergeCell ref="D1645:F1645"/>
    <mergeCell ref="D1593:F1593"/>
    <mergeCell ref="B1598:B1599"/>
    <mergeCell ref="B1616:B1617"/>
    <mergeCell ref="D1690:F1690"/>
    <mergeCell ref="D1765:F1765"/>
    <mergeCell ref="B1715:B1721"/>
    <mergeCell ref="B1618:B1620"/>
    <mergeCell ref="C1636:E1636"/>
    <mergeCell ref="B1629:B1631"/>
    <mergeCell ref="B1673:C1675"/>
    <mergeCell ref="D1657:F1657"/>
    <mergeCell ref="D1691:F1691"/>
    <mergeCell ref="D1622:F1622"/>
    <mergeCell ref="C1756:E1756"/>
    <mergeCell ref="B1713:B1714"/>
    <mergeCell ref="B1698:B1705"/>
    <mergeCell ref="C1694:E1694"/>
    <mergeCell ref="D1739:F1739"/>
    <mergeCell ref="B1752:C1754"/>
    <mergeCell ref="B1696:B1697"/>
    <mergeCell ref="B1729:B1731"/>
    <mergeCell ref="B1732:B1738"/>
    <mergeCell ref="B1621:C1623"/>
    <mergeCell ref="D1623:F1623"/>
    <mergeCell ref="D1632:F1632"/>
    <mergeCell ref="C1625:E1625"/>
    <mergeCell ref="D1722:F1722"/>
    <mergeCell ref="B1722:C1724"/>
    <mergeCell ref="C1711:E1711"/>
    <mergeCell ref="B1689:C1691"/>
    <mergeCell ref="D1708:F1708"/>
    <mergeCell ref="D1764:F1764"/>
    <mergeCell ref="C1744:E1744"/>
    <mergeCell ref="B1764:C1766"/>
    <mergeCell ref="C1614:E1614"/>
    <mergeCell ref="B1632:C1634"/>
    <mergeCell ref="D1633:F1633"/>
    <mergeCell ref="B1664:B1672"/>
    <mergeCell ref="B1652:B1654"/>
    <mergeCell ref="B1655:C1657"/>
    <mergeCell ref="D1643:F1643"/>
    <mergeCell ref="B1638:B1639"/>
    <mergeCell ref="B1558:C1560"/>
    <mergeCell ref="B1609:C1611"/>
    <mergeCell ref="D1621:F1621"/>
    <mergeCell ref="B1592:C1594"/>
    <mergeCell ref="C1596:E1596"/>
    <mergeCell ref="D1611:F1611"/>
    <mergeCell ref="B1575:C1577"/>
    <mergeCell ref="B1600:B1608"/>
    <mergeCell ref="C1562:E1562"/>
    <mergeCell ref="D1576:F1576"/>
    <mergeCell ref="D1559:F1559"/>
    <mergeCell ref="D1610:F1610"/>
    <mergeCell ref="C1579:E1579"/>
    <mergeCell ref="D1609:F1609"/>
    <mergeCell ref="D1592:F1592"/>
    <mergeCell ref="B1583:B1591"/>
    <mergeCell ref="B1532:B1535"/>
    <mergeCell ref="B1542:B1543"/>
    <mergeCell ref="D1550:F1550"/>
    <mergeCell ref="D1538:F1538"/>
    <mergeCell ref="D1537:F1537"/>
    <mergeCell ref="D1548:F1548"/>
    <mergeCell ref="D1549:F1549"/>
    <mergeCell ref="D1536:F1536"/>
    <mergeCell ref="C1540:E1540"/>
    <mergeCell ref="B1530:B1531"/>
    <mergeCell ref="D1524:F1524"/>
    <mergeCell ref="D1525:F1525"/>
    <mergeCell ref="D1526:F1526"/>
    <mergeCell ref="D1435:F1435"/>
    <mergeCell ref="B1419:C1421"/>
    <mergeCell ref="C1517:E1517"/>
    <mergeCell ref="B1524:C1526"/>
    <mergeCell ref="B1487:B1489"/>
    <mergeCell ref="D1515:F1515"/>
    <mergeCell ref="D1419:F1419"/>
    <mergeCell ref="B1490:C1492"/>
    <mergeCell ref="B1510:B1512"/>
    <mergeCell ref="B1456:B1463"/>
    <mergeCell ref="B1454:B1455"/>
    <mergeCell ref="B1479:C1481"/>
    <mergeCell ref="C1468:E1468"/>
    <mergeCell ref="B1508:B1509"/>
    <mergeCell ref="B1499:B1501"/>
    <mergeCell ref="B1502:C1504"/>
    <mergeCell ref="D1503:F1503"/>
    <mergeCell ref="B1513:C1515"/>
    <mergeCell ref="C1495:E1495"/>
    <mergeCell ref="D1391:F1391"/>
    <mergeCell ref="D1378:F1378"/>
    <mergeCell ref="D1365:F1365"/>
    <mergeCell ref="C1381:E1381"/>
    <mergeCell ref="B845:B846"/>
    <mergeCell ref="D2878:F2878"/>
    <mergeCell ref="D2877:F2877"/>
    <mergeCell ref="B2874:B2875"/>
    <mergeCell ref="D2868:F2868"/>
    <mergeCell ref="C2865:E2865"/>
    <mergeCell ref="D2863:F2863"/>
    <mergeCell ref="C2872:E2872"/>
    <mergeCell ref="D2869:F2869"/>
    <mergeCell ref="B2861:C2863"/>
    <mergeCell ref="D2855:F2855"/>
    <mergeCell ref="D2849:F2849"/>
    <mergeCell ref="D2854:F2854"/>
    <mergeCell ref="D2862:F2862"/>
    <mergeCell ref="D2861:F2861"/>
    <mergeCell ref="C2851:E2851"/>
    <mergeCell ref="B2848:C2850"/>
    <mergeCell ref="D2848:F2848"/>
    <mergeCell ref="D2841:F2841"/>
    <mergeCell ref="C1367:E1367"/>
    <mergeCell ref="D1420:F1420"/>
    <mergeCell ref="C1395:E1395"/>
    <mergeCell ref="D847:F847"/>
    <mergeCell ref="D848:F848"/>
    <mergeCell ref="B926:B927"/>
    <mergeCell ref="D918:F918"/>
    <mergeCell ref="B901:B902"/>
    <mergeCell ref="C910:E910"/>
    <mergeCell ref="B440:B441"/>
    <mergeCell ref="D336:F336"/>
    <mergeCell ref="D590:F590"/>
    <mergeCell ref="C594:E594"/>
    <mergeCell ref="D778:F778"/>
    <mergeCell ref="B694:B695"/>
    <mergeCell ref="B760:B761"/>
    <mergeCell ref="D572:F572"/>
    <mergeCell ref="C701:E701"/>
    <mergeCell ref="D690:F690"/>
    <mergeCell ref="D700:F700"/>
    <mergeCell ref="C692:E692"/>
    <mergeCell ref="B566:B570"/>
    <mergeCell ref="B530:C532"/>
    <mergeCell ref="B524:B529"/>
    <mergeCell ref="B550:B551"/>
    <mergeCell ref="B605:B606"/>
    <mergeCell ref="B598:B604"/>
    <mergeCell ref="B552:B556"/>
    <mergeCell ref="B571:C573"/>
    <mergeCell ref="B564:B565"/>
    <mergeCell ref="C534:E534"/>
    <mergeCell ref="B399:C401"/>
    <mergeCell ref="D400:F400"/>
    <mergeCell ref="D426:F426"/>
    <mergeCell ref="B353:B355"/>
    <mergeCell ref="B360:C362"/>
    <mergeCell ref="D360:F360"/>
    <mergeCell ref="B536:B537"/>
    <mergeCell ref="D571:F571"/>
    <mergeCell ref="D545:F545"/>
    <mergeCell ref="B538:B543"/>
    <mergeCell ref="C282:E282"/>
    <mergeCell ref="D292:F292"/>
    <mergeCell ref="D293:F293"/>
    <mergeCell ref="D294:F294"/>
    <mergeCell ref="B287:B291"/>
    <mergeCell ref="D320:F320"/>
    <mergeCell ref="D308:F308"/>
    <mergeCell ref="B306:C308"/>
    <mergeCell ref="D306:F306"/>
    <mergeCell ref="C296:E296"/>
    <mergeCell ref="B334:C336"/>
    <mergeCell ref="D307:F307"/>
    <mergeCell ref="C351:E351"/>
    <mergeCell ref="D334:F334"/>
    <mergeCell ref="B326:B328"/>
    <mergeCell ref="D335:F335"/>
    <mergeCell ref="B347:C349"/>
    <mergeCell ref="B343:B346"/>
    <mergeCell ref="D348:F348"/>
    <mergeCell ref="D349:F349"/>
    <mergeCell ref="B340:B342"/>
    <mergeCell ref="C338:E338"/>
    <mergeCell ref="D347:F347"/>
    <mergeCell ref="B298:B300"/>
    <mergeCell ref="D322:F322"/>
    <mergeCell ref="B315:B319"/>
    <mergeCell ref="C324:E324"/>
    <mergeCell ref="B320:C322"/>
    <mergeCell ref="D361:F361"/>
    <mergeCell ref="B356:B359"/>
    <mergeCell ref="B379:B380"/>
    <mergeCell ref="B369:B372"/>
    <mergeCell ref="D373:F373"/>
    <mergeCell ref="B373:C375"/>
    <mergeCell ref="D374:F374"/>
    <mergeCell ref="D375:F375"/>
    <mergeCell ref="C377:E377"/>
    <mergeCell ref="D388:F388"/>
    <mergeCell ref="D435:F435"/>
    <mergeCell ref="B435:C437"/>
    <mergeCell ref="B431:B433"/>
    <mergeCell ref="B394:B398"/>
    <mergeCell ref="D387:F387"/>
    <mergeCell ref="B392:B393"/>
    <mergeCell ref="B405:B406"/>
    <mergeCell ref="B418:B419"/>
    <mergeCell ref="D414:F414"/>
    <mergeCell ref="B366:B368"/>
    <mergeCell ref="D401:F401"/>
    <mergeCell ref="B381:B385"/>
    <mergeCell ref="B386:C388"/>
    <mergeCell ref="C427:E427"/>
    <mergeCell ref="D425:F425"/>
    <mergeCell ref="C364:E364"/>
    <mergeCell ref="C390:E390"/>
    <mergeCell ref="D437:F437"/>
    <mergeCell ref="D662:F662"/>
    <mergeCell ref="D677:F677"/>
    <mergeCell ref="D720:F720"/>
    <mergeCell ref="D712:F712"/>
    <mergeCell ref="C714:E714"/>
    <mergeCell ref="D688:F688"/>
    <mergeCell ref="C666:E666"/>
    <mergeCell ref="B716:B717"/>
    <mergeCell ref="B719:C721"/>
    <mergeCell ref="D719:F719"/>
    <mergeCell ref="B743:C745"/>
    <mergeCell ref="D734:F734"/>
    <mergeCell ref="C679:E679"/>
    <mergeCell ref="B772:B776"/>
    <mergeCell ref="B777:C779"/>
    <mergeCell ref="D796:F796"/>
    <mergeCell ref="D779:F779"/>
    <mergeCell ref="B793:B794"/>
    <mergeCell ref="B755:C757"/>
    <mergeCell ref="D755:F755"/>
    <mergeCell ref="B786:B792"/>
    <mergeCell ref="D777:F777"/>
    <mergeCell ref="D756:F756"/>
    <mergeCell ref="C782:E782"/>
    <mergeCell ref="B784:B785"/>
    <mergeCell ref="C746:E746"/>
    <mergeCell ref="D745:F745"/>
    <mergeCell ref="D663:F663"/>
    <mergeCell ref="D812:F812"/>
    <mergeCell ref="B819:B820"/>
    <mergeCell ref="D830:F830"/>
    <mergeCell ref="D831:F831"/>
    <mergeCell ref="B830:C832"/>
    <mergeCell ref="B810:B811"/>
    <mergeCell ref="C758:E758"/>
    <mergeCell ref="B764:C766"/>
    <mergeCell ref="B836:B837"/>
    <mergeCell ref="B838:B844"/>
    <mergeCell ref="B856:C858"/>
    <mergeCell ref="C834:E834"/>
    <mergeCell ref="D875:F875"/>
    <mergeCell ref="D858:F858"/>
    <mergeCell ref="D813:F813"/>
    <mergeCell ref="C817:E817"/>
    <mergeCell ref="B862:B863"/>
    <mergeCell ref="B864:B873"/>
    <mergeCell ref="B874:C876"/>
    <mergeCell ref="B847:C849"/>
    <mergeCell ref="D856:F856"/>
    <mergeCell ref="D857:F857"/>
    <mergeCell ref="D849:F849"/>
    <mergeCell ref="D764:F764"/>
    <mergeCell ref="D765:F765"/>
    <mergeCell ref="C799:E799"/>
    <mergeCell ref="C1409:E1409"/>
    <mergeCell ref="D1433:F1433"/>
    <mergeCell ref="B1311:C1313"/>
    <mergeCell ref="B938:C940"/>
    <mergeCell ref="B1472:B1478"/>
    <mergeCell ref="D884:F884"/>
    <mergeCell ref="D895:F895"/>
    <mergeCell ref="B852:B853"/>
    <mergeCell ref="D874:F874"/>
    <mergeCell ref="B884:C886"/>
    <mergeCell ref="C850:E850"/>
    <mergeCell ref="C888:E888"/>
    <mergeCell ref="C860:E860"/>
    <mergeCell ref="B812:C814"/>
    <mergeCell ref="B892:B893"/>
    <mergeCell ref="C878:E878"/>
    <mergeCell ref="B880:B881"/>
    <mergeCell ref="B890:B891"/>
    <mergeCell ref="D876:F876"/>
    <mergeCell ref="B912:B913"/>
    <mergeCell ref="D886:F886"/>
    <mergeCell ref="D896:F896"/>
    <mergeCell ref="D894:F894"/>
    <mergeCell ref="D906:F906"/>
    <mergeCell ref="C899:E899"/>
    <mergeCell ref="B905:C907"/>
    <mergeCell ref="A897:H897"/>
    <mergeCell ref="D885:F885"/>
    <mergeCell ref="D832:F832"/>
    <mergeCell ref="B828:B829"/>
    <mergeCell ref="B821:B827"/>
    <mergeCell ref="D814:F814"/>
    <mergeCell ref="D1833:F1833"/>
    <mergeCell ref="B1817:B1818"/>
    <mergeCell ref="D1823:F1823"/>
    <mergeCell ref="B1706:C1708"/>
    <mergeCell ref="B1828:B1829"/>
    <mergeCell ref="B928:C930"/>
    <mergeCell ref="D938:F938"/>
    <mergeCell ref="B1300:C1302"/>
    <mergeCell ref="C1352:E1352"/>
    <mergeCell ref="D1313:F1313"/>
    <mergeCell ref="B1317:B1318"/>
    <mergeCell ref="B1342:B1343"/>
    <mergeCell ref="B903:B904"/>
    <mergeCell ref="D907:F907"/>
    <mergeCell ref="B1042:C1044"/>
    <mergeCell ref="B936:B937"/>
    <mergeCell ref="C1483:E1483"/>
    <mergeCell ref="B1448:C1450"/>
    <mergeCell ref="D1448:F1448"/>
    <mergeCell ref="D1481:F1481"/>
    <mergeCell ref="D1479:F1479"/>
    <mergeCell ref="D1464:F1464"/>
    <mergeCell ref="C1452:E1452"/>
    <mergeCell ref="B1464:C1466"/>
    <mergeCell ref="D1465:F1465"/>
    <mergeCell ref="B924:B925"/>
    <mergeCell ref="B1399:B1404"/>
    <mergeCell ref="B1332:B1334"/>
    <mergeCell ref="C932:E932"/>
    <mergeCell ref="C1437:E1437"/>
    <mergeCell ref="D1212:F1212"/>
    <mergeCell ref="B1172:B1173"/>
    <mergeCell ref="B1564:B1565"/>
    <mergeCell ref="C1553:E1553"/>
    <mergeCell ref="A1612:H1612"/>
    <mergeCell ref="C1506:E1506"/>
    <mergeCell ref="D1491:F1491"/>
    <mergeCell ref="D1434:F1434"/>
    <mergeCell ref="D1450:F1450"/>
    <mergeCell ref="D1706:F1706"/>
    <mergeCell ref="D1707:F1707"/>
    <mergeCell ref="C1727:E1727"/>
    <mergeCell ref="D1724:F1724"/>
    <mergeCell ref="D1723:F1723"/>
    <mergeCell ref="B1739:C1741"/>
    <mergeCell ref="D1740:F1740"/>
    <mergeCell ref="D1741:F1741"/>
    <mergeCell ref="H2279:H2280"/>
    <mergeCell ref="G2279:G2280"/>
    <mergeCell ref="D2141:F2141"/>
    <mergeCell ref="B1832:C1834"/>
    <mergeCell ref="B1797:B1798"/>
    <mergeCell ref="B1806:B1807"/>
    <mergeCell ref="B2155:B2156"/>
    <mergeCell ref="C2153:E2153"/>
    <mergeCell ref="B2159:C2161"/>
    <mergeCell ref="B1821:C1823"/>
    <mergeCell ref="D1871:F1871"/>
    <mergeCell ref="B1776:C1778"/>
    <mergeCell ref="D1777:F1777"/>
    <mergeCell ref="D1790:F1790"/>
    <mergeCell ref="C1804:E1804"/>
    <mergeCell ref="D1812:F1812"/>
    <mergeCell ref="C1858:E1858"/>
    <mergeCell ref="B1015:B1016"/>
    <mergeCell ref="D1018:F1018"/>
    <mergeCell ref="B1017:C1019"/>
    <mergeCell ref="D1028:F1028"/>
    <mergeCell ref="C1011:E1011"/>
    <mergeCell ref="C1836:E1836"/>
    <mergeCell ref="D1834:F1834"/>
    <mergeCell ref="B1413:B1418"/>
    <mergeCell ref="D1392:F1392"/>
    <mergeCell ref="B1425:B1426"/>
    <mergeCell ref="D1347:F1347"/>
    <mergeCell ref="B1405:C1407"/>
    <mergeCell ref="B1385:B1390"/>
    <mergeCell ref="D1405:F1405"/>
    <mergeCell ref="B1383:B1384"/>
    <mergeCell ref="D1407:F1407"/>
    <mergeCell ref="D1752:F1752"/>
    <mergeCell ref="B1760:B1763"/>
    <mergeCell ref="D1753:F1753"/>
    <mergeCell ref="D1766:F1766"/>
    <mergeCell ref="B1746:B1747"/>
    <mergeCell ref="D1754:F1754"/>
    <mergeCell ref="B1748:B1751"/>
    <mergeCell ref="B1758:B1759"/>
    <mergeCell ref="D1594:F1594"/>
    <mergeCell ref="B1548:C1550"/>
    <mergeCell ref="B1581:B1582"/>
    <mergeCell ref="B1555:B1556"/>
    <mergeCell ref="D1560:F1560"/>
    <mergeCell ref="D1575:F1575"/>
    <mergeCell ref="D1577:F1577"/>
    <mergeCell ref="D1558:F1558"/>
    <mergeCell ref="B1159:B1160"/>
    <mergeCell ref="C1157:E1157"/>
    <mergeCell ref="B1152:C1154"/>
    <mergeCell ref="D1178:F1178"/>
    <mergeCell ref="D1192:F1192"/>
    <mergeCell ref="D1514:F1514"/>
    <mergeCell ref="D1504:F1504"/>
    <mergeCell ref="B956:B957"/>
    <mergeCell ref="B1055:C1057"/>
    <mergeCell ref="D1057:F1057"/>
    <mergeCell ref="B1038:B1041"/>
    <mergeCell ref="B1051:B1054"/>
    <mergeCell ref="A966:H966"/>
    <mergeCell ref="D1044:F1044"/>
    <mergeCell ref="C1021:E1021"/>
    <mergeCell ref="C1034:E1034"/>
    <mergeCell ref="B1025:B1026"/>
    <mergeCell ref="B1113:C1115"/>
    <mergeCell ref="D1113:F1113"/>
    <mergeCell ref="D1105:F1105"/>
    <mergeCell ref="D1127:F1127"/>
    <mergeCell ref="D1115:F1115"/>
    <mergeCell ref="B1023:B1024"/>
    <mergeCell ref="D1043:F1043"/>
    <mergeCell ref="D1042:F1042"/>
    <mergeCell ref="D1029:F1029"/>
    <mergeCell ref="B1077:B1080"/>
    <mergeCell ref="B1089:B1092"/>
    <mergeCell ref="B1081:C1083"/>
    <mergeCell ref="C1085:E1085"/>
    <mergeCell ref="B1013:B1014"/>
    <mergeCell ref="D1008:F1008"/>
    <mergeCell ref="D1490:F1490"/>
    <mergeCell ref="C1528:E1528"/>
    <mergeCell ref="B1544:B1547"/>
    <mergeCell ref="B1536:C1538"/>
    <mergeCell ref="B1566:B1574"/>
    <mergeCell ref="D1017:F1017"/>
    <mergeCell ref="B1027:C1029"/>
    <mergeCell ref="B1187:B1190"/>
    <mergeCell ref="B1185:B1186"/>
    <mergeCell ref="B1222:C1224"/>
    <mergeCell ref="D1193:F1193"/>
    <mergeCell ref="C1226:E1226"/>
    <mergeCell ref="B1230:B1233"/>
    <mergeCell ref="D1211:F1211"/>
    <mergeCell ref="B1228:B1229"/>
    <mergeCell ref="B1036:B1037"/>
    <mergeCell ref="C1183:E1183"/>
    <mergeCell ref="C1196:E1196"/>
    <mergeCell ref="C1118:E1118"/>
    <mergeCell ref="D1081:F1081"/>
    <mergeCell ref="B1087:B1088"/>
    <mergeCell ref="C1073:E1073"/>
    <mergeCell ref="D1180:F1180"/>
    <mergeCell ref="B1135:B1138"/>
    <mergeCell ref="D1114:F1114"/>
    <mergeCell ref="B1148:B1151"/>
    <mergeCell ref="B1139:C1141"/>
    <mergeCell ref="D1152:F1152"/>
    <mergeCell ref="D1139:F1139"/>
    <mergeCell ref="C1170:E1170"/>
    <mergeCell ref="B1165:C1167"/>
    <mergeCell ref="B1146:B1147"/>
    <mergeCell ref="D2065:F2065"/>
    <mergeCell ref="C2048:E2048"/>
    <mergeCell ref="D2024:F2024"/>
    <mergeCell ref="B2060:B2061"/>
    <mergeCell ref="B2052:B2053"/>
    <mergeCell ref="B1174:B1177"/>
    <mergeCell ref="D1179:F1179"/>
    <mergeCell ref="D1191:F1191"/>
    <mergeCell ref="B1191:C1193"/>
    <mergeCell ref="B1219:B1221"/>
    <mergeCell ref="C1250:E1250"/>
    <mergeCell ref="B1427:B1432"/>
    <mergeCell ref="B1485:B1486"/>
    <mergeCell ref="B1198:B1199"/>
    <mergeCell ref="B1201:C1203"/>
    <mergeCell ref="D1406:F1406"/>
    <mergeCell ref="D1466:F1466"/>
    <mergeCell ref="B1234:C1236"/>
    <mergeCell ref="D1236:F1236"/>
    <mergeCell ref="D1978:F1978"/>
    <mergeCell ref="B1942:C1944"/>
    <mergeCell ref="B1965:C1967"/>
    <mergeCell ref="C1968:E1968"/>
    <mergeCell ref="D1944:F1944"/>
    <mergeCell ref="C1946:E1946"/>
    <mergeCell ref="B1959:B1961"/>
    <mergeCell ref="B1948:B1950"/>
    <mergeCell ref="B1962:B1964"/>
    <mergeCell ref="B1973:B1975"/>
    <mergeCell ref="B1470:B1471"/>
    <mergeCell ref="B1497:B1498"/>
    <mergeCell ref="D1480:F1480"/>
    <mergeCell ref="H2328:H2329"/>
    <mergeCell ref="B2350:B2351"/>
    <mergeCell ref="B2348:B2349"/>
    <mergeCell ref="D2344:F2344"/>
    <mergeCell ref="C2346:E2346"/>
    <mergeCell ref="D2334:F2334"/>
    <mergeCell ref="B2342:C2344"/>
    <mergeCell ref="B2320:B2321"/>
    <mergeCell ref="C2356:E2356"/>
    <mergeCell ref="D2363:F2363"/>
    <mergeCell ref="B2352:C2354"/>
    <mergeCell ref="B2332:C2334"/>
    <mergeCell ref="B2408:B2409"/>
    <mergeCell ref="D2343:F2343"/>
    <mergeCell ref="D2333:F2333"/>
    <mergeCell ref="D2392:F2392"/>
    <mergeCell ref="D2382:F2382"/>
    <mergeCell ref="D2354:F2354"/>
    <mergeCell ref="B2378:B2379"/>
    <mergeCell ref="D2362:F2362"/>
    <mergeCell ref="D2403:F2403"/>
    <mergeCell ref="D2373:F2373"/>
    <mergeCell ref="C2376:E2376"/>
    <mergeCell ref="D2504:F2504"/>
    <mergeCell ref="B2480:B2481"/>
    <mergeCell ref="B2478:B2479"/>
    <mergeCell ref="C2476:E2476"/>
    <mergeCell ref="D2503:F2503"/>
    <mergeCell ref="C2436:E2436"/>
    <mergeCell ref="C2486:E2486"/>
    <mergeCell ref="D2452:F2452"/>
    <mergeCell ref="D2462:F2462"/>
    <mergeCell ref="D2441:F2441"/>
    <mergeCell ref="B2431:C2433"/>
    <mergeCell ref="B2458:B2459"/>
    <mergeCell ref="D2461:F2461"/>
    <mergeCell ref="D2431:F2431"/>
    <mergeCell ref="C2456:E2456"/>
    <mergeCell ref="B2492:C2494"/>
    <mergeCell ref="B2490:B2491"/>
    <mergeCell ref="D2443:F2443"/>
    <mergeCell ref="C2466:E2466"/>
    <mergeCell ref="D2483:F2483"/>
    <mergeCell ref="D2433:F2433"/>
    <mergeCell ref="D2432:F2432"/>
    <mergeCell ref="C2497:E2497"/>
    <mergeCell ref="B2499:B2500"/>
    <mergeCell ref="B2503:C2505"/>
    <mergeCell ref="D2537:F2537"/>
    <mergeCell ref="B2515:C2517"/>
    <mergeCell ref="D2516:F2516"/>
    <mergeCell ref="D2536:F2536"/>
    <mergeCell ref="B2522:B2523"/>
    <mergeCell ref="D2515:F2515"/>
    <mergeCell ref="D2648:F2648"/>
    <mergeCell ref="D2527:F2527"/>
    <mergeCell ref="B2532:B2533"/>
    <mergeCell ref="D2535:F2535"/>
    <mergeCell ref="D2566:F2566"/>
    <mergeCell ref="D2556:F2556"/>
    <mergeCell ref="B2554:C2556"/>
    <mergeCell ref="B2581:B2582"/>
    <mergeCell ref="B2525:C2527"/>
    <mergeCell ref="D2641:F2641"/>
    <mergeCell ref="D2640:F2640"/>
    <mergeCell ref="D2526:F2526"/>
    <mergeCell ref="D3133:F3133"/>
    <mergeCell ref="D3120:F3120"/>
    <mergeCell ref="D3134:F3134"/>
    <mergeCell ref="B3114:B3118"/>
    <mergeCell ref="D3105:F3105"/>
    <mergeCell ref="C3110:E3110"/>
    <mergeCell ref="B3082:C3084"/>
    <mergeCell ref="B3090:B3092"/>
    <mergeCell ref="B3151:B3152"/>
    <mergeCell ref="D3119:F3119"/>
    <mergeCell ref="D3207:F3207"/>
    <mergeCell ref="B3198:C3200"/>
    <mergeCell ref="C3190:E3190"/>
    <mergeCell ref="C3149:E3149"/>
    <mergeCell ref="B3120:C3122"/>
    <mergeCell ref="C3204:E3204"/>
    <mergeCell ref="D3146:F3146"/>
    <mergeCell ref="D3163:F3163"/>
    <mergeCell ref="B3112:B3113"/>
    <mergeCell ref="B3129:B3132"/>
    <mergeCell ref="C3125:E3125"/>
    <mergeCell ref="B3179:B3180"/>
    <mergeCell ref="D3187:F3187"/>
    <mergeCell ref="D3172:F3172"/>
    <mergeCell ref="H3141:H3142"/>
    <mergeCell ref="H3151:H3152"/>
    <mergeCell ref="C3177:E3177"/>
    <mergeCell ref="D3165:F3165"/>
    <mergeCell ref="C3157:E3157"/>
    <mergeCell ref="B3163:C3165"/>
    <mergeCell ref="D3144:F3144"/>
    <mergeCell ref="D3238:F3238"/>
    <mergeCell ref="B3259:C3261"/>
    <mergeCell ref="C3254:E3254"/>
    <mergeCell ref="D3261:F3261"/>
    <mergeCell ref="H3159:H3160"/>
    <mergeCell ref="D3210:F3210"/>
    <mergeCell ref="D3220:F3220"/>
    <mergeCell ref="D3219:F3219"/>
    <mergeCell ref="A3252:H3252"/>
    <mergeCell ref="A3203:H3203"/>
    <mergeCell ref="H3192:H3193"/>
    <mergeCell ref="B3159:B3160"/>
    <mergeCell ref="D3156:F3156"/>
    <mergeCell ref="D3229:F3229"/>
    <mergeCell ref="C3214:E3214"/>
    <mergeCell ref="B3154:C3156"/>
    <mergeCell ref="B3186:C3188"/>
    <mergeCell ref="B3208:C3210"/>
    <mergeCell ref="D3208:F3208"/>
    <mergeCell ref="D3209:F3209"/>
    <mergeCell ref="D3259:F3259"/>
    <mergeCell ref="D3250:F3250"/>
    <mergeCell ref="D3218:F3218"/>
    <mergeCell ref="D3230:F3230"/>
    <mergeCell ref="C3223:E3223"/>
    <mergeCell ref="D3121:F3121"/>
    <mergeCell ref="D3106:F3106"/>
    <mergeCell ref="D3136:F3136"/>
    <mergeCell ref="C3263:E3263"/>
    <mergeCell ref="D3239:F3239"/>
    <mergeCell ref="D3356:F3356"/>
    <mergeCell ref="D3354:F3354"/>
    <mergeCell ref="D3363:F3363"/>
    <mergeCell ref="D3260:F3260"/>
    <mergeCell ref="B3407:C3409"/>
    <mergeCell ref="D3407:F3407"/>
    <mergeCell ref="D3408:F3408"/>
    <mergeCell ref="D3409:F3409"/>
    <mergeCell ref="B3360:B3361"/>
    <mergeCell ref="B3363:C3365"/>
    <mergeCell ref="D3228:F3228"/>
    <mergeCell ref="D3240:F3240"/>
    <mergeCell ref="B3228:C3230"/>
    <mergeCell ref="D3198:F3198"/>
    <mergeCell ref="C3272:E3272"/>
    <mergeCell ref="B3192:B3193"/>
    <mergeCell ref="D3248:F3248"/>
    <mergeCell ref="D3199:F3199"/>
    <mergeCell ref="C3233:E3233"/>
    <mergeCell ref="B3141:B3142"/>
    <mergeCell ref="C3340:E3340"/>
    <mergeCell ref="C3358:E3358"/>
    <mergeCell ref="B3127:B3128"/>
    <mergeCell ref="C3139:E3139"/>
    <mergeCell ref="D3122:F3122"/>
    <mergeCell ref="C3243:E3243"/>
    <mergeCell ref="B3134:C3136"/>
    <mergeCell ref="B3172:C3174"/>
    <mergeCell ref="D3155:F3155"/>
    <mergeCell ref="D3373:F3373"/>
    <mergeCell ref="C3401:E3401"/>
    <mergeCell ref="B3372:C3374"/>
    <mergeCell ref="B3377:B3378"/>
    <mergeCell ref="B3238:C3240"/>
    <mergeCell ref="B3169:B3170"/>
    <mergeCell ref="D3249:F3249"/>
    <mergeCell ref="B3218:C3220"/>
    <mergeCell ref="B3351:B3352"/>
    <mergeCell ref="D3338:F3338"/>
    <mergeCell ref="C3349:E3349"/>
    <mergeCell ref="D3347:F3347"/>
    <mergeCell ref="B3345:C3347"/>
    <mergeCell ref="D3345:F3345"/>
    <mergeCell ref="D3346:F3346"/>
    <mergeCell ref="B3337:C3339"/>
    <mergeCell ref="D3339:F3339"/>
    <mergeCell ref="B3342:B3343"/>
    <mergeCell ref="D3318:F3318"/>
    <mergeCell ref="D3327:F3327"/>
    <mergeCell ref="D3329:F3329"/>
    <mergeCell ref="B3316:C3318"/>
    <mergeCell ref="B3334:B3335"/>
    <mergeCell ref="D3328:F3328"/>
    <mergeCell ref="B3324:B3325"/>
    <mergeCell ref="C3332:E3332"/>
    <mergeCell ref="B3327:C3329"/>
    <mergeCell ref="B3093:C3095"/>
    <mergeCell ref="D3072:F3072"/>
    <mergeCell ref="C3367:E3367"/>
    <mergeCell ref="B3369:B3370"/>
    <mergeCell ref="D3365:F3365"/>
    <mergeCell ref="D3307:F3307"/>
    <mergeCell ref="D3364:F3364"/>
    <mergeCell ref="B3248:C3250"/>
    <mergeCell ref="C3291:E3291"/>
    <mergeCell ref="B3306:C3308"/>
    <mergeCell ref="C3311:E3311"/>
    <mergeCell ref="D3135:F3135"/>
    <mergeCell ref="B3034:C3036"/>
    <mergeCell ref="D3056:F3056"/>
    <mergeCell ref="B3041:C3043"/>
    <mergeCell ref="B3303:B3304"/>
    <mergeCell ref="D3278:F3278"/>
    <mergeCell ref="D3286:F3286"/>
    <mergeCell ref="B3256:B3257"/>
    <mergeCell ref="C3281:E3281"/>
    <mergeCell ref="D3095:F3095"/>
    <mergeCell ref="B3103:B3104"/>
    <mergeCell ref="D3104:F3104"/>
    <mergeCell ref="B3101:B3102"/>
    <mergeCell ref="D3084:F3084"/>
    <mergeCell ref="D3083:F3083"/>
    <mergeCell ref="D3164:F3164"/>
    <mergeCell ref="D3188:F3188"/>
    <mergeCell ref="C3167:E3167"/>
    <mergeCell ref="D3154:F3154"/>
    <mergeCell ref="D3173:F3173"/>
    <mergeCell ref="D3186:F3186"/>
    <mergeCell ref="B2428:B2429"/>
    <mergeCell ref="B2561:B2562"/>
    <mergeCell ref="B2544:C2546"/>
    <mergeCell ref="B2658:C2660"/>
    <mergeCell ref="B2639:C2641"/>
    <mergeCell ref="D2564:F2564"/>
    <mergeCell ref="D2545:F2545"/>
    <mergeCell ref="B2438:B2439"/>
    <mergeCell ref="B2441:C2443"/>
    <mergeCell ref="B2448:B2449"/>
    <mergeCell ref="C3086:E3086"/>
    <mergeCell ref="D2990:F2990"/>
    <mergeCell ref="D3014:F3014"/>
    <mergeCell ref="D3036:F3036"/>
    <mergeCell ref="C3038:E3038"/>
    <mergeCell ref="D3033:F3033"/>
    <mergeCell ref="D3034:F3034"/>
    <mergeCell ref="C2994:E2994"/>
    <mergeCell ref="D2649:F2649"/>
    <mergeCell ref="D2924:F2924"/>
    <mergeCell ref="C2559:E2559"/>
    <mergeCell ref="C3045:E3045"/>
    <mergeCell ref="B3063:C3065"/>
    <mergeCell ref="C3059:E3059"/>
    <mergeCell ref="D3063:F3063"/>
    <mergeCell ref="D3050:F3050"/>
    <mergeCell ref="D3055:F3055"/>
    <mergeCell ref="B3080:B3081"/>
    <mergeCell ref="B3048:C3050"/>
    <mergeCell ref="C2508:E2508"/>
    <mergeCell ref="B2541:B2542"/>
    <mergeCell ref="B2535:C2537"/>
    <mergeCell ref="D1976:F1976"/>
    <mergeCell ref="D1942:F1942"/>
    <mergeCell ref="D1943:F1943"/>
    <mergeCell ref="D1956:F1956"/>
    <mergeCell ref="D766:F766"/>
    <mergeCell ref="B2360:B2361"/>
    <mergeCell ref="C1981:E1981"/>
    <mergeCell ref="B1983:B1984"/>
    <mergeCell ref="B1985:B1988"/>
    <mergeCell ref="B1989:C1991"/>
    <mergeCell ref="D1989:F1989"/>
    <mergeCell ref="D1990:F1990"/>
    <mergeCell ref="C1993:E1993"/>
    <mergeCell ref="B1995:B1996"/>
    <mergeCell ref="B1997:B2000"/>
    <mergeCell ref="D1991:F1991"/>
    <mergeCell ref="D2421:F2421"/>
    <mergeCell ref="C2336:E2336"/>
    <mergeCell ref="C2367:E2367"/>
    <mergeCell ref="D2401:F2401"/>
    <mergeCell ref="B2362:C2364"/>
    <mergeCell ref="D2364:F2364"/>
    <mergeCell ref="B2369:B2370"/>
    <mergeCell ref="D2342:F2342"/>
    <mergeCell ref="B1439:B1440"/>
    <mergeCell ref="C2406:E2406"/>
    <mergeCell ref="D1977:F1977"/>
    <mergeCell ref="D2046:F2046"/>
    <mergeCell ref="D2035:F2035"/>
    <mergeCell ref="C2038:E2038"/>
    <mergeCell ref="D2044:F2044"/>
    <mergeCell ref="D2054:F2054"/>
    <mergeCell ref="D3355:F3355"/>
    <mergeCell ref="C3375:E3375"/>
    <mergeCell ref="D3316:F3316"/>
    <mergeCell ref="D3317:F3317"/>
    <mergeCell ref="B3313:B3314"/>
    <mergeCell ref="D3372:F3372"/>
    <mergeCell ref="D3308:F3308"/>
    <mergeCell ref="D3374:F3374"/>
    <mergeCell ref="D3337:F3337"/>
    <mergeCell ref="B2998:C3000"/>
    <mergeCell ref="B1976:C1978"/>
    <mergeCell ref="D2850:F2850"/>
    <mergeCell ref="D2951:F2951"/>
    <mergeCell ref="C2643:E2643"/>
    <mergeCell ref="D2639:F2639"/>
    <mergeCell ref="D2931:F2931"/>
    <mergeCell ref="D2372:F2372"/>
    <mergeCell ref="B2001:C2003"/>
    <mergeCell ref="D2001:F2001"/>
    <mergeCell ref="D2914:F2914"/>
    <mergeCell ref="B2958:C2960"/>
    <mergeCell ref="B2920:B2921"/>
    <mergeCell ref="C3004:E3004"/>
    <mergeCell ref="D3082:F3082"/>
    <mergeCell ref="D3094:F3094"/>
    <mergeCell ref="D2983:F2983"/>
    <mergeCell ref="D3009:F3009"/>
    <mergeCell ref="D3043:F3043"/>
    <mergeCell ref="C3018:E3018"/>
    <mergeCell ref="D3024:F3024"/>
    <mergeCell ref="D3025:F3025"/>
    <mergeCell ref="B2914:C2916"/>
    <mergeCell ref="D3463:F3463"/>
    <mergeCell ref="D3464:F3464"/>
    <mergeCell ref="D2002:F2002"/>
    <mergeCell ref="D2003:F2003"/>
    <mergeCell ref="D3390:F3390"/>
    <mergeCell ref="D3391:F3391"/>
    <mergeCell ref="B3380:C3382"/>
    <mergeCell ref="D3380:F3380"/>
    <mergeCell ref="D3381:F3381"/>
    <mergeCell ref="D3382:F3382"/>
    <mergeCell ref="C3393:E3393"/>
    <mergeCell ref="B3395:B3396"/>
    <mergeCell ref="C3384:E3384"/>
    <mergeCell ref="B3386:B3387"/>
    <mergeCell ref="B3398:C3400"/>
    <mergeCell ref="D3398:F3398"/>
    <mergeCell ref="D3399:F3399"/>
    <mergeCell ref="D3400:F3400"/>
    <mergeCell ref="B3389:C3391"/>
    <mergeCell ref="D3389:F3389"/>
    <mergeCell ref="B3414:B3415"/>
    <mergeCell ref="B3296:C3298"/>
    <mergeCell ref="C3322:E3322"/>
    <mergeCell ref="B3354:C3356"/>
    <mergeCell ref="D3287:F3287"/>
    <mergeCell ref="C3301:E3301"/>
    <mergeCell ref="B3286:C3288"/>
    <mergeCell ref="B3293:B3294"/>
    <mergeCell ref="D3298:F3298"/>
    <mergeCell ref="D3296:F3296"/>
    <mergeCell ref="D3288:F3288"/>
    <mergeCell ref="D3306:F3306"/>
    <mergeCell ref="B147:C149"/>
    <mergeCell ref="D147:F147"/>
    <mergeCell ref="D148:F148"/>
    <mergeCell ref="D149:F149"/>
    <mergeCell ref="D1167:F1167"/>
    <mergeCell ref="D1166:F1166"/>
    <mergeCell ref="D1165:F1165"/>
    <mergeCell ref="D735:F735"/>
    <mergeCell ref="D744:F744"/>
    <mergeCell ref="B3412:H3412"/>
    <mergeCell ref="B3411:H3411"/>
    <mergeCell ref="B3405:B3406"/>
    <mergeCell ref="B3403:B3404"/>
    <mergeCell ref="B3469:H3469"/>
    <mergeCell ref="B3430:B3433"/>
    <mergeCell ref="B3428:B3429"/>
    <mergeCell ref="B3426:H3426"/>
    <mergeCell ref="B3425:H3425"/>
    <mergeCell ref="C3468:E3468"/>
    <mergeCell ref="C3440:E3440"/>
    <mergeCell ref="B3442:B3444"/>
    <mergeCell ref="B3445:B3447"/>
    <mergeCell ref="B3448:C3450"/>
    <mergeCell ref="D3448:F3448"/>
    <mergeCell ref="D3449:F3449"/>
    <mergeCell ref="D3450:F3450"/>
    <mergeCell ref="B3416:B3419"/>
    <mergeCell ref="C3454:E3454"/>
    <mergeCell ref="B3456:B3457"/>
    <mergeCell ref="B3458:B3461"/>
    <mergeCell ref="B3462:C3464"/>
    <mergeCell ref="D3462:F3462"/>
  </mergeCells>
  <phoneticPr fontId="2" type="noConversion"/>
  <conditionalFormatting sqref="B2173 B2183 B2204 B2224 B2245:B2246">
    <cfRule type="cellIs" dxfId="1" priority="3" stopIfTrue="1" operator="notEqual">
      <formula>0</formula>
    </cfRule>
  </conditionalFormatting>
  <conditionalFormatting sqref="C2183">
    <cfRule type="expression" dxfId="0" priority="2" stopIfTrue="1">
      <formula>B2183&lt;&gt;0</formula>
    </cfRule>
  </conditionalFormatting>
  <printOptions horizontalCentered="1"/>
  <pageMargins left="0.23622047244094499" right="0.23622047244094499" top="0.74803149606299202" bottom="0.74803149606299202" header="0.31496062992126" footer="0.31496062992126"/>
  <pageSetup paperSize="9" scale="89" orientation="portrait" verticalDpi="2400" r:id="rId1"/>
  <headerFooter alignWithMargins="0">
    <oddHeader>&amp;CJEETPURSIMARA SUB-METROPOLITAN CITY
OFFICE OF THE MUNICIPAL EXECUTIVE
JEETPUR BARA,MADHESH PRADESH &amp;RPage &amp;P of &amp;N</oddHeader>
  </headerFooter>
  <rowBreaks count="48" manualBreakCount="48">
    <brk id="45" max="8" man="1"/>
    <brk id="84" max="8" man="1"/>
    <brk id="134" max="8" man="1"/>
    <brk id="239" max="8" man="1"/>
    <brk id="401" max="8" man="1"/>
    <brk id="457" max="8" man="1"/>
    <brk id="510" max="8" man="1"/>
    <brk id="560" max="8" man="1"/>
    <brk id="610" max="8" man="1"/>
    <brk id="664" max="8" man="1"/>
    <brk id="713" max="8" man="1"/>
    <brk id="767" max="8" man="1"/>
    <brk id="816" max="8" man="1"/>
    <brk id="859" max="8" man="1"/>
    <brk id="909" max="8" man="1"/>
    <brk id="953" max="8" man="1"/>
    <brk id="1000" max="8" man="1"/>
    <brk id="1046" max="8" man="1"/>
    <brk id="1095" max="8" man="1"/>
    <brk id="1143" max="8" man="1"/>
    <brk id="1248" max="8" man="1"/>
    <brk id="1302" max="8" man="1"/>
    <brk id="1351" max="8" man="1"/>
    <brk id="1394" max="8" man="1"/>
    <brk id="1436" max="8" man="1"/>
    <brk id="1578" max="8" man="1"/>
    <brk id="1676" max="8" man="1"/>
    <brk id="1726" max="8" man="1"/>
    <brk id="1883" max="8" man="1"/>
    <brk id="1933" max="8" man="1"/>
    <brk id="2152" max="8" man="1"/>
    <brk id="2204" max="8" man="1"/>
    <brk id="2256" max="8" man="1"/>
    <brk id="2365" max="8" man="1"/>
    <brk id="2415" max="8" man="1"/>
    <brk id="2465" max="8" man="1"/>
    <brk id="2518" max="8" man="1"/>
    <brk id="2575" max="8" man="1"/>
    <brk id="2739" max="8" man="1"/>
    <brk id="2796" max="8" man="1"/>
    <brk id="2844" max="8" man="1"/>
    <brk id="2944" max="8" man="1"/>
    <brk id="2993" max="8" man="1"/>
    <brk id="3085" max="8" man="1"/>
    <brk id="3175" max="8" man="1"/>
    <brk id="3262" max="8" man="1"/>
    <brk id="3374" max="8" man="1"/>
    <brk id="3466" max="8" man="1"/>
  </rowBreaks>
  <ignoredErrors>
    <ignoredError sqref="F1320 F1414 F1499 G2991 G2999 G2983 G2959 G2967 G2877 G2974 F914 F218 F220 F555 F657 F787 F822 F989 F987 F1922 F1924 F1928 F1428 F1760 F1808 F1830 F1840 G1863 G1871 F410" formula="1"/>
    <ignoredError sqref="G122:G123" evalError="1"/>
    <ignoredError sqref="G124:G125" evalError="1"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B0CA-021D-4595-8B03-3E1426490A7F}">
  <sheetPr>
    <tabColor rgb="FF7030A0"/>
  </sheetPr>
  <dimension ref="A1:J140"/>
  <sheetViews>
    <sheetView view="pageBreakPreview" topLeftCell="A13" zoomScale="145" zoomScaleNormal="120" zoomScaleSheetLayoutView="145" workbookViewId="0">
      <selection activeCell="F11" sqref="F11"/>
    </sheetView>
  </sheetViews>
  <sheetFormatPr defaultRowHeight="13.2"/>
  <cols>
    <col min="1" max="1" width="9.5546875" customWidth="1"/>
    <col min="2" max="2" width="42.109375" customWidth="1"/>
    <col min="3" max="3" width="12.109375" bestFit="1" customWidth="1"/>
    <col min="4" max="5" width="12.109375" style="237" hidden="1" customWidth="1"/>
    <col min="6" max="6" width="12.109375" style="237" customWidth="1"/>
    <col min="7" max="7" width="11" customWidth="1"/>
  </cols>
  <sheetData>
    <row r="1" spans="1:10" s="217" customFormat="1" ht="17.399999999999999">
      <c r="A1" s="994" t="s">
        <v>825</v>
      </c>
      <c r="B1" s="994"/>
      <c r="C1" s="994"/>
      <c r="D1" s="994"/>
      <c r="E1" s="994"/>
      <c r="F1" s="994"/>
      <c r="G1" s="994"/>
      <c r="H1" s="212"/>
      <c r="I1" s="212"/>
      <c r="J1" s="212"/>
    </row>
    <row r="2" spans="1:10" s="323" customFormat="1" ht="43.5" customHeight="1">
      <c r="A2" s="336" t="s">
        <v>1204</v>
      </c>
      <c r="B2" s="336" t="s">
        <v>1205</v>
      </c>
      <c r="C2" s="336" t="s">
        <v>1206</v>
      </c>
      <c r="D2" s="336"/>
      <c r="E2" s="336"/>
      <c r="F2" s="336" t="s">
        <v>1649</v>
      </c>
      <c r="G2" s="336" t="s">
        <v>1207</v>
      </c>
    </row>
    <row r="3" spans="1:10" s="217" customFormat="1" ht="17.55" customHeight="1">
      <c r="A3" s="220">
        <v>1</v>
      </c>
      <c r="B3" s="221" t="s">
        <v>826</v>
      </c>
      <c r="C3" s="222" t="s">
        <v>827</v>
      </c>
      <c r="D3" s="223">
        <v>600</v>
      </c>
      <c r="E3" s="223">
        <v>650</v>
      </c>
      <c r="F3" s="337">
        <v>870</v>
      </c>
      <c r="G3" s="223"/>
      <c r="H3" s="224"/>
      <c r="I3" s="212"/>
      <c r="J3" s="212"/>
    </row>
    <row r="4" spans="1:10" s="217" customFormat="1" ht="17.55" customHeight="1">
      <c r="A4" s="220">
        <v>2</v>
      </c>
      <c r="B4" s="221" t="s">
        <v>828</v>
      </c>
      <c r="C4" s="222" t="s">
        <v>827</v>
      </c>
      <c r="D4" s="223">
        <v>600</v>
      </c>
      <c r="E4" s="223">
        <v>650</v>
      </c>
      <c r="F4" s="337">
        <f>F3</f>
        <v>870</v>
      </c>
      <c r="G4" s="221"/>
      <c r="H4" s="224"/>
      <c r="I4" s="212"/>
      <c r="J4" s="212"/>
    </row>
    <row r="5" spans="1:10" s="219" customFormat="1" ht="30">
      <c r="A5" s="264">
        <v>3</v>
      </c>
      <c r="B5" s="225" t="s">
        <v>829</v>
      </c>
      <c r="C5" s="226" t="s">
        <v>827</v>
      </c>
      <c r="D5" s="227">
        <v>860</v>
      </c>
      <c r="E5" s="227">
        <v>940</v>
      </c>
      <c r="F5" s="338">
        <v>1200</v>
      </c>
      <c r="G5" s="228" t="s">
        <v>931</v>
      </c>
      <c r="H5" s="265"/>
      <c r="I5" s="218"/>
      <c r="J5" s="218"/>
    </row>
    <row r="6" spans="1:10" s="219" customFormat="1" ht="47.25" customHeight="1">
      <c r="A6" s="264">
        <v>4</v>
      </c>
      <c r="B6" s="225" t="s">
        <v>830</v>
      </c>
      <c r="C6" s="226" t="s">
        <v>827</v>
      </c>
      <c r="D6" s="227">
        <v>735</v>
      </c>
      <c r="E6" s="227">
        <v>800</v>
      </c>
      <c r="F6" s="338">
        <v>940</v>
      </c>
      <c r="G6" s="228"/>
      <c r="H6" s="265"/>
      <c r="I6" s="218"/>
      <c r="J6" s="218"/>
    </row>
    <row r="7" spans="1:10" s="217" customFormat="1" ht="17.55" customHeight="1">
      <c r="A7" s="220">
        <v>5</v>
      </c>
      <c r="B7" s="221" t="s">
        <v>831</v>
      </c>
      <c r="C7" s="229" t="s">
        <v>827</v>
      </c>
      <c r="D7" s="223">
        <v>600</v>
      </c>
      <c r="E7" s="223">
        <v>800</v>
      </c>
      <c r="F7" s="337">
        <v>675</v>
      </c>
      <c r="G7" s="221"/>
      <c r="H7" s="224"/>
      <c r="I7" s="212"/>
      <c r="J7" s="212"/>
    </row>
    <row r="8" spans="1:10" s="217" customFormat="1" ht="17.55" customHeight="1">
      <c r="A8" s="220">
        <v>6</v>
      </c>
      <c r="B8" s="221" t="s">
        <v>832</v>
      </c>
      <c r="C8" s="229" t="s">
        <v>827</v>
      </c>
      <c r="D8" s="223">
        <v>600</v>
      </c>
      <c r="E8" s="223">
        <v>800</v>
      </c>
      <c r="F8" s="337"/>
      <c r="G8" s="221"/>
      <c r="H8" s="224"/>
      <c r="I8" s="212"/>
      <c r="J8" s="212"/>
    </row>
    <row r="9" spans="1:10" s="217" customFormat="1" ht="17.55" customHeight="1">
      <c r="A9" s="220">
        <v>7</v>
      </c>
      <c r="B9" s="221" t="s">
        <v>833</v>
      </c>
      <c r="C9" s="229" t="s">
        <v>827</v>
      </c>
      <c r="D9" s="223">
        <v>625</v>
      </c>
      <c r="E9" s="223">
        <v>800</v>
      </c>
      <c r="F9" s="223"/>
      <c r="G9" s="221"/>
      <c r="H9" s="224"/>
      <c r="I9" s="212"/>
      <c r="J9" s="212"/>
    </row>
    <row r="10" spans="1:10" s="217" customFormat="1" ht="17.55" customHeight="1">
      <c r="A10" s="220">
        <v>8</v>
      </c>
      <c r="B10" s="221" t="s">
        <v>834</v>
      </c>
      <c r="C10" s="229" t="s">
        <v>827</v>
      </c>
      <c r="D10" s="223">
        <v>580</v>
      </c>
      <c r="E10" s="223">
        <v>650</v>
      </c>
      <c r="F10" s="337">
        <v>710</v>
      </c>
      <c r="G10" s="221"/>
      <c r="H10" s="224"/>
      <c r="I10" s="212"/>
      <c r="J10" s="212"/>
    </row>
    <row r="11" spans="1:10" s="217" customFormat="1" ht="17.55" customHeight="1">
      <c r="A11" s="220">
        <v>9</v>
      </c>
      <c r="B11" s="221" t="s">
        <v>835</v>
      </c>
      <c r="C11" s="229" t="s">
        <v>827</v>
      </c>
      <c r="D11" s="223">
        <v>370</v>
      </c>
      <c r="E11" s="223">
        <v>450</v>
      </c>
      <c r="F11" s="337">
        <v>710</v>
      </c>
      <c r="G11" s="221"/>
      <c r="H11" s="224"/>
      <c r="I11" s="212"/>
      <c r="J11" s="212"/>
    </row>
    <row r="12" spans="1:10" s="217" customFormat="1" ht="17.55" customHeight="1">
      <c r="A12" s="220">
        <v>10</v>
      </c>
      <c r="B12" s="221" t="s">
        <v>836</v>
      </c>
      <c r="C12" s="229" t="s">
        <v>827</v>
      </c>
      <c r="D12" s="223">
        <v>630</v>
      </c>
      <c r="E12" s="223">
        <v>800</v>
      </c>
      <c r="F12" s="223" t="s">
        <v>707</v>
      </c>
      <c r="G12" s="221"/>
      <c r="H12" s="224"/>
      <c r="I12" s="212"/>
      <c r="J12" s="212"/>
    </row>
    <row r="13" spans="1:10" s="217" customFormat="1" ht="15" customHeight="1">
      <c r="A13" s="220">
        <v>11</v>
      </c>
      <c r="B13" s="221" t="s">
        <v>837</v>
      </c>
      <c r="C13" s="229" t="s">
        <v>827</v>
      </c>
      <c r="D13" s="223">
        <v>400</v>
      </c>
      <c r="E13" s="223">
        <v>650</v>
      </c>
      <c r="F13" s="223"/>
      <c r="G13" s="221"/>
      <c r="H13" s="224"/>
      <c r="I13" s="224"/>
      <c r="J13" s="212"/>
    </row>
    <row r="14" spans="1:10" s="217" customFormat="1" ht="15" customHeight="1">
      <c r="A14" s="220">
        <v>12</v>
      </c>
      <c r="B14" s="221" t="s">
        <v>838</v>
      </c>
      <c r="C14" s="229" t="s">
        <v>827</v>
      </c>
      <c r="D14" s="223">
        <v>450</v>
      </c>
      <c r="E14" s="223">
        <v>650</v>
      </c>
      <c r="F14" s="223"/>
      <c r="G14" s="221"/>
      <c r="H14" s="224"/>
      <c r="I14" s="224"/>
      <c r="J14" s="212"/>
    </row>
    <row r="15" spans="1:10" s="217" customFormat="1" ht="15" customHeight="1">
      <c r="A15" s="220">
        <v>13</v>
      </c>
      <c r="B15" s="221" t="s">
        <v>839</v>
      </c>
      <c r="C15" s="229" t="s">
        <v>827</v>
      </c>
      <c r="D15" s="223">
        <v>550</v>
      </c>
      <c r="E15" s="223">
        <v>650</v>
      </c>
      <c r="F15" s="223"/>
      <c r="G15" s="221"/>
      <c r="H15" s="224"/>
      <c r="I15" s="212"/>
      <c r="J15" s="212"/>
    </row>
    <row r="16" spans="1:10" s="219" customFormat="1" ht="30" customHeight="1">
      <c r="A16" s="220">
        <v>14</v>
      </c>
      <c r="B16" s="225" t="s">
        <v>840</v>
      </c>
      <c r="C16" s="226" t="s">
        <v>827</v>
      </c>
      <c r="D16" s="227">
        <v>550</v>
      </c>
      <c r="E16" s="227">
        <v>800</v>
      </c>
      <c r="F16" s="223"/>
      <c r="G16" s="228"/>
      <c r="H16" s="224"/>
      <c r="I16" s="218"/>
      <c r="J16" s="218"/>
    </row>
    <row r="17" spans="1:10" s="217" customFormat="1" ht="17.55" customHeight="1">
      <c r="A17" s="220">
        <v>15</v>
      </c>
      <c r="B17" s="221" t="s">
        <v>841</v>
      </c>
      <c r="C17" s="229" t="s">
        <v>827</v>
      </c>
      <c r="D17" s="223">
        <v>600</v>
      </c>
      <c r="E17" s="223">
        <v>800</v>
      </c>
      <c r="F17" s="223">
        <v>1100</v>
      </c>
      <c r="G17" s="221"/>
      <c r="H17" s="224"/>
      <c r="I17" s="212"/>
      <c r="J17" s="212"/>
    </row>
    <row r="18" spans="1:10" s="217" customFormat="1" ht="17.55" customHeight="1">
      <c r="A18" s="220">
        <v>16</v>
      </c>
      <c r="B18" s="221" t="s">
        <v>842</v>
      </c>
      <c r="C18" s="229" t="s">
        <v>827</v>
      </c>
      <c r="D18" s="223">
        <v>525</v>
      </c>
      <c r="E18" s="223">
        <v>650</v>
      </c>
      <c r="F18" s="223"/>
      <c r="G18" s="221"/>
      <c r="H18" s="224"/>
      <c r="I18" s="212"/>
      <c r="J18" s="212"/>
    </row>
    <row r="19" spans="1:10" s="217" customFormat="1" ht="17.55" customHeight="1">
      <c r="A19" s="220">
        <v>17</v>
      </c>
      <c r="B19" s="221" t="s">
        <v>843</v>
      </c>
      <c r="C19" s="229" t="s">
        <v>827</v>
      </c>
      <c r="D19" s="223">
        <v>575</v>
      </c>
      <c r="E19" s="223">
        <v>650</v>
      </c>
      <c r="F19" s="223"/>
      <c r="G19" s="221"/>
      <c r="H19" s="224"/>
      <c r="I19" s="212"/>
      <c r="J19" s="212"/>
    </row>
    <row r="20" spans="1:10" s="217" customFormat="1" ht="17.55" customHeight="1">
      <c r="A20" s="220">
        <v>18</v>
      </c>
      <c r="B20" s="221" t="s">
        <v>844</v>
      </c>
      <c r="C20" s="229" t="s">
        <v>827</v>
      </c>
      <c r="D20" s="223">
        <v>600</v>
      </c>
      <c r="E20" s="223">
        <v>800</v>
      </c>
      <c r="F20" s="223"/>
      <c r="G20" s="221"/>
      <c r="H20" s="224"/>
      <c r="I20" s="212"/>
      <c r="J20" s="212"/>
    </row>
    <row r="21" spans="1:10" s="217" customFormat="1" ht="17.55" hidden="1" customHeight="1">
      <c r="A21" s="220">
        <v>19</v>
      </c>
      <c r="B21" s="221" t="s">
        <v>845</v>
      </c>
      <c r="C21" s="229" t="s">
        <v>827</v>
      </c>
      <c r="D21" s="223">
        <v>630</v>
      </c>
      <c r="E21" s="223">
        <v>800</v>
      </c>
      <c r="F21" s="223"/>
      <c r="G21" s="221"/>
      <c r="H21" s="224"/>
      <c r="I21" s="212"/>
      <c r="J21" s="212"/>
    </row>
    <row r="22" spans="1:10" s="217" customFormat="1" ht="17.55" hidden="1" customHeight="1">
      <c r="A22" s="220">
        <v>20</v>
      </c>
      <c r="B22" s="221" t="s">
        <v>846</v>
      </c>
      <c r="C22" s="229" t="s">
        <v>827</v>
      </c>
      <c r="D22" s="223">
        <v>550</v>
      </c>
      <c r="E22" s="223">
        <v>650</v>
      </c>
      <c r="F22" s="223"/>
      <c r="G22" s="221"/>
      <c r="H22" s="224"/>
      <c r="I22" s="212"/>
      <c r="J22" s="212"/>
    </row>
    <row r="23" spans="1:10" s="217" customFormat="1" ht="17.55" hidden="1" customHeight="1">
      <c r="A23" s="220">
        <v>21</v>
      </c>
      <c r="B23" s="221" t="s">
        <v>847</v>
      </c>
      <c r="C23" s="229" t="s">
        <v>827</v>
      </c>
      <c r="D23" s="223">
        <v>600</v>
      </c>
      <c r="E23" s="223">
        <v>800</v>
      </c>
      <c r="F23" s="223"/>
      <c r="G23" s="221"/>
      <c r="H23" s="224"/>
      <c r="I23" s="212"/>
      <c r="J23" s="212"/>
    </row>
    <row r="24" spans="1:10" s="217" customFormat="1" ht="15.75" hidden="1" customHeight="1">
      <c r="A24" s="220">
        <v>22</v>
      </c>
      <c r="B24" s="221" t="s">
        <v>848</v>
      </c>
      <c r="C24" s="229" t="s">
        <v>827</v>
      </c>
      <c r="D24" s="223">
        <v>565</v>
      </c>
      <c r="E24" s="223">
        <v>650</v>
      </c>
      <c r="F24" s="223"/>
      <c r="G24" s="221"/>
      <c r="H24" s="224"/>
      <c r="I24" s="212"/>
      <c r="J24" s="212"/>
    </row>
    <row r="25" spans="1:10" s="217" customFormat="1" ht="17.55" hidden="1" customHeight="1">
      <c r="A25" s="220">
        <v>23</v>
      </c>
      <c r="B25" s="221" t="s">
        <v>849</v>
      </c>
      <c r="C25" s="229" t="s">
        <v>827</v>
      </c>
      <c r="D25" s="223">
        <v>1000</v>
      </c>
      <c r="E25" s="223">
        <v>1100</v>
      </c>
      <c r="F25" s="223"/>
      <c r="G25" s="221"/>
      <c r="H25" s="224"/>
      <c r="I25" s="212"/>
    </row>
    <row r="26" spans="1:10" s="217" customFormat="1" ht="17.55" hidden="1" customHeight="1">
      <c r="A26" s="220">
        <v>24</v>
      </c>
      <c r="B26" s="221" t="s">
        <v>850</v>
      </c>
      <c r="C26" s="229" t="s">
        <v>827</v>
      </c>
      <c r="D26" s="223">
        <v>750</v>
      </c>
      <c r="E26" s="223">
        <v>800</v>
      </c>
      <c r="F26" s="223"/>
      <c r="G26" s="221"/>
      <c r="H26" s="224">
        <f>800*1.1</f>
        <v>880.00000000000011</v>
      </c>
      <c r="I26" s="212"/>
      <c r="J26" s="212"/>
    </row>
    <row r="27" spans="1:10" s="217" customFormat="1" ht="17.55" hidden="1" customHeight="1">
      <c r="A27" s="220">
        <v>25</v>
      </c>
      <c r="B27" s="221" t="s">
        <v>851</v>
      </c>
      <c r="C27" s="229" t="s">
        <v>827</v>
      </c>
      <c r="D27" s="223">
        <v>680</v>
      </c>
      <c r="E27" s="223">
        <v>700</v>
      </c>
      <c r="F27" s="223"/>
      <c r="G27" s="221"/>
      <c r="H27" s="224"/>
      <c r="I27" s="212"/>
      <c r="J27" s="212"/>
    </row>
    <row r="28" spans="1:10" s="217" customFormat="1" ht="17.55" customHeight="1">
      <c r="A28" s="220">
        <v>19</v>
      </c>
      <c r="B28" s="221" t="s">
        <v>852</v>
      </c>
      <c r="C28" s="229" t="s">
        <v>827</v>
      </c>
      <c r="D28" s="223">
        <v>525</v>
      </c>
      <c r="E28" s="223">
        <v>650</v>
      </c>
      <c r="F28" s="223"/>
      <c r="G28" s="221"/>
      <c r="H28" s="224"/>
      <c r="I28" s="212"/>
      <c r="J28" s="212"/>
    </row>
    <row r="29" spans="1:10" s="217" customFormat="1" ht="17.55" hidden="1" customHeight="1">
      <c r="A29" s="220">
        <v>27</v>
      </c>
      <c r="B29" s="221" t="s">
        <v>853</v>
      </c>
      <c r="C29" s="229" t="s">
        <v>854</v>
      </c>
      <c r="D29" s="223">
        <v>11</v>
      </c>
      <c r="E29" s="223">
        <v>12</v>
      </c>
      <c r="F29" s="223"/>
      <c r="G29" s="221"/>
      <c r="H29" s="224"/>
      <c r="I29" s="212"/>
      <c r="J29" s="212"/>
    </row>
    <row r="30" spans="1:10" s="217" customFormat="1" ht="17.55" hidden="1" customHeight="1">
      <c r="A30" s="220">
        <v>28</v>
      </c>
      <c r="B30" s="221" t="s">
        <v>855</v>
      </c>
      <c r="C30" s="229" t="s">
        <v>856</v>
      </c>
      <c r="D30" s="223">
        <v>11</v>
      </c>
      <c r="E30" s="223">
        <v>12</v>
      </c>
      <c r="F30" s="223"/>
      <c r="G30" s="221"/>
      <c r="H30" s="224"/>
      <c r="I30" s="212"/>
      <c r="J30" s="212"/>
    </row>
    <row r="31" spans="1:10" s="217" customFormat="1" ht="17.55" hidden="1" customHeight="1">
      <c r="A31" s="220">
        <v>29</v>
      </c>
      <c r="B31" s="221" t="s">
        <v>857</v>
      </c>
      <c r="C31" s="229" t="s">
        <v>858</v>
      </c>
      <c r="D31" s="223">
        <v>125</v>
      </c>
      <c r="E31" s="223">
        <v>125</v>
      </c>
      <c r="F31" s="223"/>
      <c r="G31" s="221"/>
      <c r="H31" s="224"/>
      <c r="I31" s="212"/>
      <c r="J31" s="212"/>
    </row>
    <row r="32" spans="1:10" s="217" customFormat="1" ht="17.55" hidden="1" customHeight="1">
      <c r="A32" s="220">
        <v>30</v>
      </c>
      <c r="B32" s="221" t="s">
        <v>859</v>
      </c>
      <c r="C32" s="229" t="s">
        <v>854</v>
      </c>
      <c r="D32" s="223">
        <v>11</v>
      </c>
      <c r="E32" s="223">
        <v>12</v>
      </c>
      <c r="F32" s="223"/>
      <c r="G32" s="221"/>
      <c r="H32" s="224"/>
      <c r="I32" s="212"/>
      <c r="J32" s="212"/>
    </row>
    <row r="33" spans="1:10" s="217" customFormat="1" ht="17.55" customHeight="1">
      <c r="A33" s="230"/>
      <c r="B33" s="212"/>
      <c r="C33" s="231"/>
      <c r="D33" s="232"/>
      <c r="E33" s="232"/>
      <c r="F33" s="232"/>
      <c r="G33" s="212"/>
      <c r="H33" s="212"/>
      <c r="I33" s="212"/>
      <c r="J33" s="212"/>
    </row>
    <row r="34" spans="1:10" s="217" customFormat="1" ht="34.5" customHeight="1">
      <c r="A34" s="233" t="s">
        <v>860</v>
      </c>
      <c r="B34" s="995" t="s">
        <v>861</v>
      </c>
      <c r="C34" s="995"/>
      <c r="D34" s="995"/>
      <c r="E34" s="995"/>
      <c r="F34" s="995"/>
      <c r="G34" s="995"/>
      <c r="H34" s="212"/>
      <c r="I34" s="212"/>
      <c r="J34" s="212"/>
    </row>
    <row r="35" spans="1:10" s="217" customFormat="1" ht="15">
      <c r="A35" s="212"/>
      <c r="B35" s="234" t="s">
        <v>862</v>
      </c>
      <c r="C35" s="212"/>
      <c r="D35" s="235"/>
      <c r="E35" s="235"/>
      <c r="F35" s="235"/>
      <c r="G35" s="212"/>
      <c r="H35" s="212"/>
      <c r="I35" s="212"/>
      <c r="J35" s="212"/>
    </row>
    <row r="36" spans="1:10" s="217" customFormat="1" ht="15">
      <c r="A36" s="212"/>
      <c r="B36" s="212" t="s">
        <v>863</v>
      </c>
      <c r="C36" s="212"/>
      <c r="D36" s="235"/>
      <c r="E36" s="235"/>
      <c r="F36" s="235"/>
      <c r="G36" s="212"/>
      <c r="H36" s="212"/>
      <c r="I36" s="212"/>
      <c r="J36" s="212"/>
    </row>
    <row r="37" spans="1:10" s="217" customFormat="1" ht="15">
      <c r="A37" s="212"/>
      <c r="B37" s="212" t="s">
        <v>864</v>
      </c>
      <c r="C37" s="212"/>
      <c r="D37" s="235"/>
      <c r="E37" s="235"/>
      <c r="F37" s="235"/>
      <c r="G37" s="212"/>
      <c r="H37" s="212"/>
      <c r="I37" s="212"/>
      <c r="J37" s="212"/>
    </row>
    <row r="38" spans="1:10" ht="17.399999999999999">
      <c r="A38" s="236"/>
      <c r="B38" s="236"/>
      <c r="C38" s="236"/>
      <c r="G38" s="236"/>
      <c r="H38" s="236"/>
      <c r="I38" s="236"/>
      <c r="J38" s="236"/>
    </row>
    <row r="39" spans="1:10" ht="17.399999999999999">
      <c r="A39" s="236"/>
      <c r="B39" s="236"/>
      <c r="C39" s="236"/>
      <c r="G39" s="236"/>
      <c r="H39" s="236"/>
      <c r="I39" s="236"/>
      <c r="J39" s="236"/>
    </row>
    <row r="40" spans="1:10" ht="17.399999999999999">
      <c r="A40" s="236"/>
      <c r="B40" s="236"/>
      <c r="C40" s="236"/>
      <c r="G40" s="236"/>
      <c r="H40" s="236"/>
      <c r="I40" s="236"/>
      <c r="J40" s="236"/>
    </row>
    <row r="41" spans="1:10" ht="17.399999999999999">
      <c r="A41" s="236"/>
      <c r="B41" s="236"/>
      <c r="C41" s="236"/>
      <c r="G41" s="236"/>
      <c r="H41" s="236"/>
      <c r="I41" s="236"/>
      <c r="J41" s="236"/>
    </row>
    <row r="42" spans="1:10" ht="17.399999999999999">
      <c r="A42" s="236"/>
      <c r="B42" s="236"/>
      <c r="C42" s="236"/>
      <c r="G42" s="236"/>
      <c r="H42" s="236"/>
      <c r="I42" s="236"/>
      <c r="J42" s="236"/>
    </row>
    <row r="43" spans="1:10" ht="17.399999999999999">
      <c r="A43" s="236"/>
      <c r="B43" s="236"/>
      <c r="C43" s="236"/>
      <c r="G43" s="236"/>
      <c r="H43" s="236"/>
      <c r="I43" s="236"/>
      <c r="J43" s="236"/>
    </row>
    <row r="44" spans="1:10" ht="17.399999999999999">
      <c r="A44" s="236"/>
      <c r="B44" s="236"/>
      <c r="C44" s="236"/>
      <c r="G44" s="236"/>
      <c r="H44" s="236"/>
      <c r="I44" s="236"/>
      <c r="J44" s="236"/>
    </row>
    <row r="45" spans="1:10" ht="17.399999999999999">
      <c r="A45" s="236"/>
      <c r="B45" s="236"/>
      <c r="C45" s="236"/>
      <c r="G45" s="236"/>
      <c r="H45" s="236"/>
      <c r="I45" s="236"/>
      <c r="J45" s="236"/>
    </row>
    <row r="46" spans="1:10" ht="17.399999999999999">
      <c r="A46" s="236"/>
      <c r="B46" s="236"/>
      <c r="C46" s="236"/>
      <c r="G46" s="236"/>
      <c r="H46" s="236"/>
      <c r="I46" s="236"/>
      <c r="J46" s="236"/>
    </row>
    <row r="47" spans="1:10" ht="17.399999999999999">
      <c r="A47" s="236"/>
      <c r="B47" s="236"/>
      <c r="C47" s="236"/>
      <c r="G47" s="236"/>
      <c r="H47" s="236"/>
      <c r="I47" s="236"/>
      <c r="J47" s="236"/>
    </row>
    <row r="48" spans="1:10" ht="17.399999999999999">
      <c r="A48" s="236"/>
      <c r="B48" s="236"/>
      <c r="C48" s="236"/>
      <c r="G48" s="236"/>
      <c r="H48" s="236"/>
      <c r="I48" s="236"/>
      <c r="J48" s="236"/>
    </row>
    <row r="49" spans="1:10" ht="17.399999999999999">
      <c r="A49" s="236"/>
      <c r="B49" s="236"/>
      <c r="C49" s="236"/>
      <c r="G49" s="236"/>
      <c r="H49" s="236"/>
      <c r="I49" s="236"/>
      <c r="J49" s="236"/>
    </row>
    <row r="50" spans="1:10" ht="17.399999999999999">
      <c r="A50" s="236"/>
      <c r="B50" s="236"/>
      <c r="C50" s="236"/>
      <c r="G50" s="236"/>
      <c r="H50" s="236"/>
      <c r="I50" s="236"/>
      <c r="J50" s="236"/>
    </row>
    <row r="51" spans="1:10" ht="17.399999999999999">
      <c r="A51" s="236"/>
      <c r="B51" s="236"/>
      <c r="C51" s="236"/>
      <c r="G51" s="236"/>
      <c r="H51" s="236"/>
      <c r="I51" s="236"/>
      <c r="J51" s="236"/>
    </row>
    <row r="52" spans="1:10" ht="17.399999999999999">
      <c r="A52" s="236"/>
      <c r="B52" s="236"/>
      <c r="C52" s="236"/>
      <c r="G52" s="236"/>
      <c r="H52" s="236"/>
      <c r="I52" s="236"/>
      <c r="J52" s="236"/>
    </row>
    <row r="53" spans="1:10" ht="17.399999999999999">
      <c r="A53" s="236"/>
      <c r="B53" s="236"/>
      <c r="C53" s="236"/>
      <c r="G53" s="236"/>
      <c r="H53" s="236"/>
      <c r="I53" s="236"/>
      <c r="J53" s="236"/>
    </row>
    <row r="54" spans="1:10" ht="17.399999999999999">
      <c r="A54" s="236"/>
      <c r="B54" s="236"/>
      <c r="C54" s="236"/>
      <c r="G54" s="236"/>
      <c r="H54" s="236"/>
      <c r="I54" s="236"/>
      <c r="J54" s="236"/>
    </row>
    <row r="55" spans="1:10" ht="17.399999999999999">
      <c r="A55" s="236"/>
      <c r="B55" s="236"/>
      <c r="C55" s="236"/>
      <c r="G55" s="236"/>
      <c r="H55" s="236"/>
      <c r="I55" s="236"/>
      <c r="J55" s="236"/>
    </row>
    <row r="56" spans="1:10" ht="17.399999999999999">
      <c r="A56" s="236"/>
      <c r="B56" s="236"/>
      <c r="C56" s="236"/>
      <c r="G56" s="236"/>
      <c r="H56" s="236"/>
      <c r="I56" s="236"/>
      <c r="J56" s="236"/>
    </row>
    <row r="57" spans="1:10" ht="17.399999999999999">
      <c r="A57" s="236"/>
      <c r="B57" s="236"/>
      <c r="C57" s="236"/>
      <c r="G57" s="236"/>
      <c r="H57" s="236"/>
      <c r="I57" s="236"/>
      <c r="J57" s="236"/>
    </row>
    <row r="58" spans="1:10" ht="17.399999999999999">
      <c r="A58" s="236"/>
      <c r="B58" s="236"/>
      <c r="C58" s="236"/>
      <c r="G58" s="236"/>
      <c r="H58" s="236"/>
      <c r="I58" s="236"/>
      <c r="J58" s="236"/>
    </row>
    <row r="59" spans="1:10" ht="17.399999999999999">
      <c r="A59" s="236"/>
      <c r="B59" s="236"/>
      <c r="C59" s="236"/>
      <c r="G59" s="236"/>
      <c r="H59" s="236"/>
      <c r="I59" s="236"/>
      <c r="J59" s="236"/>
    </row>
    <row r="60" spans="1:10" ht="17.399999999999999">
      <c r="A60" s="236"/>
      <c r="B60" s="236"/>
      <c r="C60" s="236"/>
      <c r="G60" s="236"/>
      <c r="H60" s="236"/>
      <c r="I60" s="236"/>
      <c r="J60" s="236"/>
    </row>
    <row r="61" spans="1:10" ht="17.399999999999999">
      <c r="A61" s="236"/>
      <c r="B61" s="236"/>
      <c r="C61" s="236"/>
      <c r="G61" s="236"/>
      <c r="H61" s="236"/>
      <c r="I61" s="236"/>
      <c r="J61" s="236"/>
    </row>
    <row r="62" spans="1:10" ht="17.399999999999999">
      <c r="A62" s="236"/>
      <c r="B62" s="236"/>
      <c r="C62" s="236"/>
      <c r="G62" s="236"/>
      <c r="H62" s="236"/>
      <c r="I62" s="236"/>
      <c r="J62" s="236"/>
    </row>
    <row r="63" spans="1:10" ht="17.399999999999999">
      <c r="A63" s="236"/>
      <c r="B63" s="236"/>
      <c r="C63" s="236"/>
      <c r="G63" s="236"/>
      <c r="H63" s="236"/>
      <c r="I63" s="236"/>
      <c r="J63" s="236"/>
    </row>
    <row r="64" spans="1:10" ht="17.399999999999999">
      <c r="A64" s="236"/>
      <c r="B64" s="236"/>
      <c r="C64" s="236"/>
      <c r="G64" s="236"/>
      <c r="H64" s="236"/>
      <c r="I64" s="236"/>
      <c r="J64" s="236"/>
    </row>
    <row r="65" spans="1:10" ht="17.399999999999999">
      <c r="A65" s="236"/>
      <c r="B65" s="236"/>
      <c r="C65" s="236"/>
      <c r="G65" s="236"/>
      <c r="H65" s="236"/>
      <c r="I65" s="236"/>
      <c r="J65" s="236"/>
    </row>
    <row r="66" spans="1:10" ht="17.399999999999999">
      <c r="A66" s="236"/>
      <c r="B66" s="236"/>
      <c r="C66" s="236"/>
      <c r="G66" s="236"/>
      <c r="H66" s="236"/>
      <c r="I66" s="236"/>
      <c r="J66" s="236"/>
    </row>
    <row r="67" spans="1:10" ht="17.399999999999999">
      <c r="A67" s="236"/>
      <c r="B67" s="236"/>
      <c r="C67" s="236"/>
      <c r="G67" s="236"/>
      <c r="H67" s="236"/>
      <c r="I67" s="236"/>
      <c r="J67" s="236"/>
    </row>
    <row r="68" spans="1:10" ht="17.399999999999999">
      <c r="A68" s="236"/>
      <c r="B68" s="236"/>
      <c r="C68" s="236"/>
      <c r="G68" s="236"/>
      <c r="H68" s="236"/>
      <c r="I68" s="236"/>
      <c r="J68" s="236"/>
    </row>
    <row r="69" spans="1:10" ht="17.399999999999999">
      <c r="A69" s="236"/>
      <c r="B69" s="236"/>
      <c r="C69" s="236"/>
      <c r="G69" s="236"/>
      <c r="H69" s="236"/>
      <c r="I69" s="236"/>
      <c r="J69" s="236"/>
    </row>
    <row r="70" spans="1:10" ht="17.399999999999999">
      <c r="A70" s="236"/>
      <c r="B70" s="236"/>
      <c r="C70" s="236"/>
      <c r="G70" s="236"/>
      <c r="H70" s="236"/>
      <c r="I70" s="236"/>
      <c r="J70" s="236"/>
    </row>
    <row r="71" spans="1:10" ht="17.399999999999999">
      <c r="A71" s="236"/>
      <c r="B71" s="236"/>
      <c r="C71" s="236"/>
      <c r="G71" s="236"/>
      <c r="H71" s="236"/>
      <c r="I71" s="236"/>
      <c r="J71" s="236"/>
    </row>
    <row r="72" spans="1:10" ht="17.399999999999999">
      <c r="A72" s="236"/>
      <c r="B72" s="236"/>
      <c r="C72" s="236"/>
      <c r="G72" s="236"/>
      <c r="H72" s="236"/>
      <c r="I72" s="236"/>
      <c r="J72" s="236"/>
    </row>
    <row r="73" spans="1:10" ht="17.399999999999999">
      <c r="A73" s="236"/>
      <c r="B73" s="236"/>
      <c r="C73" s="236"/>
      <c r="G73" s="236"/>
      <c r="H73" s="236"/>
      <c r="I73" s="236"/>
      <c r="J73" s="236"/>
    </row>
    <row r="74" spans="1:10" ht="17.399999999999999">
      <c r="A74" s="236"/>
      <c r="B74" s="236"/>
      <c r="C74" s="236"/>
      <c r="G74" s="236"/>
      <c r="H74" s="236"/>
      <c r="I74" s="236"/>
      <c r="J74" s="236"/>
    </row>
    <row r="75" spans="1:10" ht="17.399999999999999">
      <c r="A75" s="236"/>
      <c r="B75" s="236"/>
      <c r="C75" s="236"/>
      <c r="G75" s="236"/>
      <c r="H75" s="236"/>
      <c r="I75" s="236"/>
      <c r="J75" s="236"/>
    </row>
    <row r="76" spans="1:10" ht="17.399999999999999">
      <c r="A76" s="236"/>
      <c r="B76" s="236"/>
      <c r="C76" s="236"/>
      <c r="G76" s="236"/>
      <c r="H76" s="236"/>
      <c r="I76" s="236"/>
      <c r="J76" s="236"/>
    </row>
    <row r="77" spans="1:10" ht="17.399999999999999">
      <c r="A77" s="236"/>
      <c r="B77" s="236"/>
      <c r="C77" s="236"/>
      <c r="G77" s="236"/>
      <c r="H77" s="236"/>
      <c r="I77" s="236"/>
      <c r="J77" s="236"/>
    </row>
    <row r="78" spans="1:10" ht="17.399999999999999">
      <c r="A78" s="236"/>
      <c r="B78" s="236"/>
      <c r="C78" s="236"/>
      <c r="G78" s="236"/>
      <c r="H78" s="236"/>
      <c r="I78" s="236"/>
      <c r="J78" s="236"/>
    </row>
    <row r="79" spans="1:10" ht="17.399999999999999">
      <c r="A79" s="236"/>
      <c r="B79" s="236"/>
      <c r="C79" s="236"/>
      <c r="G79" s="236"/>
      <c r="H79" s="236"/>
      <c r="I79" s="236"/>
      <c r="J79" s="236"/>
    </row>
    <row r="80" spans="1:10" ht="17.399999999999999">
      <c r="A80" s="236"/>
      <c r="B80" s="236"/>
      <c r="C80" s="236"/>
      <c r="G80" s="236"/>
      <c r="H80" s="236"/>
      <c r="I80" s="236"/>
      <c r="J80" s="236"/>
    </row>
    <row r="81" spans="1:10" ht="17.399999999999999">
      <c r="A81" s="236"/>
      <c r="B81" s="236"/>
      <c r="C81" s="236"/>
      <c r="G81" s="236"/>
      <c r="H81" s="236"/>
      <c r="I81" s="236"/>
      <c r="J81" s="236"/>
    </row>
    <row r="82" spans="1:10" ht="17.399999999999999">
      <c r="A82" s="236"/>
      <c r="B82" s="236"/>
      <c r="C82" s="236"/>
      <c r="G82" s="236"/>
      <c r="H82" s="236"/>
      <c r="I82" s="236"/>
      <c r="J82" s="236"/>
    </row>
    <row r="83" spans="1:10" ht="17.399999999999999">
      <c r="A83" s="236"/>
      <c r="B83" s="236"/>
      <c r="C83" s="236"/>
      <c r="G83" s="236"/>
      <c r="H83" s="236"/>
      <c r="I83" s="236"/>
      <c r="J83" s="236"/>
    </row>
    <row r="84" spans="1:10" ht="17.399999999999999">
      <c r="A84" s="236"/>
      <c r="B84" s="236"/>
      <c r="C84" s="236"/>
      <c r="G84" s="236"/>
      <c r="H84" s="236"/>
      <c r="I84" s="236"/>
      <c r="J84" s="236"/>
    </row>
    <row r="85" spans="1:10" ht="17.399999999999999">
      <c r="A85" s="236"/>
      <c r="B85" s="236"/>
      <c r="C85" s="236"/>
      <c r="G85" s="236"/>
      <c r="H85" s="236"/>
      <c r="I85" s="236"/>
      <c r="J85" s="236"/>
    </row>
    <row r="86" spans="1:10" ht="17.399999999999999">
      <c r="A86" s="236"/>
      <c r="B86" s="236"/>
      <c r="C86" s="236"/>
      <c r="G86" s="236"/>
      <c r="H86" s="236"/>
      <c r="I86" s="236"/>
      <c r="J86" s="236"/>
    </row>
    <row r="87" spans="1:10" ht="17.399999999999999">
      <c r="A87" s="236"/>
      <c r="B87" s="236"/>
      <c r="C87" s="236"/>
      <c r="G87" s="236"/>
      <c r="H87" s="236"/>
      <c r="I87" s="236"/>
      <c r="J87" s="236"/>
    </row>
    <row r="88" spans="1:10" ht="17.399999999999999">
      <c r="A88" s="236"/>
      <c r="B88" s="236"/>
      <c r="C88" s="236"/>
      <c r="G88" s="236"/>
      <c r="H88" s="236"/>
      <c r="I88" s="236"/>
      <c r="J88" s="236"/>
    </row>
    <row r="89" spans="1:10" ht="17.399999999999999">
      <c r="A89" s="236"/>
      <c r="B89" s="236"/>
      <c r="C89" s="236"/>
      <c r="G89" s="236"/>
      <c r="H89" s="236"/>
      <c r="I89" s="236"/>
      <c r="J89" s="236"/>
    </row>
    <row r="90" spans="1:10" ht="17.399999999999999">
      <c r="A90" s="236"/>
      <c r="B90" s="236"/>
      <c r="C90" s="236"/>
      <c r="G90" s="236"/>
      <c r="H90" s="236"/>
      <c r="I90" s="236"/>
      <c r="J90" s="236"/>
    </row>
    <row r="91" spans="1:10" ht="17.399999999999999">
      <c r="A91" s="236"/>
      <c r="B91" s="236"/>
      <c r="C91" s="236"/>
      <c r="G91" s="236"/>
      <c r="H91" s="236"/>
      <c r="I91" s="236"/>
      <c r="J91" s="236"/>
    </row>
    <row r="92" spans="1:10" ht="17.399999999999999">
      <c r="A92" s="236"/>
      <c r="B92" s="236"/>
      <c r="C92" s="236"/>
      <c r="G92" s="236"/>
      <c r="H92" s="236"/>
      <c r="I92" s="236"/>
      <c r="J92" s="236"/>
    </row>
    <row r="93" spans="1:10" ht="17.399999999999999">
      <c r="A93" s="236"/>
      <c r="B93" s="236"/>
      <c r="C93" s="236"/>
      <c r="G93" s="236"/>
      <c r="H93" s="236"/>
      <c r="I93" s="236"/>
      <c r="J93" s="236"/>
    </row>
    <row r="94" spans="1:10" ht="17.399999999999999">
      <c r="A94" s="236"/>
      <c r="B94" s="236"/>
      <c r="C94" s="236"/>
      <c r="G94" s="236"/>
      <c r="H94" s="236"/>
      <c r="I94" s="236"/>
      <c r="J94" s="236"/>
    </row>
    <row r="95" spans="1:10" ht="17.399999999999999">
      <c r="A95" s="236"/>
      <c r="B95" s="236"/>
      <c r="C95" s="236"/>
      <c r="G95" s="236"/>
      <c r="H95" s="236"/>
      <c r="I95" s="236"/>
      <c r="J95" s="236"/>
    </row>
    <row r="96" spans="1:10" ht="17.399999999999999">
      <c r="A96" s="236"/>
      <c r="B96" s="236"/>
      <c r="C96" s="236"/>
      <c r="G96" s="236"/>
      <c r="H96" s="236"/>
      <c r="I96" s="236"/>
      <c r="J96" s="236"/>
    </row>
    <row r="97" spans="1:10" ht="17.399999999999999">
      <c r="A97" s="236"/>
      <c r="B97" s="236"/>
      <c r="C97" s="236"/>
      <c r="G97" s="236"/>
      <c r="H97" s="236"/>
      <c r="I97" s="236"/>
      <c r="J97" s="236"/>
    </row>
    <row r="98" spans="1:10" ht="17.399999999999999">
      <c r="A98" s="236"/>
      <c r="B98" s="236"/>
      <c r="C98" s="236"/>
      <c r="G98" s="236"/>
      <c r="H98" s="236"/>
      <c r="I98" s="236"/>
      <c r="J98" s="236"/>
    </row>
    <row r="99" spans="1:10" ht="17.399999999999999">
      <c r="A99" s="236"/>
      <c r="B99" s="236"/>
      <c r="C99" s="236"/>
      <c r="G99" s="236"/>
      <c r="H99" s="236"/>
      <c r="I99" s="236"/>
      <c r="J99" s="236"/>
    </row>
    <row r="100" spans="1:10" ht="17.399999999999999">
      <c r="A100" s="236"/>
      <c r="B100" s="236"/>
      <c r="C100" s="236"/>
      <c r="G100" s="236"/>
      <c r="H100" s="236"/>
      <c r="I100" s="236"/>
      <c r="J100" s="236"/>
    </row>
    <row r="101" spans="1:10" ht="17.399999999999999">
      <c r="A101" s="236"/>
      <c r="B101" s="236"/>
      <c r="C101" s="236"/>
      <c r="G101" s="236"/>
      <c r="H101" s="236"/>
      <c r="I101" s="236"/>
      <c r="J101" s="236"/>
    </row>
    <row r="102" spans="1:10" ht="17.399999999999999">
      <c r="A102" s="236"/>
      <c r="B102" s="236"/>
      <c r="C102" s="236"/>
      <c r="G102" s="236"/>
      <c r="H102" s="236"/>
      <c r="I102" s="236"/>
      <c r="J102" s="236"/>
    </row>
    <row r="103" spans="1:10" ht="17.399999999999999">
      <c r="A103" s="236"/>
      <c r="B103" s="236"/>
      <c r="C103" s="236"/>
      <c r="G103" s="236"/>
      <c r="H103" s="236"/>
      <c r="I103" s="236"/>
      <c r="J103" s="236"/>
    </row>
    <row r="104" spans="1:10" ht="17.399999999999999">
      <c r="A104" s="236"/>
      <c r="B104" s="236"/>
      <c r="C104" s="236"/>
      <c r="G104" s="236"/>
      <c r="H104" s="236"/>
      <c r="I104" s="236"/>
      <c r="J104" s="236"/>
    </row>
    <row r="105" spans="1:10" ht="17.399999999999999">
      <c r="A105" s="236"/>
      <c r="B105" s="236"/>
      <c r="C105" s="236"/>
      <c r="G105" s="236"/>
      <c r="H105" s="236"/>
      <c r="I105" s="236"/>
      <c r="J105" s="236"/>
    </row>
    <row r="106" spans="1:10" ht="17.399999999999999">
      <c r="A106" s="236"/>
      <c r="B106" s="236"/>
      <c r="C106" s="236"/>
      <c r="G106" s="236"/>
      <c r="H106" s="236"/>
      <c r="I106" s="236"/>
      <c r="J106" s="236"/>
    </row>
    <row r="107" spans="1:10" ht="17.399999999999999">
      <c r="A107" s="236"/>
      <c r="B107" s="236"/>
      <c r="C107" s="236"/>
      <c r="G107" s="236"/>
      <c r="H107" s="236"/>
      <c r="I107" s="236"/>
      <c r="J107" s="236"/>
    </row>
    <row r="108" spans="1:10" ht="17.399999999999999">
      <c r="A108" s="236"/>
      <c r="B108" s="236"/>
      <c r="C108" s="236"/>
      <c r="G108" s="236"/>
      <c r="H108" s="236"/>
      <c r="I108" s="236"/>
      <c r="J108" s="236"/>
    </row>
    <row r="109" spans="1:10" ht="17.399999999999999">
      <c r="A109" s="236"/>
      <c r="B109" s="236"/>
      <c r="C109" s="236"/>
      <c r="G109" s="236"/>
      <c r="H109" s="236"/>
      <c r="I109" s="236"/>
      <c r="J109" s="236"/>
    </row>
    <row r="110" spans="1:10" ht="17.399999999999999">
      <c r="A110" s="236"/>
      <c r="B110" s="236"/>
      <c r="C110" s="236"/>
      <c r="G110" s="236"/>
      <c r="H110" s="236"/>
      <c r="I110" s="236"/>
      <c r="J110" s="236"/>
    </row>
    <row r="111" spans="1:10" ht="17.399999999999999">
      <c r="A111" s="236"/>
      <c r="B111" s="236"/>
      <c r="C111" s="236"/>
      <c r="G111" s="236"/>
      <c r="H111" s="236"/>
      <c r="I111" s="236"/>
      <c r="J111" s="236"/>
    </row>
    <row r="112" spans="1:10" ht="17.399999999999999">
      <c r="A112" s="236"/>
      <c r="B112" s="236"/>
      <c r="C112" s="236"/>
      <c r="G112" s="236"/>
      <c r="H112" s="236"/>
      <c r="I112" s="236"/>
      <c r="J112" s="236"/>
    </row>
    <row r="113" spans="1:10" ht="17.399999999999999">
      <c r="A113" s="236"/>
      <c r="B113" s="236"/>
      <c r="C113" s="236"/>
      <c r="G113" s="236"/>
      <c r="H113" s="236"/>
      <c r="I113" s="236"/>
      <c r="J113" s="236"/>
    </row>
    <row r="114" spans="1:10" ht="17.399999999999999">
      <c r="A114" s="236"/>
      <c r="B114" s="236"/>
      <c r="C114" s="236"/>
      <c r="G114" s="236"/>
      <c r="H114" s="236"/>
      <c r="I114" s="236"/>
      <c r="J114" s="236"/>
    </row>
    <row r="115" spans="1:10" ht="17.399999999999999">
      <c r="A115" s="236"/>
      <c r="B115" s="236"/>
      <c r="C115" s="236"/>
      <c r="G115" s="236"/>
      <c r="H115" s="236"/>
      <c r="I115" s="236"/>
      <c r="J115" s="236"/>
    </row>
    <row r="116" spans="1:10" ht="17.399999999999999">
      <c r="A116" s="236"/>
      <c r="B116" s="236"/>
      <c r="C116" s="236"/>
      <c r="G116" s="236"/>
      <c r="H116" s="236"/>
      <c r="I116" s="236"/>
      <c r="J116" s="236"/>
    </row>
    <row r="117" spans="1:10" ht="17.399999999999999">
      <c r="A117" s="236"/>
      <c r="B117" s="236"/>
      <c r="C117" s="236"/>
      <c r="G117" s="236"/>
      <c r="H117" s="236"/>
      <c r="I117" s="236"/>
      <c r="J117" s="236"/>
    </row>
    <row r="118" spans="1:10" ht="17.399999999999999">
      <c r="A118" s="236"/>
      <c r="B118" s="236"/>
      <c r="C118" s="236"/>
      <c r="G118" s="236"/>
      <c r="H118" s="236"/>
      <c r="I118" s="236"/>
      <c r="J118" s="236"/>
    </row>
    <row r="119" spans="1:10" ht="17.399999999999999">
      <c r="A119" s="236"/>
      <c r="B119" s="236"/>
      <c r="C119" s="236"/>
      <c r="G119" s="236"/>
      <c r="H119" s="236"/>
      <c r="I119" s="236"/>
      <c r="J119" s="236"/>
    </row>
    <row r="120" spans="1:10" ht="17.399999999999999">
      <c r="A120" s="236"/>
      <c r="B120" s="236"/>
      <c r="C120" s="236"/>
      <c r="G120" s="236"/>
      <c r="H120" s="236"/>
      <c r="I120" s="236"/>
      <c r="J120" s="236"/>
    </row>
    <row r="121" spans="1:10" ht="17.399999999999999">
      <c r="A121" s="236"/>
      <c r="B121" s="236"/>
      <c r="C121" s="236"/>
      <c r="G121" s="236"/>
      <c r="H121" s="236"/>
      <c r="I121" s="236"/>
      <c r="J121" s="236"/>
    </row>
    <row r="122" spans="1:10" ht="17.399999999999999">
      <c r="A122" s="236"/>
      <c r="B122" s="236"/>
      <c r="C122" s="236"/>
      <c r="G122" s="236"/>
      <c r="H122" s="236"/>
      <c r="I122" s="236"/>
      <c r="J122" s="236"/>
    </row>
    <row r="123" spans="1:10" ht="17.399999999999999">
      <c r="A123" s="236"/>
      <c r="B123" s="236"/>
      <c r="C123" s="236"/>
      <c r="G123" s="236"/>
      <c r="H123" s="236"/>
      <c r="I123" s="236"/>
      <c r="J123" s="236"/>
    </row>
    <row r="124" spans="1:10" ht="17.399999999999999">
      <c r="A124" s="236"/>
      <c r="B124" s="236"/>
      <c r="C124" s="236"/>
      <c r="G124" s="236"/>
      <c r="H124" s="236"/>
      <c r="I124" s="236"/>
      <c r="J124" s="236"/>
    </row>
    <row r="125" spans="1:10" ht="17.399999999999999">
      <c r="A125" s="236"/>
      <c r="B125" s="236"/>
      <c r="C125" s="236"/>
      <c r="G125" s="236"/>
      <c r="H125" s="236"/>
      <c r="I125" s="236"/>
      <c r="J125" s="236"/>
    </row>
    <row r="126" spans="1:10" ht="17.399999999999999">
      <c r="A126" s="236"/>
      <c r="B126" s="236"/>
      <c r="C126" s="236"/>
      <c r="G126" s="236"/>
      <c r="H126" s="236"/>
      <c r="I126" s="236"/>
      <c r="J126" s="236"/>
    </row>
    <row r="127" spans="1:10" ht="17.399999999999999">
      <c r="A127" s="236"/>
      <c r="B127" s="236"/>
      <c r="C127" s="236"/>
      <c r="G127" s="236"/>
      <c r="H127" s="236"/>
      <c r="I127" s="236"/>
      <c r="J127" s="236"/>
    </row>
    <row r="128" spans="1:10" ht="17.399999999999999">
      <c r="A128" s="236"/>
      <c r="B128" s="236"/>
      <c r="C128" s="236"/>
      <c r="G128" s="236"/>
      <c r="H128" s="236"/>
      <c r="I128" s="236"/>
      <c r="J128" s="236"/>
    </row>
    <row r="129" spans="1:10" ht="17.399999999999999">
      <c r="A129" s="236"/>
      <c r="B129" s="236"/>
      <c r="C129" s="236"/>
      <c r="G129" s="236"/>
      <c r="H129" s="236"/>
      <c r="I129" s="236"/>
      <c r="J129" s="236"/>
    </row>
    <row r="130" spans="1:10" ht="17.399999999999999">
      <c r="A130" s="236"/>
      <c r="B130" s="236"/>
      <c r="C130" s="236"/>
      <c r="G130" s="236"/>
      <c r="H130" s="236"/>
      <c r="I130" s="236"/>
      <c r="J130" s="236"/>
    </row>
    <row r="131" spans="1:10" ht="17.399999999999999">
      <c r="A131" s="236"/>
      <c r="B131" s="236"/>
      <c r="C131" s="236"/>
      <c r="G131" s="236"/>
      <c r="H131" s="236"/>
      <c r="I131" s="236"/>
      <c r="J131" s="236"/>
    </row>
    <row r="132" spans="1:10" ht="17.399999999999999">
      <c r="A132" s="236"/>
      <c r="B132" s="236"/>
      <c r="C132" s="236"/>
      <c r="G132" s="236"/>
      <c r="H132" s="236"/>
      <c r="I132" s="236"/>
      <c r="J132" s="236"/>
    </row>
    <row r="133" spans="1:10" ht="17.399999999999999">
      <c r="A133" s="236"/>
      <c r="B133" s="236"/>
      <c r="C133" s="236"/>
      <c r="G133" s="236"/>
      <c r="H133" s="236"/>
      <c r="I133" s="236"/>
      <c r="J133" s="236"/>
    </row>
    <row r="134" spans="1:10" ht="17.399999999999999">
      <c r="A134" s="236"/>
      <c r="B134" s="236"/>
      <c r="C134" s="236"/>
      <c r="G134" s="236"/>
      <c r="H134" s="236"/>
      <c r="I134" s="236"/>
      <c r="J134" s="236"/>
    </row>
    <row r="135" spans="1:10" ht="17.399999999999999">
      <c r="A135" s="236"/>
      <c r="B135" s="236"/>
      <c r="C135" s="236"/>
      <c r="G135" s="236"/>
      <c r="H135" s="236"/>
      <c r="I135" s="236"/>
      <c r="J135" s="236"/>
    </row>
    <row r="136" spans="1:10" ht="17.399999999999999">
      <c r="A136" s="236"/>
      <c r="B136" s="236"/>
      <c r="C136" s="236"/>
      <c r="G136" s="236"/>
      <c r="H136" s="236"/>
      <c r="I136" s="236"/>
      <c r="J136" s="236"/>
    </row>
    <row r="137" spans="1:10" ht="17.399999999999999">
      <c r="A137" s="236"/>
      <c r="B137" s="236"/>
      <c r="C137" s="236"/>
      <c r="G137" s="236"/>
      <c r="H137" s="236"/>
      <c r="I137" s="236"/>
      <c r="J137" s="236"/>
    </row>
    <row r="138" spans="1:10" ht="17.399999999999999">
      <c r="A138" s="236"/>
      <c r="B138" s="236"/>
      <c r="C138" s="236"/>
      <c r="G138" s="236"/>
      <c r="H138" s="236"/>
      <c r="I138" s="236"/>
      <c r="J138" s="236"/>
    </row>
    <row r="139" spans="1:10" ht="17.399999999999999">
      <c r="A139" s="236"/>
      <c r="B139" s="236"/>
      <c r="C139" s="236"/>
      <c r="G139" s="236"/>
      <c r="H139" s="236"/>
      <c r="I139" s="236"/>
      <c r="J139" s="236"/>
    </row>
    <row r="140" spans="1:10" ht="17.399999999999999">
      <c r="A140" s="236"/>
      <c r="B140" s="236"/>
      <c r="C140" s="236"/>
      <c r="G140" s="236"/>
      <c r="H140" s="236"/>
      <c r="I140" s="236"/>
      <c r="J140" s="236"/>
    </row>
  </sheetData>
  <mergeCells count="2">
    <mergeCell ref="A1:G1"/>
    <mergeCell ref="B34:G34"/>
  </mergeCells>
  <pageMargins left="1.01" right="0.5" top="0.47" bottom="0.5"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053F-8FFD-4C97-A535-A90914056F74}">
  <sheetPr>
    <tabColor rgb="FF7030A0"/>
  </sheetPr>
  <dimension ref="A1:L33"/>
  <sheetViews>
    <sheetView view="pageBreakPreview" topLeftCell="A15" zoomScale="115" zoomScaleNormal="145" zoomScaleSheetLayoutView="115" workbookViewId="0">
      <selection activeCell="D10" sqref="D10:D26"/>
    </sheetView>
  </sheetViews>
  <sheetFormatPr defaultRowHeight="13.2"/>
  <cols>
    <col min="1" max="1" width="4.88671875" customWidth="1"/>
    <col min="2" max="2" width="55.44140625" customWidth="1"/>
    <col min="3" max="3" width="5.109375" style="14" bestFit="1" customWidth="1"/>
    <col min="4" max="5" width="8.5546875" bestFit="1" customWidth="1"/>
    <col min="6" max="6" width="8.44140625" bestFit="1" customWidth="1"/>
    <col min="7" max="7" width="13.88671875" bestFit="1" customWidth="1"/>
  </cols>
  <sheetData>
    <row r="1" spans="1:12">
      <c r="A1" s="998" t="str">
        <f>'Basic Rate'!A1:H1</f>
        <v>GOVERNMENT OF NEPAL</v>
      </c>
      <c r="B1" s="998"/>
      <c r="C1" s="998"/>
      <c r="D1" s="998"/>
      <c r="E1" s="998"/>
      <c r="F1" s="998"/>
      <c r="G1" s="998"/>
    </row>
    <row r="2" spans="1:12">
      <c r="A2" s="998" t="str">
        <f>'Basic Rate'!A2:H2</f>
        <v xml:space="preserve">RAINAS MUNICIPALITY </v>
      </c>
      <c r="B2" s="998"/>
      <c r="C2" s="998"/>
      <c r="D2" s="998"/>
      <c r="E2" s="998"/>
      <c r="F2" s="998"/>
      <c r="G2" s="998"/>
    </row>
    <row r="3" spans="1:12">
      <c r="A3" s="998" t="str">
        <f>'Basic Rate'!A3:H3</f>
        <v>OFFICE OF THE MUNICIPAL EXECUTIVE</v>
      </c>
      <c r="B3" s="998"/>
      <c r="C3" s="998"/>
      <c r="D3" s="998"/>
      <c r="E3" s="998"/>
      <c r="F3" s="998"/>
      <c r="G3" s="998"/>
    </row>
    <row r="4" spans="1:12">
      <c r="A4" s="998" t="str">
        <f>'Basic Rate'!A4:H4</f>
        <v>TINPIPLE,LAMJUNG</v>
      </c>
      <c r="B4" s="998"/>
      <c r="C4" s="998"/>
      <c r="D4" s="998"/>
      <c r="E4" s="998"/>
      <c r="F4" s="998"/>
      <c r="G4" s="998"/>
    </row>
    <row r="5" spans="1:12">
      <c r="A5" s="998">
        <f>'Basic Rate'!A5:H5</f>
        <v>0</v>
      </c>
      <c r="B5" s="998"/>
      <c r="C5" s="998"/>
      <c r="D5" s="998"/>
      <c r="E5" s="998"/>
      <c r="F5" s="998"/>
      <c r="G5" s="998"/>
    </row>
    <row r="6" spans="1:12" ht="15.6">
      <c r="A6" s="996" t="s">
        <v>819</v>
      </c>
      <c r="B6" s="996"/>
      <c r="C6" s="996"/>
      <c r="D6" s="996"/>
      <c r="E6" s="996"/>
      <c r="F6" s="996"/>
      <c r="G6" s="996"/>
    </row>
    <row r="7" spans="1:12">
      <c r="A7" s="213"/>
      <c r="B7" s="213"/>
      <c r="C7" s="248"/>
      <c r="D7" s="248"/>
      <c r="E7" s="248"/>
      <c r="F7" s="213"/>
      <c r="G7" s="248"/>
    </row>
    <row r="8" spans="1:12">
      <c r="A8" s="997" t="s">
        <v>1038</v>
      </c>
      <c r="B8" s="997"/>
      <c r="C8" s="249"/>
      <c r="D8" s="249"/>
      <c r="E8" s="249"/>
      <c r="F8" s="250"/>
      <c r="G8" s="251" t="s">
        <v>1042</v>
      </c>
    </row>
    <row r="9" spans="1:12" ht="34.200000000000003">
      <c r="A9" s="252" t="s">
        <v>182</v>
      </c>
      <c r="B9" s="252" t="s">
        <v>54</v>
      </c>
      <c r="C9" s="252" t="s">
        <v>45</v>
      </c>
      <c r="D9" s="252" t="s">
        <v>212</v>
      </c>
      <c r="E9" s="252" t="s">
        <v>253</v>
      </c>
      <c r="F9" s="252" t="s">
        <v>58</v>
      </c>
      <c r="G9" s="252" t="s">
        <v>1041</v>
      </c>
      <c r="H9" s="215" t="s">
        <v>822</v>
      </c>
    </row>
    <row r="10" spans="1:12" ht="22.8">
      <c r="A10" s="252">
        <v>1</v>
      </c>
      <c r="B10" s="246" t="s">
        <v>814</v>
      </c>
      <c r="C10" s="252" t="s">
        <v>50</v>
      </c>
      <c r="D10" s="253" t="s">
        <v>1046</v>
      </c>
      <c r="E10" s="254"/>
      <c r="F10" s="254" t="e">
        <f>D10+E10</f>
        <v>#VALUE!</v>
      </c>
      <c r="G10" s="255" t="s">
        <v>1035</v>
      </c>
      <c r="H10" s="216"/>
      <c r="L10">
        <f>484*10.76</f>
        <v>5207.84</v>
      </c>
    </row>
    <row r="11" spans="1:12" ht="22.8">
      <c r="A11" s="252">
        <v>2</v>
      </c>
      <c r="B11" s="246" t="s">
        <v>815</v>
      </c>
      <c r="C11" s="252" t="s">
        <v>50</v>
      </c>
      <c r="D11" s="253" t="s">
        <v>1046</v>
      </c>
      <c r="E11" s="254"/>
      <c r="F11" s="254" t="e">
        <f>D11+E11</f>
        <v>#VALUE!</v>
      </c>
      <c r="G11" s="255" t="s">
        <v>1035</v>
      </c>
      <c r="H11" s="216"/>
      <c r="L11" s="80"/>
    </row>
    <row r="12" spans="1:12" s="214" customFormat="1" ht="22.8">
      <c r="A12" s="252">
        <v>3</v>
      </c>
      <c r="B12" s="259" t="s">
        <v>796</v>
      </c>
      <c r="C12" s="252" t="s">
        <v>50</v>
      </c>
      <c r="D12" s="253" t="s">
        <v>1046</v>
      </c>
      <c r="E12" s="254"/>
      <c r="F12" s="254" t="e">
        <f t="shared" ref="F12:F17" si="0">D12+E12</f>
        <v>#VALUE!</v>
      </c>
      <c r="G12" s="255" t="s">
        <v>1035</v>
      </c>
      <c r="H12" s="216"/>
    </row>
    <row r="13" spans="1:12" ht="22.8">
      <c r="A13" s="252">
        <v>4</v>
      </c>
      <c r="B13" s="246" t="s">
        <v>797</v>
      </c>
      <c r="C13" s="252" t="s">
        <v>50</v>
      </c>
      <c r="D13" s="253" t="s">
        <v>1046</v>
      </c>
      <c r="E13" s="254"/>
      <c r="F13" s="254" t="e">
        <f t="shared" si="0"/>
        <v>#VALUE!</v>
      </c>
      <c r="G13" s="255" t="s">
        <v>1035</v>
      </c>
      <c r="H13" s="216"/>
      <c r="K13">
        <f>5649/10.76</f>
        <v>525</v>
      </c>
    </row>
    <row r="14" spans="1:12" ht="22.8">
      <c r="A14" s="252">
        <v>5</v>
      </c>
      <c r="B14" s="246" t="s">
        <v>798</v>
      </c>
      <c r="C14" s="252" t="s">
        <v>50</v>
      </c>
      <c r="D14" s="253" t="s">
        <v>1046</v>
      </c>
      <c r="E14" s="254"/>
      <c r="F14" s="254" t="e">
        <f>D14+E14</f>
        <v>#VALUE!</v>
      </c>
      <c r="G14" s="255" t="s">
        <v>1035</v>
      </c>
      <c r="H14" s="216"/>
    </row>
    <row r="15" spans="1:12" s="214" customFormat="1" ht="22.8">
      <c r="A15" s="252">
        <v>6</v>
      </c>
      <c r="B15" s="246" t="s">
        <v>799</v>
      </c>
      <c r="C15" s="252" t="s">
        <v>50</v>
      </c>
      <c r="D15" s="253" t="s">
        <v>1046</v>
      </c>
      <c r="E15" s="254"/>
      <c r="F15" s="254" t="e">
        <f t="shared" si="0"/>
        <v>#VALUE!</v>
      </c>
      <c r="G15" s="255" t="s">
        <v>1035</v>
      </c>
      <c r="H15" s="216"/>
    </row>
    <row r="16" spans="1:12" ht="22.8">
      <c r="A16" s="252">
        <v>7</v>
      </c>
      <c r="B16" s="246" t="s">
        <v>800</v>
      </c>
      <c r="C16" s="252" t="s">
        <v>50</v>
      </c>
      <c r="D16" s="253" t="s">
        <v>1046</v>
      </c>
      <c r="E16" s="254"/>
      <c r="F16" s="254" t="e">
        <f t="shared" si="0"/>
        <v>#VALUE!</v>
      </c>
      <c r="G16" s="255" t="s">
        <v>1035</v>
      </c>
      <c r="H16" s="216"/>
    </row>
    <row r="17" spans="1:12" s="214" customFormat="1" ht="22.8">
      <c r="A17" s="252">
        <v>8</v>
      </c>
      <c r="B17" s="246" t="s">
        <v>801</v>
      </c>
      <c r="C17" s="252" t="s">
        <v>50</v>
      </c>
      <c r="D17" s="253" t="s">
        <v>1046</v>
      </c>
      <c r="E17" s="254"/>
      <c r="F17" s="254" t="e">
        <f t="shared" si="0"/>
        <v>#VALUE!</v>
      </c>
      <c r="G17" s="255" t="s">
        <v>1035</v>
      </c>
      <c r="H17" s="216"/>
    </row>
    <row r="18" spans="1:12" s="214" customFormat="1" ht="22.8">
      <c r="A18" s="252">
        <v>9</v>
      </c>
      <c r="B18" s="246" t="s">
        <v>802</v>
      </c>
      <c r="C18" s="252" t="s">
        <v>50</v>
      </c>
      <c r="D18" s="253" t="s">
        <v>1046</v>
      </c>
      <c r="E18" s="254"/>
      <c r="F18" s="254" t="e">
        <f t="shared" ref="F18:F26" si="1">D18+E18</f>
        <v>#VALUE!</v>
      </c>
      <c r="G18" s="255" t="s">
        <v>1035</v>
      </c>
      <c r="H18" s="216"/>
    </row>
    <row r="19" spans="1:12" s="214" customFormat="1" ht="22.8">
      <c r="A19" s="252">
        <v>10</v>
      </c>
      <c r="B19" s="246" t="s">
        <v>803</v>
      </c>
      <c r="C19" s="252" t="s">
        <v>50</v>
      </c>
      <c r="D19" s="253" t="s">
        <v>1046</v>
      </c>
      <c r="E19" s="254"/>
      <c r="F19" s="254" t="e">
        <f t="shared" si="1"/>
        <v>#VALUE!</v>
      </c>
      <c r="G19" s="255" t="s">
        <v>1035</v>
      </c>
      <c r="H19" s="216"/>
    </row>
    <row r="20" spans="1:12" s="214" customFormat="1" ht="22.8">
      <c r="A20" s="252">
        <v>11</v>
      </c>
      <c r="B20" s="246" t="s">
        <v>804</v>
      </c>
      <c r="C20" s="252" t="s">
        <v>50</v>
      </c>
      <c r="D20" s="253" t="s">
        <v>1046</v>
      </c>
      <c r="E20" s="254"/>
      <c r="F20" s="254" t="e">
        <f t="shared" si="1"/>
        <v>#VALUE!</v>
      </c>
      <c r="G20" s="255" t="s">
        <v>1035</v>
      </c>
      <c r="H20" s="216"/>
    </row>
    <row r="21" spans="1:12" ht="22.8">
      <c r="A21" s="252">
        <v>12</v>
      </c>
      <c r="B21" s="246" t="s">
        <v>805</v>
      </c>
      <c r="C21" s="252" t="s">
        <v>50</v>
      </c>
      <c r="D21" s="253" t="s">
        <v>1046</v>
      </c>
      <c r="E21" s="254"/>
      <c r="F21" s="254" t="e">
        <f t="shared" si="1"/>
        <v>#VALUE!</v>
      </c>
      <c r="G21" s="255" t="s">
        <v>1035</v>
      </c>
      <c r="H21" s="216"/>
    </row>
    <row r="22" spans="1:12" ht="22.8">
      <c r="A22" s="252">
        <v>13</v>
      </c>
      <c r="B22" s="246" t="s">
        <v>806</v>
      </c>
      <c r="C22" s="252" t="s">
        <v>50</v>
      </c>
      <c r="D22" s="253" t="s">
        <v>1046</v>
      </c>
      <c r="E22" s="254"/>
      <c r="F22" s="254" t="e">
        <f t="shared" si="1"/>
        <v>#VALUE!</v>
      </c>
      <c r="G22" s="255" t="s">
        <v>1035</v>
      </c>
      <c r="H22" s="216"/>
    </row>
    <row r="23" spans="1:12" ht="22.8">
      <c r="A23" s="252">
        <v>14</v>
      </c>
      <c r="B23" s="246" t="s">
        <v>874</v>
      </c>
      <c r="C23" s="252" t="s">
        <v>50</v>
      </c>
      <c r="D23" s="253" t="s">
        <v>1046</v>
      </c>
      <c r="E23" s="254"/>
      <c r="F23" s="254" t="e">
        <f t="shared" si="1"/>
        <v>#VALUE!</v>
      </c>
      <c r="G23" s="255"/>
      <c r="H23" s="216"/>
      <c r="L23">
        <f>484*10.76</f>
        <v>5207.84</v>
      </c>
    </row>
    <row r="24" spans="1:12" ht="22.8">
      <c r="A24" s="252">
        <v>15</v>
      </c>
      <c r="B24" s="246" t="s">
        <v>875</v>
      </c>
      <c r="C24" s="252" t="s">
        <v>50</v>
      </c>
      <c r="D24" s="253" t="s">
        <v>1046</v>
      </c>
      <c r="E24" s="254"/>
      <c r="F24" s="254" t="e">
        <f t="shared" si="1"/>
        <v>#VALUE!</v>
      </c>
      <c r="G24" s="255"/>
      <c r="H24" s="216"/>
      <c r="L24">
        <f>484*10.76</f>
        <v>5207.84</v>
      </c>
    </row>
    <row r="25" spans="1:12" ht="22.8">
      <c r="A25" s="252">
        <v>16</v>
      </c>
      <c r="B25" s="246" t="s">
        <v>876</v>
      </c>
      <c r="C25" s="252" t="s">
        <v>50</v>
      </c>
      <c r="D25" s="253" t="s">
        <v>1046</v>
      </c>
      <c r="E25" s="254"/>
      <c r="F25" s="254" t="e">
        <f t="shared" si="1"/>
        <v>#VALUE!</v>
      </c>
      <c r="G25" s="255"/>
      <c r="H25" s="216"/>
      <c r="L25">
        <f>484*10.76</f>
        <v>5207.84</v>
      </c>
    </row>
    <row r="26" spans="1:12" ht="22.8">
      <c r="A26" s="252">
        <v>17</v>
      </c>
      <c r="B26" s="246" t="s">
        <v>877</v>
      </c>
      <c r="C26" s="252" t="s">
        <v>50</v>
      </c>
      <c r="D26" s="253" t="s">
        <v>1046</v>
      </c>
      <c r="E26" s="254"/>
      <c r="F26" s="254" t="e">
        <f t="shared" si="1"/>
        <v>#VALUE!</v>
      </c>
      <c r="G26" s="255"/>
      <c r="H26" s="216"/>
      <c r="L26">
        <f>484*10.76</f>
        <v>5207.84</v>
      </c>
    </row>
    <row r="27" spans="1:12">
      <c r="A27" s="247"/>
      <c r="B27" s="256" t="s">
        <v>869</v>
      </c>
      <c r="C27" s="257"/>
      <c r="D27" s="247"/>
      <c r="E27" s="247"/>
      <c r="F27" s="247"/>
      <c r="G27" s="247"/>
    </row>
    <row r="28" spans="1:12">
      <c r="A28" s="214"/>
      <c r="B28" s="214" t="s">
        <v>870</v>
      </c>
      <c r="C28" s="258"/>
      <c r="D28" s="261">
        <v>523</v>
      </c>
      <c r="E28" s="214"/>
      <c r="F28" s="214"/>
      <c r="G28" s="214"/>
    </row>
    <row r="29" spans="1:12">
      <c r="A29" s="214"/>
      <c r="B29" s="214" t="s">
        <v>935</v>
      </c>
      <c r="C29" s="258"/>
      <c r="D29" s="261">
        <v>7600</v>
      </c>
      <c r="E29" s="214"/>
      <c r="F29" s="214"/>
      <c r="G29" s="214"/>
    </row>
    <row r="30" spans="1:12">
      <c r="A30" s="214"/>
      <c r="B30" s="214" t="s">
        <v>871</v>
      </c>
      <c r="C30" s="258"/>
      <c r="D30" s="261">
        <v>285</v>
      </c>
      <c r="E30" s="214"/>
      <c r="F30" s="214"/>
      <c r="G30" s="214"/>
    </row>
    <row r="31" spans="1:12">
      <c r="A31" s="214"/>
      <c r="B31" s="214" t="s">
        <v>872</v>
      </c>
      <c r="C31" s="258"/>
      <c r="D31" s="261">
        <v>133</v>
      </c>
      <c r="E31" s="214"/>
      <c r="F31" s="214"/>
      <c r="G31" s="214"/>
    </row>
    <row r="32" spans="1:12">
      <c r="A32" s="214"/>
      <c r="B32" s="214" t="s">
        <v>873</v>
      </c>
      <c r="C32" s="258"/>
      <c r="D32" s="261">
        <v>152</v>
      </c>
      <c r="E32" s="214"/>
      <c r="F32" s="214"/>
      <c r="G32" s="214"/>
    </row>
    <row r="33" spans="1:7">
      <c r="A33" s="214"/>
      <c r="B33" s="214"/>
      <c r="C33" s="258"/>
      <c r="D33" s="214"/>
      <c r="E33" s="214"/>
      <c r="F33" s="214"/>
      <c r="G33" s="214"/>
    </row>
  </sheetData>
  <mergeCells count="7">
    <mergeCell ref="A6:G6"/>
    <mergeCell ref="A8:B8"/>
    <mergeCell ref="A1:G1"/>
    <mergeCell ref="A2:G2"/>
    <mergeCell ref="A3:G3"/>
    <mergeCell ref="A4:G4"/>
    <mergeCell ref="A5:G5"/>
  </mergeCells>
  <phoneticPr fontId="2" type="noConversion"/>
  <printOptions horizontalCentered="1"/>
  <pageMargins left="0.74" right="0.25" top="0.5" bottom="0.75" header="0.5" footer="0.5"/>
  <pageSetup scale="8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DA77-0F71-4247-948B-58BC6C805C66}">
  <dimension ref="A1:H147"/>
  <sheetViews>
    <sheetView view="pageBreakPreview" topLeftCell="A154" zoomScale="136" zoomScaleSheetLayoutView="136" workbookViewId="0">
      <selection activeCell="I13" sqref="I13"/>
    </sheetView>
  </sheetViews>
  <sheetFormatPr defaultRowHeight="13.2"/>
  <cols>
    <col min="1" max="1" width="6" bestFit="1" customWidth="1"/>
    <col min="2" max="2" width="9.5546875" bestFit="1" customWidth="1"/>
    <col min="3" max="3" width="25.44140625" customWidth="1"/>
    <col min="4" max="4" width="9.5546875" bestFit="1" customWidth="1"/>
    <col min="5" max="5" width="6.109375" bestFit="1" customWidth="1"/>
    <col min="6" max="6" width="11" bestFit="1" customWidth="1"/>
    <col min="7" max="7" width="10" bestFit="1" customWidth="1"/>
    <col min="8" max="8" width="10.44140625" bestFit="1" customWidth="1"/>
  </cols>
  <sheetData>
    <row r="1" spans="1:8" s="3" customFormat="1" ht="25.5" customHeight="1">
      <c r="A1" s="8">
        <v>8.23</v>
      </c>
      <c r="B1" s="7" t="s">
        <v>411</v>
      </c>
      <c r="C1" s="1008" t="s">
        <v>634</v>
      </c>
      <c r="D1" s="1009"/>
      <c r="E1" s="1010"/>
      <c r="F1" s="32" t="s">
        <v>50</v>
      </c>
      <c r="G1" s="211">
        <f>TRUNC(G7/10,2)</f>
        <v>5312.41</v>
      </c>
      <c r="H1" s="209">
        <f>TRUNC(G9/10,2)</f>
        <v>6109.27</v>
      </c>
    </row>
    <row r="2" spans="1:8" s="3" customFormat="1" ht="11.4">
      <c r="B2" s="41" t="s">
        <v>80</v>
      </c>
      <c r="C2" s="40" t="s">
        <v>81</v>
      </c>
      <c r="D2" s="40" t="s">
        <v>44</v>
      </c>
      <c r="E2" s="40" t="s">
        <v>45</v>
      </c>
      <c r="F2" s="23" t="s">
        <v>58</v>
      </c>
      <c r="G2" s="29" t="s">
        <v>59</v>
      </c>
      <c r="H2" s="23" t="s">
        <v>52</v>
      </c>
    </row>
    <row r="3" spans="1:8" s="3" customFormat="1" ht="11.4">
      <c r="B3" s="1011" t="s">
        <v>60</v>
      </c>
      <c r="C3" s="9" t="s">
        <v>69</v>
      </c>
      <c r="D3" s="19">
        <v>6.5</v>
      </c>
      <c r="E3" s="40" t="s">
        <v>46</v>
      </c>
      <c r="F3" s="28">
        <f>LOOKUP(C3,'Basic Rate'!$B$8:$B$328,'Basic Rate'!$F$8:$F$328)</f>
        <v>1200</v>
      </c>
      <c r="G3" s="24">
        <f>TRUNC(D3*F3,2)</f>
        <v>7800</v>
      </c>
      <c r="H3" s="24"/>
    </row>
    <row r="4" spans="1:8" s="3" customFormat="1" ht="11.4">
      <c r="B4" s="1012"/>
      <c r="C4" s="9" t="s">
        <v>43</v>
      </c>
      <c r="D4" s="19">
        <v>0.65</v>
      </c>
      <c r="E4" s="40" t="s">
        <v>46</v>
      </c>
      <c r="F4" s="28">
        <f>LOOKUP(C4,'Basic Rate'!$B$8:$B$328,'Basic Rate'!$F$8:$F$328)</f>
        <v>870</v>
      </c>
      <c r="G4" s="24">
        <f>TRUNC(D4*F4,2)</f>
        <v>565.5</v>
      </c>
      <c r="H4" s="24"/>
    </row>
    <row r="5" spans="1:8" s="3" customFormat="1">
      <c r="B5" s="1016" t="s">
        <v>63</v>
      </c>
      <c r="C5" s="37" t="s">
        <v>595</v>
      </c>
      <c r="D5" s="19">
        <f>0.421/2</f>
        <v>0.21049999999999999</v>
      </c>
      <c r="E5" s="40" t="s">
        <v>68</v>
      </c>
      <c r="F5" s="28">
        <f>LOOKUP(C5,'Basic Rate'!$B$8:$B$328,'Basic Rate'!$F$8:$F$328)</f>
        <v>211680</v>
      </c>
      <c r="G5" s="24">
        <f>TRUNC(D5*F5,2)</f>
        <v>44558.64</v>
      </c>
      <c r="H5" s="24"/>
    </row>
    <row r="6" spans="1:8" s="3" customFormat="1" ht="11.4">
      <c r="B6" s="1012"/>
      <c r="C6" s="9" t="s">
        <v>151</v>
      </c>
      <c r="D6" s="10"/>
      <c r="E6" s="40"/>
      <c r="F6" s="28"/>
      <c r="G6" s="24">
        <v>200</v>
      </c>
      <c r="H6" s="24"/>
    </row>
    <row r="7" spans="1:8" s="3" customFormat="1" ht="11.4">
      <c r="B7" s="1013" t="s">
        <v>165</v>
      </c>
      <c r="C7" s="1013"/>
      <c r="D7" s="1014" t="s">
        <v>61</v>
      </c>
      <c r="E7" s="1014"/>
      <c r="F7" s="1014"/>
      <c r="G7" s="210">
        <f>SUM(G3:G6)</f>
        <v>53124.14</v>
      </c>
      <c r="H7" s="24"/>
    </row>
    <row r="8" spans="1:8" s="3" customFormat="1" ht="11.4">
      <c r="B8" s="1013"/>
      <c r="C8" s="1013"/>
      <c r="D8" s="1015" t="s">
        <v>573</v>
      </c>
      <c r="E8" s="1015"/>
      <c r="F8" s="1015"/>
      <c r="G8" s="24">
        <f>INT(15%*G7*100)/100</f>
        <v>7968.62</v>
      </c>
      <c r="H8" s="24"/>
    </row>
    <row r="9" spans="1:8" s="3" customFormat="1" ht="11.4">
      <c r="B9" s="1013"/>
      <c r="C9" s="1013"/>
      <c r="D9" s="1014" t="s">
        <v>47</v>
      </c>
      <c r="E9" s="1014"/>
      <c r="F9" s="1014"/>
      <c r="G9" s="210">
        <f>SUM(G7:G8)</f>
        <v>61092.76</v>
      </c>
      <c r="H9" s="24"/>
    </row>
    <row r="11" spans="1:8" s="3" customFormat="1" ht="28.5" customHeight="1">
      <c r="A11" s="15">
        <v>3.18</v>
      </c>
      <c r="B11" s="16" t="s">
        <v>303</v>
      </c>
      <c r="C11" s="1024" t="s">
        <v>690</v>
      </c>
      <c r="D11" s="1025"/>
      <c r="E11" s="1025"/>
      <c r="F11" s="30" t="s">
        <v>68</v>
      </c>
      <c r="G11" s="211">
        <f>G16</f>
        <v>1305</v>
      </c>
      <c r="H11" s="209">
        <f>G18</f>
        <v>1500.75</v>
      </c>
    </row>
    <row r="12" spans="1:8" s="3" customFormat="1" ht="11.4">
      <c r="B12" s="41" t="s">
        <v>80</v>
      </c>
      <c r="C12" s="40" t="s">
        <v>81</v>
      </c>
      <c r="D12" s="40" t="s">
        <v>44</v>
      </c>
      <c r="E12" s="40" t="s">
        <v>45</v>
      </c>
      <c r="F12" s="23" t="s">
        <v>58</v>
      </c>
      <c r="G12" s="23" t="s">
        <v>59</v>
      </c>
      <c r="H12" s="23" t="s">
        <v>52</v>
      </c>
    </row>
    <row r="13" spans="1:8" s="3" customFormat="1" ht="11.4">
      <c r="B13" s="41" t="s">
        <v>60</v>
      </c>
      <c r="C13" s="9" t="s">
        <v>43</v>
      </c>
      <c r="D13" s="10">
        <v>1.5</v>
      </c>
      <c r="E13" s="40" t="s">
        <v>46</v>
      </c>
      <c r="F13" s="28">
        <f>LOOKUP(C13,'Basic Rate'!$B$8:$B$328,'Basic Rate'!$F$8:$F$328)</f>
        <v>870</v>
      </c>
      <c r="G13" s="28">
        <f>TRUNC(D13*F13,2)</f>
        <v>1305</v>
      </c>
      <c r="H13" s="24"/>
    </row>
    <row r="14" spans="1:8" s="3" customFormat="1" ht="11.4">
      <c r="B14" s="1026" t="s">
        <v>63</v>
      </c>
      <c r="C14" s="2" t="s">
        <v>153</v>
      </c>
      <c r="D14" s="10">
        <v>0</v>
      </c>
      <c r="E14" s="40" t="s">
        <v>68</v>
      </c>
      <c r="F14" s="28">
        <f>LOOKUP(C14,'Basic Rate'!$B$8:$B$328,'Basic Rate'!$F$8:$F$328)</f>
        <v>1910</v>
      </c>
      <c r="G14" s="28">
        <f>TRUNC(D14*F14,2)</f>
        <v>0</v>
      </c>
      <c r="H14" s="24"/>
    </row>
    <row r="15" spans="1:8" s="3" customFormat="1" ht="11.4">
      <c r="B15" s="1026"/>
      <c r="C15" s="2" t="s">
        <v>154</v>
      </c>
      <c r="D15" s="10">
        <v>0</v>
      </c>
      <c r="E15" s="40" t="s">
        <v>68</v>
      </c>
      <c r="F15" s="28">
        <f>LOOKUP(C15,'Basic Rate'!$B$8:$B$328,'Basic Rate'!$F$8:$F$328)</f>
        <v>1810</v>
      </c>
      <c r="G15" s="28">
        <f>TRUNC(D15*F15,2)</f>
        <v>0</v>
      </c>
      <c r="H15" s="24"/>
    </row>
    <row r="16" spans="1:8" s="3" customFormat="1" ht="11.4">
      <c r="B16" s="1013" t="s">
        <v>62</v>
      </c>
      <c r="C16" s="1013"/>
      <c r="D16" s="1027" t="s">
        <v>61</v>
      </c>
      <c r="E16" s="1028"/>
      <c r="F16" s="1029"/>
      <c r="G16" s="24">
        <f>SUM(G13:G15)</f>
        <v>1305</v>
      </c>
      <c r="H16" s="24"/>
    </row>
    <row r="17" spans="1:8" s="3" customFormat="1" ht="11.4">
      <c r="B17" s="1013"/>
      <c r="C17" s="1013"/>
      <c r="D17" s="1030" t="s">
        <v>573</v>
      </c>
      <c r="E17" s="1031"/>
      <c r="F17" s="1032"/>
      <c r="G17" s="24">
        <f>INT(15%*G16*100)/100</f>
        <v>195.75</v>
      </c>
      <c r="H17" s="24"/>
    </row>
    <row r="18" spans="1:8" s="3" customFormat="1" ht="11.4">
      <c r="B18" s="1013"/>
      <c r="C18" s="1013"/>
      <c r="D18" s="1027" t="s">
        <v>47</v>
      </c>
      <c r="E18" s="1028"/>
      <c r="F18" s="1029"/>
      <c r="G18" s="24">
        <f>SUM(G16:G17)</f>
        <v>1500.75</v>
      </c>
      <c r="H18" s="24"/>
    </row>
    <row r="19" spans="1:8" s="3" customFormat="1" ht="38.25" customHeight="1">
      <c r="A19" s="75" t="s">
        <v>635</v>
      </c>
      <c r="B19" s="76"/>
      <c r="C19" s="76"/>
      <c r="D19" s="76"/>
      <c r="E19" s="76"/>
      <c r="F19" s="76"/>
      <c r="G19" s="76"/>
      <c r="H19" s="76"/>
    </row>
    <row r="20" spans="1:8" s="3" customFormat="1" ht="11.4">
      <c r="A20" s="26" t="s">
        <v>636</v>
      </c>
      <c r="B20" s="7"/>
      <c r="C20" s="1008" t="s">
        <v>681</v>
      </c>
      <c r="D20" s="1009"/>
      <c r="E20" s="1010"/>
      <c r="F20" s="33" t="s">
        <v>680</v>
      </c>
      <c r="G20" s="211" t="e">
        <f>G28</f>
        <v>#VALUE!</v>
      </c>
      <c r="H20" s="209" t="e">
        <f>G30</f>
        <v>#VALUE!</v>
      </c>
    </row>
    <row r="21" spans="1:8" s="3" customFormat="1" ht="11.4">
      <c r="B21" s="41" t="s">
        <v>80</v>
      </c>
      <c r="C21" s="40" t="s">
        <v>81</v>
      </c>
      <c r="D21" s="40" t="s">
        <v>44</v>
      </c>
      <c r="E21" s="40" t="s">
        <v>45</v>
      </c>
      <c r="F21" s="23" t="s">
        <v>58</v>
      </c>
      <c r="G21" s="29" t="s">
        <v>59</v>
      </c>
      <c r="H21" s="23" t="s">
        <v>52</v>
      </c>
    </row>
    <row r="22" spans="1:8" s="3" customFormat="1" ht="11.4">
      <c r="B22" s="1011" t="s">
        <v>60</v>
      </c>
      <c r="C22" s="2" t="s">
        <v>69</v>
      </c>
      <c r="D22" s="19">
        <v>0.45</v>
      </c>
      <c r="E22" s="40" t="s">
        <v>46</v>
      </c>
      <c r="F22" s="28">
        <f>LOOKUP(C22,'Basic Rate'!$B$8:$B$328,'Basic Rate'!$F$8:$F$328)</f>
        <v>1200</v>
      </c>
      <c r="G22" s="24">
        <f t="shared" ref="G22:G27" si="0">TRUNC(D22*F22,2)</f>
        <v>540</v>
      </c>
      <c r="H22" s="24"/>
    </row>
    <row r="23" spans="1:8" s="3" customFormat="1" ht="11.4">
      <c r="B23" s="1012"/>
      <c r="C23" s="9" t="s">
        <v>43</v>
      </c>
      <c r="D23" s="19">
        <v>0.2</v>
      </c>
      <c r="E23" s="40" t="s">
        <v>46</v>
      </c>
      <c r="F23" s="28">
        <f>LOOKUP(C23,'Basic Rate'!$B$8:$B$328,'Basic Rate'!$F$8:$F$328)</f>
        <v>870</v>
      </c>
      <c r="G23" s="24">
        <f t="shared" si="0"/>
        <v>174</v>
      </c>
      <c r="H23" s="24"/>
    </row>
    <row r="24" spans="1:8" s="3" customFormat="1" ht="11.4">
      <c r="B24" s="47"/>
      <c r="C24" s="9" t="s">
        <v>43</v>
      </c>
      <c r="D24" s="19">
        <v>0.3</v>
      </c>
      <c r="E24" s="40" t="s">
        <v>46</v>
      </c>
      <c r="F24" s="28">
        <f>LOOKUP(C24,'Basic Rate'!$B$8:$B$328,'Basic Rate'!$F$8:$F$328)</f>
        <v>870</v>
      </c>
      <c r="G24" s="24">
        <f t="shared" si="0"/>
        <v>261</v>
      </c>
      <c r="H24" s="24"/>
    </row>
    <row r="25" spans="1:8" s="3" customFormat="1">
      <c r="B25" s="1016" t="s">
        <v>63</v>
      </c>
      <c r="C25" s="38" t="s">
        <v>37</v>
      </c>
      <c r="D25" s="19">
        <v>30.6</v>
      </c>
      <c r="E25" s="46" t="s">
        <v>615</v>
      </c>
      <c r="F25" s="28" t="s">
        <v>701</v>
      </c>
      <c r="G25" s="24" t="e">
        <f t="shared" si="0"/>
        <v>#VALUE!</v>
      </c>
      <c r="H25" s="24"/>
    </row>
    <row r="26" spans="1:8" s="3" customFormat="1">
      <c r="B26" s="1017"/>
      <c r="C26" s="37" t="s">
        <v>682</v>
      </c>
      <c r="D26" s="19">
        <v>3.9</v>
      </c>
      <c r="E26" s="46" t="s">
        <v>615</v>
      </c>
      <c r="F26" s="28">
        <v>90.64</v>
      </c>
      <c r="G26" s="24">
        <f t="shared" si="0"/>
        <v>353.49</v>
      </c>
      <c r="H26" s="24"/>
    </row>
    <row r="27" spans="1:8" s="3" customFormat="1">
      <c r="B27" s="1017"/>
      <c r="C27" s="37" t="s">
        <v>683</v>
      </c>
      <c r="D27" s="19">
        <v>1.2</v>
      </c>
      <c r="E27" s="46" t="s">
        <v>615</v>
      </c>
      <c r="F27" s="28">
        <v>90.64</v>
      </c>
      <c r="G27" s="24">
        <f t="shared" si="0"/>
        <v>108.76</v>
      </c>
      <c r="H27" s="24"/>
    </row>
    <row r="28" spans="1:8" s="3" customFormat="1" ht="11.4">
      <c r="B28" s="1013" t="s">
        <v>165</v>
      </c>
      <c r="C28" s="1013"/>
      <c r="D28" s="1014" t="s">
        <v>61</v>
      </c>
      <c r="E28" s="1014"/>
      <c r="F28" s="1014"/>
      <c r="G28" s="210" t="e">
        <f>SUM(G22:G27)</f>
        <v>#VALUE!</v>
      </c>
      <c r="H28" s="24"/>
    </row>
    <row r="29" spans="1:8" s="3" customFormat="1" ht="11.4">
      <c r="B29" s="1013"/>
      <c r="C29" s="1013"/>
      <c r="D29" s="1015" t="s">
        <v>573</v>
      </c>
      <c r="E29" s="1015"/>
      <c r="F29" s="1015"/>
      <c r="G29" s="24" t="e">
        <f>INT(15%*G28*100)/100</f>
        <v>#VALUE!</v>
      </c>
      <c r="H29" s="24"/>
    </row>
    <row r="30" spans="1:8" s="3" customFormat="1" ht="11.4">
      <c r="B30" s="1013"/>
      <c r="C30" s="1013"/>
      <c r="D30" s="1014" t="s">
        <v>47</v>
      </c>
      <c r="E30" s="1014"/>
      <c r="F30" s="1014"/>
      <c r="G30" s="210" t="e">
        <f>SUM(G28:G29)</f>
        <v>#VALUE!</v>
      </c>
      <c r="H30" s="24"/>
    </row>
    <row r="31" spans="1:8" s="3" customFormat="1" ht="18" customHeight="1">
      <c r="B31" s="42"/>
      <c r="C31" s="69"/>
      <c r="D31" s="43"/>
      <c r="E31" s="44"/>
      <c r="F31" s="40"/>
      <c r="G31" s="24"/>
      <c r="H31" s="24"/>
    </row>
    <row r="32" spans="1:8" s="3" customFormat="1" ht="11.4">
      <c r="A32" s="26"/>
      <c r="B32" s="7"/>
      <c r="C32" s="1008" t="s">
        <v>684</v>
      </c>
      <c r="D32" s="1009"/>
      <c r="E32" s="1010"/>
      <c r="F32" s="33" t="s">
        <v>685</v>
      </c>
      <c r="G32" s="32">
        <f>G37</f>
        <v>2345</v>
      </c>
      <c r="H32" s="35">
        <f>G39</f>
        <v>2696.75</v>
      </c>
    </row>
    <row r="33" spans="1:8" s="3" customFormat="1" ht="11.4">
      <c r="B33" s="41" t="s">
        <v>80</v>
      </c>
      <c r="C33" s="40" t="s">
        <v>81</v>
      </c>
      <c r="D33" s="40" t="s">
        <v>44</v>
      </c>
      <c r="E33" s="40" t="s">
        <v>45</v>
      </c>
      <c r="F33" s="23" t="s">
        <v>58</v>
      </c>
      <c r="G33" s="29" t="s">
        <v>59</v>
      </c>
      <c r="H33" s="23" t="s">
        <v>52</v>
      </c>
    </row>
    <row r="34" spans="1:8" s="3" customFormat="1" ht="11.4">
      <c r="B34" s="1011" t="s">
        <v>60</v>
      </c>
      <c r="C34" s="9" t="s">
        <v>69</v>
      </c>
      <c r="D34" s="19"/>
      <c r="E34" s="40" t="s">
        <v>46</v>
      </c>
      <c r="F34" s="28">
        <f>LOOKUP(C34,'Basic Rate'!$B$8:$B$328,'Basic Rate'!$F$8:$F$328)</f>
        <v>1200</v>
      </c>
      <c r="G34" s="24">
        <f>TRUNC(D34*F34,2)</f>
        <v>0</v>
      </c>
      <c r="H34" s="24"/>
    </row>
    <row r="35" spans="1:8" s="3" customFormat="1" ht="11.4">
      <c r="B35" s="1012"/>
      <c r="C35" s="9" t="s">
        <v>43</v>
      </c>
      <c r="D35" s="19">
        <v>0.5</v>
      </c>
      <c r="E35" s="40" t="s">
        <v>46</v>
      </c>
      <c r="F35" s="28">
        <f>LOOKUP(C35,'Basic Rate'!$B$8:$B$328,'Basic Rate'!$F$8:$F$328)</f>
        <v>870</v>
      </c>
      <c r="G35" s="24">
        <f>TRUNC(D35*F35,2)</f>
        <v>435</v>
      </c>
      <c r="H35" s="24"/>
    </row>
    <row r="36" spans="1:8" s="3" customFormat="1">
      <c r="B36" s="45" t="s">
        <v>63</v>
      </c>
      <c r="C36" s="37" t="s">
        <v>153</v>
      </c>
      <c r="D36" s="19">
        <v>1</v>
      </c>
      <c r="E36" s="46" t="s">
        <v>685</v>
      </c>
      <c r="F36" s="28">
        <f>LOOKUP(C36,'Basic Rate'!$B$8:$B$328,'Basic Rate'!$F$8:$F$328)</f>
        <v>1910</v>
      </c>
      <c r="G36" s="24">
        <f>TRUNC(D36*F36,2)</f>
        <v>1910</v>
      </c>
      <c r="H36" s="24"/>
    </row>
    <row r="37" spans="1:8" s="3" customFormat="1" ht="11.4">
      <c r="B37" s="1013" t="s">
        <v>165</v>
      </c>
      <c r="C37" s="1013"/>
      <c r="D37" s="1014" t="s">
        <v>61</v>
      </c>
      <c r="E37" s="1014"/>
      <c r="F37" s="1014"/>
      <c r="G37" s="24">
        <f>SUM(G34:G36)</f>
        <v>2345</v>
      </c>
      <c r="H37" s="24"/>
    </row>
    <row r="38" spans="1:8" s="3" customFormat="1" ht="11.4">
      <c r="B38" s="1013"/>
      <c r="C38" s="1013"/>
      <c r="D38" s="1015" t="s">
        <v>573</v>
      </c>
      <c r="E38" s="1015"/>
      <c r="F38" s="1015"/>
      <c r="G38" s="24">
        <f>INT(15%*G37*100)/100</f>
        <v>351.75</v>
      </c>
      <c r="H38" s="24"/>
    </row>
    <row r="39" spans="1:8" s="49" customFormat="1" ht="17.399999999999999">
      <c r="A39" s="3"/>
      <c r="B39" s="1013"/>
      <c r="C39" s="1013"/>
      <c r="D39" s="1014" t="s">
        <v>47</v>
      </c>
      <c r="E39" s="1014"/>
      <c r="F39" s="1014"/>
      <c r="G39" s="24">
        <f>SUM(G37:G38)</f>
        <v>2696.75</v>
      </c>
      <c r="H39" s="24"/>
    </row>
    <row r="40" spans="1:8" s="49" customFormat="1" ht="144.75" hidden="1" customHeight="1">
      <c r="A40" s="999" t="s">
        <v>636</v>
      </c>
      <c r="B40" s="50"/>
      <c r="C40" s="51" t="s">
        <v>637</v>
      </c>
      <c r="D40" s="52"/>
      <c r="E40" s="52"/>
      <c r="F40" s="52"/>
      <c r="G40" s="52"/>
      <c r="H40" s="52"/>
    </row>
    <row r="41" spans="1:8" s="49" customFormat="1" ht="34.799999999999997" hidden="1">
      <c r="A41" s="1000"/>
      <c r="B41" s="54"/>
      <c r="C41" s="1004" t="s">
        <v>638</v>
      </c>
      <c r="D41" s="1006" t="s">
        <v>639</v>
      </c>
      <c r="E41" s="55" t="s">
        <v>640</v>
      </c>
      <c r="F41" s="55" t="s">
        <v>641</v>
      </c>
      <c r="G41" s="55" t="s">
        <v>642</v>
      </c>
      <c r="H41" s="55" t="s">
        <v>643</v>
      </c>
    </row>
    <row r="42" spans="1:8" s="49" customFormat="1" ht="34.799999999999997" hidden="1">
      <c r="A42" s="1000"/>
      <c r="B42" s="54"/>
      <c r="C42" s="1005"/>
      <c r="D42" s="1007"/>
      <c r="E42" s="55" t="s">
        <v>644</v>
      </c>
      <c r="F42" s="55" t="s">
        <v>645</v>
      </c>
      <c r="G42" s="55" t="s">
        <v>646</v>
      </c>
      <c r="H42" s="55" t="s">
        <v>647</v>
      </c>
    </row>
    <row r="43" spans="1:8" s="49" customFormat="1" ht="34.799999999999997" hidden="1">
      <c r="A43" s="1000"/>
      <c r="B43" s="54"/>
      <c r="C43" s="1002" t="s">
        <v>648</v>
      </c>
      <c r="D43" s="1003" t="s">
        <v>639</v>
      </c>
      <c r="E43" s="55" t="s">
        <v>640</v>
      </c>
      <c r="F43" s="55" t="s">
        <v>641</v>
      </c>
      <c r="G43" s="55" t="s">
        <v>649</v>
      </c>
      <c r="H43" s="55" t="s">
        <v>650</v>
      </c>
    </row>
    <row r="44" spans="1:8" s="49" customFormat="1" ht="34.799999999999997" hidden="1">
      <c r="A44" s="1000"/>
      <c r="B44" s="54"/>
      <c r="C44" s="1002"/>
      <c r="D44" s="1003"/>
      <c r="E44" s="55" t="s">
        <v>644</v>
      </c>
      <c r="F44" s="55" t="s">
        <v>645</v>
      </c>
      <c r="G44" s="55" t="s">
        <v>651</v>
      </c>
      <c r="H44" s="55" t="s">
        <v>647</v>
      </c>
    </row>
    <row r="45" spans="1:8" s="49" customFormat="1" ht="34.799999999999997" hidden="1">
      <c r="A45" s="1000"/>
      <c r="B45" s="54"/>
      <c r="C45" s="1004" t="s">
        <v>652</v>
      </c>
      <c r="D45" s="1006" t="s">
        <v>639</v>
      </c>
      <c r="E45" s="55" t="s">
        <v>640</v>
      </c>
      <c r="F45" s="55" t="s">
        <v>641</v>
      </c>
      <c r="G45" s="55" t="s">
        <v>653</v>
      </c>
      <c r="H45" s="55" t="s">
        <v>650</v>
      </c>
    </row>
    <row r="46" spans="1:8" s="49" customFormat="1" ht="34.799999999999997" hidden="1">
      <c r="A46" s="1000"/>
      <c r="B46" s="54"/>
      <c r="C46" s="1005"/>
      <c r="D46" s="1007"/>
      <c r="E46" s="55" t="s">
        <v>644</v>
      </c>
      <c r="F46" s="55" t="s">
        <v>645</v>
      </c>
      <c r="G46" s="55" t="s">
        <v>654</v>
      </c>
      <c r="H46" s="55" t="s">
        <v>647</v>
      </c>
    </row>
    <row r="47" spans="1:8" s="49" customFormat="1" ht="34.799999999999997" hidden="1">
      <c r="A47" s="1000"/>
      <c r="B47" s="54"/>
      <c r="C47" s="1002" t="s">
        <v>655</v>
      </c>
      <c r="D47" s="1003" t="s">
        <v>639</v>
      </c>
      <c r="E47" s="55" t="s">
        <v>640</v>
      </c>
      <c r="F47" s="55" t="s">
        <v>641</v>
      </c>
      <c r="G47" s="55" t="s">
        <v>642</v>
      </c>
      <c r="H47" s="55" t="s">
        <v>650</v>
      </c>
    </row>
    <row r="48" spans="1:8" s="49" customFormat="1" ht="34.799999999999997" hidden="1">
      <c r="A48" s="1000"/>
      <c r="B48" s="54"/>
      <c r="C48" s="1002"/>
      <c r="D48" s="1003"/>
      <c r="E48" s="55" t="s">
        <v>644</v>
      </c>
      <c r="F48" s="55" t="s">
        <v>645</v>
      </c>
      <c r="G48" s="55" t="s">
        <v>646</v>
      </c>
      <c r="H48" s="55" t="s">
        <v>647</v>
      </c>
    </row>
    <row r="49" spans="1:8" s="49" customFormat="1" ht="34.799999999999997" hidden="1">
      <c r="A49" s="1000"/>
      <c r="B49" s="54"/>
      <c r="C49" s="1004" t="s">
        <v>656</v>
      </c>
      <c r="D49" s="1006" t="s">
        <v>639</v>
      </c>
      <c r="E49" s="55" t="s">
        <v>640</v>
      </c>
      <c r="F49" s="55" t="s">
        <v>641</v>
      </c>
      <c r="G49" s="55" t="s">
        <v>657</v>
      </c>
      <c r="H49" s="55" t="s">
        <v>650</v>
      </c>
    </row>
    <row r="50" spans="1:8" s="49" customFormat="1" ht="34.799999999999997" hidden="1">
      <c r="A50" s="1000"/>
      <c r="B50" s="54"/>
      <c r="C50" s="1005"/>
      <c r="D50" s="1007"/>
      <c r="E50" s="55" t="s">
        <v>644</v>
      </c>
      <c r="F50" s="55" t="s">
        <v>645</v>
      </c>
      <c r="G50" s="55" t="s">
        <v>658</v>
      </c>
      <c r="H50" s="55" t="s">
        <v>647</v>
      </c>
    </row>
    <row r="51" spans="1:8" s="49" customFormat="1" ht="34.799999999999997" hidden="1">
      <c r="A51" s="1000"/>
      <c r="B51" s="54"/>
      <c r="C51" s="1002" t="s">
        <v>659</v>
      </c>
      <c r="D51" s="1003" t="s">
        <v>639</v>
      </c>
      <c r="E51" s="55" t="s">
        <v>640</v>
      </c>
      <c r="F51" s="55" t="s">
        <v>641</v>
      </c>
      <c r="G51" s="55" t="s">
        <v>660</v>
      </c>
      <c r="H51" s="55" t="s">
        <v>650</v>
      </c>
    </row>
    <row r="52" spans="1:8" s="49" customFormat="1" ht="34.799999999999997" hidden="1">
      <c r="A52" s="1001"/>
      <c r="B52" s="61"/>
      <c r="C52" s="1005"/>
      <c r="D52" s="1007"/>
      <c r="E52" s="55" t="s">
        <v>644</v>
      </c>
      <c r="F52" s="55" t="s">
        <v>645</v>
      </c>
      <c r="G52" s="55" t="s">
        <v>661</v>
      </c>
      <c r="H52" s="55" t="s">
        <v>647</v>
      </c>
    </row>
    <row r="53" spans="1:8" s="49" customFormat="1" ht="133.5" hidden="1" customHeight="1">
      <c r="A53" s="999" t="s">
        <v>662</v>
      </c>
      <c r="B53" s="50"/>
      <c r="C53" s="62" t="s">
        <v>663</v>
      </c>
      <c r="D53" s="53"/>
      <c r="E53" s="55"/>
      <c r="F53" s="55"/>
      <c r="G53" s="55"/>
      <c r="H53" s="55"/>
    </row>
    <row r="54" spans="1:8" s="49" customFormat="1" ht="34.799999999999997" hidden="1">
      <c r="A54" s="1000"/>
      <c r="B54" s="54"/>
      <c r="C54" s="1004" t="s">
        <v>638</v>
      </c>
      <c r="D54" s="1022" t="s">
        <v>639</v>
      </c>
      <c r="E54" s="55" t="s">
        <v>640</v>
      </c>
      <c r="F54" s="55" t="s">
        <v>641</v>
      </c>
      <c r="G54" s="55" t="s">
        <v>664</v>
      </c>
      <c r="H54" s="55" t="s">
        <v>650</v>
      </c>
    </row>
    <row r="55" spans="1:8" s="49" customFormat="1" ht="34.799999999999997" hidden="1">
      <c r="A55" s="1000"/>
      <c r="B55" s="54"/>
      <c r="C55" s="1005"/>
      <c r="D55" s="1023"/>
      <c r="E55" s="55" t="s">
        <v>644</v>
      </c>
      <c r="F55" s="55" t="s">
        <v>645</v>
      </c>
      <c r="G55" s="55" t="s">
        <v>646</v>
      </c>
      <c r="H55" s="55" t="s">
        <v>647</v>
      </c>
    </row>
    <row r="56" spans="1:8" s="49" customFormat="1" ht="34.799999999999997" hidden="1">
      <c r="A56" s="1000"/>
      <c r="B56" s="54"/>
      <c r="C56" s="1002" t="s">
        <v>648</v>
      </c>
      <c r="D56" s="1021" t="s">
        <v>639</v>
      </c>
      <c r="E56" s="55" t="s">
        <v>640</v>
      </c>
      <c r="F56" s="55" t="s">
        <v>641</v>
      </c>
      <c r="G56" s="55" t="s">
        <v>665</v>
      </c>
      <c r="H56" s="55" t="s">
        <v>650</v>
      </c>
    </row>
    <row r="57" spans="1:8" s="49" customFormat="1" ht="34.799999999999997" hidden="1">
      <c r="A57" s="1000"/>
      <c r="B57" s="54"/>
      <c r="C57" s="1002"/>
      <c r="D57" s="1021"/>
      <c r="E57" s="55" t="s">
        <v>644</v>
      </c>
      <c r="F57" s="55" t="s">
        <v>645</v>
      </c>
      <c r="G57" s="55" t="s">
        <v>651</v>
      </c>
      <c r="H57" s="55" t="s">
        <v>647</v>
      </c>
    </row>
    <row r="58" spans="1:8" s="49" customFormat="1" ht="34.799999999999997" hidden="1">
      <c r="A58" s="1000"/>
      <c r="B58" s="54"/>
      <c r="C58" s="1004" t="s">
        <v>652</v>
      </c>
      <c r="D58" s="1022" t="s">
        <v>639</v>
      </c>
      <c r="E58" s="55" t="s">
        <v>640</v>
      </c>
      <c r="F58" s="55" t="s">
        <v>641</v>
      </c>
      <c r="G58" s="55" t="s">
        <v>666</v>
      </c>
      <c r="H58" s="55" t="s">
        <v>650</v>
      </c>
    </row>
    <row r="59" spans="1:8" s="49" customFormat="1" ht="34.799999999999997" hidden="1">
      <c r="A59" s="1000"/>
      <c r="B59" s="54"/>
      <c r="C59" s="1005"/>
      <c r="D59" s="1023"/>
      <c r="E59" s="55" t="s">
        <v>644</v>
      </c>
      <c r="F59" s="55" t="s">
        <v>645</v>
      </c>
      <c r="G59" s="55" t="s">
        <v>654</v>
      </c>
      <c r="H59" s="55" t="s">
        <v>647</v>
      </c>
    </row>
    <row r="60" spans="1:8" s="49" customFormat="1" ht="34.799999999999997" hidden="1">
      <c r="A60" s="1000"/>
      <c r="B60" s="54"/>
      <c r="C60" s="1002" t="s">
        <v>655</v>
      </c>
      <c r="D60" s="1021" t="s">
        <v>639</v>
      </c>
      <c r="E60" s="55" t="s">
        <v>640</v>
      </c>
      <c r="F60" s="55" t="s">
        <v>641</v>
      </c>
      <c r="G60" s="55" t="s">
        <v>664</v>
      </c>
      <c r="H60" s="55" t="s">
        <v>650</v>
      </c>
    </row>
    <row r="61" spans="1:8" s="49" customFormat="1" ht="34.799999999999997" hidden="1">
      <c r="A61" s="1000"/>
      <c r="B61" s="54"/>
      <c r="C61" s="1002"/>
      <c r="D61" s="1021"/>
      <c r="E61" s="55" t="s">
        <v>644</v>
      </c>
      <c r="F61" s="55" t="s">
        <v>645</v>
      </c>
      <c r="G61" s="55" t="s">
        <v>646</v>
      </c>
      <c r="H61" s="55" t="s">
        <v>647</v>
      </c>
    </row>
    <row r="62" spans="1:8" s="49" customFormat="1" ht="34.799999999999997" hidden="1">
      <c r="A62" s="1000"/>
      <c r="B62" s="54"/>
      <c r="C62" s="1004" t="s">
        <v>656</v>
      </c>
      <c r="D62" s="1022" t="s">
        <v>639</v>
      </c>
      <c r="E62" s="55" t="s">
        <v>640</v>
      </c>
      <c r="F62" s="55" t="s">
        <v>641</v>
      </c>
      <c r="G62" s="55" t="s">
        <v>667</v>
      </c>
      <c r="H62" s="55" t="s">
        <v>650</v>
      </c>
    </row>
    <row r="63" spans="1:8" s="49" customFormat="1" ht="34.799999999999997" hidden="1">
      <c r="A63" s="1000"/>
      <c r="B63" s="54"/>
      <c r="C63" s="1005"/>
      <c r="D63" s="1023"/>
      <c r="E63" s="55" t="s">
        <v>644</v>
      </c>
      <c r="F63" s="55" t="s">
        <v>645</v>
      </c>
      <c r="G63" s="55" t="s">
        <v>658</v>
      </c>
      <c r="H63" s="55" t="s">
        <v>647</v>
      </c>
    </row>
    <row r="64" spans="1:8" s="49" customFormat="1" ht="34.799999999999997" hidden="1">
      <c r="A64" s="1000"/>
      <c r="B64" s="54"/>
      <c r="C64" s="1002" t="s">
        <v>659</v>
      </c>
      <c r="D64" s="1021" t="s">
        <v>639</v>
      </c>
      <c r="E64" s="55" t="s">
        <v>640</v>
      </c>
      <c r="F64" s="55" t="s">
        <v>641</v>
      </c>
      <c r="G64" s="55" t="s">
        <v>668</v>
      </c>
      <c r="H64" s="55" t="s">
        <v>650</v>
      </c>
    </row>
    <row r="65" spans="1:8" s="49" customFormat="1" ht="34.799999999999997" hidden="1">
      <c r="A65" s="1001"/>
      <c r="B65" s="61"/>
      <c r="C65" s="1005"/>
      <c r="D65" s="1023"/>
      <c r="E65" s="55" t="s">
        <v>644</v>
      </c>
      <c r="F65" s="55" t="s">
        <v>645</v>
      </c>
      <c r="G65" s="55" t="s">
        <v>661</v>
      </c>
      <c r="H65" s="55" t="s">
        <v>647</v>
      </c>
    </row>
    <row r="66" spans="1:8" s="49" customFormat="1" ht="125.25" hidden="1" customHeight="1">
      <c r="A66" s="1033" t="s">
        <v>669</v>
      </c>
      <c r="B66" s="50"/>
      <c r="C66" s="51" t="s">
        <v>670</v>
      </c>
      <c r="D66" s="53"/>
      <c r="E66" s="53"/>
      <c r="F66" s="53"/>
      <c r="G66" s="53"/>
      <c r="H66" s="53"/>
    </row>
    <row r="67" spans="1:8" s="49" customFormat="1" ht="34.799999999999997" hidden="1">
      <c r="A67" s="1034"/>
      <c r="B67" s="54"/>
      <c r="C67" s="1004" t="s">
        <v>638</v>
      </c>
      <c r="D67" s="1036" t="s">
        <v>639</v>
      </c>
      <c r="E67" s="53" t="s">
        <v>644</v>
      </c>
      <c r="F67" s="59" t="s">
        <v>645</v>
      </c>
      <c r="G67" s="53" t="s">
        <v>671</v>
      </c>
      <c r="H67" s="59" t="s">
        <v>672</v>
      </c>
    </row>
    <row r="68" spans="1:8" s="49" customFormat="1" ht="17.399999999999999" hidden="1">
      <c r="A68" s="1034"/>
      <c r="B68" s="54"/>
      <c r="C68" s="1005"/>
      <c r="D68" s="1037"/>
      <c r="E68" s="56"/>
      <c r="F68" s="60"/>
      <c r="G68" s="56"/>
      <c r="H68" s="60"/>
    </row>
    <row r="69" spans="1:8" s="49" customFormat="1" ht="34.799999999999997" hidden="1">
      <c r="A69" s="1034"/>
      <c r="B69" s="63"/>
      <c r="C69" s="1002" t="s">
        <v>648</v>
      </c>
      <c r="D69" s="1038" t="s">
        <v>639</v>
      </c>
      <c r="E69" s="57" t="s">
        <v>644</v>
      </c>
      <c r="F69" s="58" t="s">
        <v>645</v>
      </c>
      <c r="G69" s="57" t="s">
        <v>673</v>
      </c>
      <c r="H69" s="58" t="s">
        <v>672</v>
      </c>
    </row>
    <row r="70" spans="1:8" s="49" customFormat="1" ht="17.399999999999999" hidden="1">
      <c r="A70" s="1034"/>
      <c r="B70" s="63"/>
      <c r="C70" s="1002"/>
      <c r="D70" s="1038"/>
      <c r="E70" s="57"/>
      <c r="F70" s="58"/>
      <c r="G70" s="57"/>
      <c r="H70" s="58"/>
    </row>
    <row r="71" spans="1:8" s="49" customFormat="1" ht="34.799999999999997" hidden="1">
      <c r="A71" s="1034"/>
      <c r="B71" s="54"/>
      <c r="C71" s="1004" t="s">
        <v>652</v>
      </c>
      <c r="D71" s="1036" t="s">
        <v>639</v>
      </c>
      <c r="E71" s="53" t="s">
        <v>644</v>
      </c>
      <c r="F71" s="59" t="s">
        <v>645</v>
      </c>
      <c r="G71" s="53" t="s">
        <v>646</v>
      </c>
      <c r="H71" s="59" t="s">
        <v>672</v>
      </c>
    </row>
    <row r="72" spans="1:8" s="49" customFormat="1" ht="17.399999999999999" hidden="1">
      <c r="A72" s="1034"/>
      <c r="B72" s="54"/>
      <c r="C72" s="1005"/>
      <c r="D72" s="1037"/>
      <c r="E72" s="56"/>
      <c r="F72" s="60"/>
      <c r="G72" s="56"/>
      <c r="H72" s="60"/>
    </row>
    <row r="73" spans="1:8" s="49" customFormat="1" ht="34.799999999999997" hidden="1">
      <c r="A73" s="1034"/>
      <c r="B73" s="63"/>
      <c r="C73" s="1002" t="s">
        <v>655</v>
      </c>
      <c r="D73" s="1038" t="s">
        <v>639</v>
      </c>
      <c r="E73" s="57" t="s">
        <v>644</v>
      </c>
      <c r="F73" s="58" t="s">
        <v>645</v>
      </c>
      <c r="G73" s="57" t="s">
        <v>674</v>
      </c>
      <c r="H73" s="58" t="s">
        <v>672</v>
      </c>
    </row>
    <row r="74" spans="1:8" s="49" customFormat="1" ht="17.399999999999999" hidden="1">
      <c r="A74" s="1034"/>
      <c r="B74" s="63"/>
      <c r="C74" s="1002"/>
      <c r="D74" s="1038"/>
      <c r="E74" s="57"/>
      <c r="F74" s="58"/>
      <c r="G74" s="57"/>
      <c r="H74" s="58"/>
    </row>
    <row r="75" spans="1:8" s="49" customFormat="1" ht="34.799999999999997" hidden="1">
      <c r="A75" s="1034"/>
      <c r="B75" s="54"/>
      <c r="C75" s="1004" t="s">
        <v>656</v>
      </c>
      <c r="D75" s="1036" t="s">
        <v>639</v>
      </c>
      <c r="E75" s="53" t="s">
        <v>644</v>
      </c>
      <c r="F75" s="59" t="s">
        <v>645</v>
      </c>
      <c r="G75" s="53" t="s">
        <v>658</v>
      </c>
      <c r="H75" s="59" t="s">
        <v>672</v>
      </c>
    </row>
    <row r="76" spans="1:8" s="49" customFormat="1" ht="17.399999999999999" hidden="1">
      <c r="A76" s="1034"/>
      <c r="B76" s="54"/>
      <c r="C76" s="1005"/>
      <c r="D76" s="1037"/>
      <c r="E76" s="56"/>
      <c r="F76" s="60"/>
      <c r="G76" s="56"/>
      <c r="H76" s="60"/>
    </row>
    <row r="77" spans="1:8" s="49" customFormat="1" ht="34.799999999999997" hidden="1">
      <c r="A77" s="1034"/>
      <c r="B77" s="63"/>
      <c r="C77" s="1002" t="s">
        <v>659</v>
      </c>
      <c r="D77" s="1038" t="s">
        <v>639</v>
      </c>
      <c r="E77" s="57" t="s">
        <v>644</v>
      </c>
      <c r="F77" s="58" t="s">
        <v>645</v>
      </c>
      <c r="G77" s="57" t="s">
        <v>675</v>
      </c>
      <c r="H77" s="58" t="s">
        <v>672</v>
      </c>
    </row>
    <row r="78" spans="1:8" s="49" customFormat="1" ht="17.399999999999999" hidden="1">
      <c r="A78" s="1035"/>
      <c r="B78" s="64"/>
      <c r="C78" s="1005"/>
      <c r="D78" s="1037"/>
      <c r="E78" s="56"/>
      <c r="F78" s="60"/>
      <c r="G78" s="56"/>
      <c r="H78" s="60"/>
    </row>
    <row r="79" spans="1:8" s="49" customFormat="1" ht="34.799999999999997" hidden="1">
      <c r="A79" s="65" t="s">
        <v>676</v>
      </c>
      <c r="B79" s="66"/>
      <c r="C79" s="62" t="s">
        <v>677</v>
      </c>
      <c r="D79" s="67" t="s">
        <v>678</v>
      </c>
      <c r="E79" s="68" t="s">
        <v>644</v>
      </c>
      <c r="F79" s="55" t="s">
        <v>645</v>
      </c>
      <c r="G79" s="67" t="s">
        <v>642</v>
      </c>
      <c r="H79" s="55" t="s">
        <v>679</v>
      </c>
    </row>
    <row r="81" spans="1:8" s="6" customFormat="1" ht="24" customHeight="1">
      <c r="A81" s="17">
        <v>13.1</v>
      </c>
      <c r="B81" s="18" t="s">
        <v>546</v>
      </c>
      <c r="C81" s="1018" t="s">
        <v>686</v>
      </c>
      <c r="D81" s="1019"/>
      <c r="E81" s="1019"/>
      <c r="F81" s="34" t="s">
        <v>113</v>
      </c>
      <c r="G81" s="34">
        <f>TRUNC(G87/100,2)</f>
        <v>60.21</v>
      </c>
      <c r="H81" s="34">
        <f>TRUNC(G89/100,2)</f>
        <v>69.25</v>
      </c>
    </row>
    <row r="82" spans="1:8" s="3" customFormat="1" ht="11.4">
      <c r="A82" s="1"/>
      <c r="B82" s="48" t="s">
        <v>80</v>
      </c>
      <c r="C82" s="46" t="s">
        <v>81</v>
      </c>
      <c r="D82" s="46" t="s">
        <v>44</v>
      </c>
      <c r="E82" s="46" t="s">
        <v>45</v>
      </c>
      <c r="F82" s="29" t="s">
        <v>58</v>
      </c>
      <c r="G82" s="29" t="s">
        <v>59</v>
      </c>
      <c r="H82" s="29" t="s">
        <v>52</v>
      </c>
    </row>
    <row r="83" spans="1:8" s="3" customFormat="1" ht="11.4">
      <c r="A83" s="1"/>
      <c r="B83" s="1020" t="s">
        <v>77</v>
      </c>
      <c r="C83" s="4" t="s">
        <v>69</v>
      </c>
      <c r="D83" s="46">
        <v>1.0760000000000001</v>
      </c>
      <c r="E83" s="46" t="s">
        <v>46</v>
      </c>
      <c r="F83" s="28">
        <f>LOOKUP(C83,'Basic Rate'!$B$8:$B$328,'Basic Rate'!$F$8:$F$328)</f>
        <v>1200</v>
      </c>
      <c r="G83" s="28">
        <f>INT(D83*F83*100)/100</f>
        <v>1291.2</v>
      </c>
      <c r="H83" s="29"/>
    </row>
    <row r="84" spans="1:8" s="3" customFormat="1" ht="12.75" customHeight="1">
      <c r="A84" s="1"/>
      <c r="B84" s="1020"/>
      <c r="C84" s="4" t="s">
        <v>43</v>
      </c>
      <c r="D84" s="11">
        <v>5.38</v>
      </c>
      <c r="E84" s="46" t="s">
        <v>46</v>
      </c>
      <c r="F84" s="28">
        <f>LOOKUP(C84,'Basic Rate'!$B$8:$B$328,'Basic Rate'!$F$8:$F$328)</f>
        <v>870</v>
      </c>
      <c r="G84" s="28">
        <f>INT(D84*F84*100)/100</f>
        <v>4680.6000000000004</v>
      </c>
      <c r="H84" s="29"/>
    </row>
    <row r="85" spans="1:8" s="3" customFormat="1" ht="11.4">
      <c r="A85" s="1"/>
      <c r="B85" s="1020" t="s">
        <v>126</v>
      </c>
      <c r="C85" s="4" t="s">
        <v>131</v>
      </c>
      <c r="D85" s="5"/>
      <c r="E85" s="46" t="s">
        <v>113</v>
      </c>
      <c r="F85" s="28">
        <f>LOOKUP(C85,'Basic Rate'!$B$8:$B$328,'Basic Rate'!$F$8:$F$328)</f>
        <v>19</v>
      </c>
      <c r="G85" s="28">
        <f>INT(D85*F85*100)/100</f>
        <v>0</v>
      </c>
      <c r="H85" s="28"/>
    </row>
    <row r="86" spans="1:8" s="3" customFormat="1" ht="12.75" customHeight="1">
      <c r="A86" s="1"/>
      <c r="B86" s="1020"/>
      <c r="C86" s="4" t="s">
        <v>129</v>
      </c>
      <c r="D86" s="1047" t="s">
        <v>130</v>
      </c>
      <c r="E86" s="1048"/>
      <c r="F86" s="1049"/>
      <c r="G86" s="25">
        <v>50</v>
      </c>
      <c r="H86" s="29"/>
    </row>
    <row r="87" spans="1:8" s="3" customFormat="1" ht="11.4">
      <c r="A87" s="1"/>
      <c r="B87" s="1013" t="s">
        <v>176</v>
      </c>
      <c r="C87" s="1013"/>
      <c r="D87" s="1045" t="s">
        <v>61</v>
      </c>
      <c r="E87" s="1045"/>
      <c r="F87" s="1045"/>
      <c r="G87" s="28">
        <f>SUM(G83:G86)</f>
        <v>6021.8</v>
      </c>
      <c r="H87" s="28"/>
    </row>
    <row r="88" spans="1:8" s="3" customFormat="1" ht="11.4">
      <c r="A88" s="1"/>
      <c r="B88" s="1013"/>
      <c r="C88" s="1013"/>
      <c r="D88" s="1046" t="s">
        <v>573</v>
      </c>
      <c r="E88" s="1046"/>
      <c r="F88" s="1046"/>
      <c r="G88" s="28">
        <f>INT(15%*G87*100)/100</f>
        <v>903.27</v>
      </c>
      <c r="H88" s="28"/>
    </row>
    <row r="89" spans="1:8" s="3" customFormat="1" ht="11.4">
      <c r="A89" s="1"/>
      <c r="B89" s="1013"/>
      <c r="C89" s="1013"/>
      <c r="D89" s="1045" t="s">
        <v>47</v>
      </c>
      <c r="E89" s="1045"/>
      <c r="F89" s="1045"/>
      <c r="G89" s="28">
        <f>SUM(G87:G88)</f>
        <v>6925.07</v>
      </c>
      <c r="H89" s="28"/>
    </row>
    <row r="90" spans="1:8" ht="17.25" customHeight="1">
      <c r="A90" s="1042" t="s">
        <v>635</v>
      </c>
      <c r="B90" s="1043"/>
      <c r="C90" s="1043"/>
      <c r="D90" s="1043"/>
      <c r="E90" s="1043"/>
      <c r="F90" s="1043"/>
      <c r="G90" s="1043"/>
      <c r="H90" s="1044"/>
    </row>
    <row r="91" spans="1:8" s="3" customFormat="1" ht="61.5" customHeight="1">
      <c r="A91" s="70">
        <v>16</v>
      </c>
      <c r="B91" s="71" t="s">
        <v>687</v>
      </c>
      <c r="C91" s="1039" t="s">
        <v>688</v>
      </c>
      <c r="D91" s="1040"/>
      <c r="E91" s="1041"/>
      <c r="F91" s="72" t="s">
        <v>680</v>
      </c>
      <c r="G91" s="211">
        <f>G96</f>
        <v>2974</v>
      </c>
      <c r="H91" s="209">
        <f>G98</f>
        <v>3420.1</v>
      </c>
    </row>
    <row r="92" spans="1:8" s="3" customFormat="1" ht="11.4">
      <c r="B92" s="41" t="s">
        <v>80</v>
      </c>
      <c r="C92" s="40" t="s">
        <v>81</v>
      </c>
      <c r="D92" s="40" t="s">
        <v>44</v>
      </c>
      <c r="E92" s="40" t="s">
        <v>45</v>
      </c>
      <c r="F92" s="23" t="s">
        <v>58</v>
      </c>
      <c r="G92" s="29" t="s">
        <v>59</v>
      </c>
      <c r="H92" s="23" t="s">
        <v>52</v>
      </c>
    </row>
    <row r="93" spans="1:8" s="3" customFormat="1" ht="11.4">
      <c r="B93" s="1011" t="s">
        <v>60</v>
      </c>
      <c r="C93" s="9" t="s">
        <v>69</v>
      </c>
      <c r="D93" s="19">
        <v>0.5</v>
      </c>
      <c r="E93" s="40" t="s">
        <v>46</v>
      </c>
      <c r="F93" s="28">
        <f>LOOKUP(C93,'Basic Rate'!$B$8:$B$328,'Basic Rate'!$F$8:$F$328)</f>
        <v>1200</v>
      </c>
      <c r="G93" s="24">
        <f>TRUNC(D93*F93,2)</f>
        <v>600</v>
      </c>
      <c r="H93" s="24"/>
    </row>
    <row r="94" spans="1:8" s="3" customFormat="1" ht="11.4">
      <c r="B94" s="1012"/>
      <c r="C94" s="9" t="s">
        <v>43</v>
      </c>
      <c r="D94" s="19">
        <v>0.2</v>
      </c>
      <c r="E94" s="40" t="s">
        <v>46</v>
      </c>
      <c r="F94" s="28">
        <f>LOOKUP(C94,'Basic Rate'!$B$8:$B$328,'Basic Rate'!$F$8:$F$328)</f>
        <v>870</v>
      </c>
      <c r="G94" s="24">
        <f>TRUNC(D94*F94,2)</f>
        <v>174</v>
      </c>
      <c r="H94" s="24"/>
    </row>
    <row r="95" spans="1:8" s="3" customFormat="1">
      <c r="B95" s="45" t="s">
        <v>63</v>
      </c>
      <c r="C95" s="38" t="s">
        <v>37</v>
      </c>
      <c r="D95" s="19">
        <v>20</v>
      </c>
      <c r="E95" s="46" t="s">
        <v>615</v>
      </c>
      <c r="F95" s="28">
        <f>LOOKUP(C95,'Basic Rate'!$B$8:$B$328,'Basic Rate'!$F$8:$F$328)</f>
        <v>110</v>
      </c>
      <c r="G95" s="24">
        <f>TRUNC(D95*F95,2)</f>
        <v>2200</v>
      </c>
      <c r="H95" s="24"/>
    </row>
    <row r="96" spans="1:8" s="3" customFormat="1" ht="11.4">
      <c r="B96" s="1013" t="s">
        <v>165</v>
      </c>
      <c r="C96" s="1013"/>
      <c r="D96" s="1014" t="s">
        <v>61</v>
      </c>
      <c r="E96" s="1014"/>
      <c r="F96" s="1014"/>
      <c r="G96" s="210">
        <f>SUM(G93:G95)</f>
        <v>2974</v>
      </c>
      <c r="H96" s="24"/>
    </row>
    <row r="97" spans="1:8" s="3" customFormat="1" ht="11.4">
      <c r="B97" s="1013"/>
      <c r="C97" s="1013"/>
      <c r="D97" s="1015" t="s">
        <v>573</v>
      </c>
      <c r="E97" s="1015"/>
      <c r="F97" s="1015"/>
      <c r="G97" s="24">
        <f>INT(15%*G96*100)/100</f>
        <v>446.1</v>
      </c>
      <c r="H97" s="24"/>
    </row>
    <row r="98" spans="1:8" s="3" customFormat="1" ht="11.4">
      <c r="B98" s="1013"/>
      <c r="C98" s="1013"/>
      <c r="D98" s="1014" t="s">
        <v>47</v>
      </c>
      <c r="E98" s="1014"/>
      <c r="F98" s="1014"/>
      <c r="G98" s="210">
        <f>SUM(G96:G97)</f>
        <v>3420.1</v>
      </c>
      <c r="H98" s="24"/>
    </row>
    <row r="99" spans="1:8" s="3" customFormat="1" ht="42.75" customHeight="1">
      <c r="B99" s="42"/>
      <c r="C99" s="69"/>
      <c r="D99" s="43"/>
      <c r="E99" s="44"/>
      <c r="F99" s="40"/>
      <c r="G99" s="24"/>
      <c r="H99" s="24"/>
    </row>
    <row r="100" spans="1:8" s="3" customFormat="1" ht="39" customHeight="1">
      <c r="A100" s="70"/>
      <c r="B100" s="71"/>
      <c r="C100" s="1039" t="s">
        <v>689</v>
      </c>
      <c r="D100" s="1040"/>
      <c r="E100" s="1041"/>
      <c r="F100" s="72" t="s">
        <v>685</v>
      </c>
      <c r="G100" s="73">
        <f>G105</f>
        <v>2345</v>
      </c>
      <c r="H100" s="74">
        <f>G107</f>
        <v>2696.75</v>
      </c>
    </row>
    <row r="101" spans="1:8" s="3" customFormat="1" ht="11.4">
      <c r="B101" s="41" t="s">
        <v>80</v>
      </c>
      <c r="C101" s="40" t="s">
        <v>81</v>
      </c>
      <c r="D101" s="40" t="s">
        <v>44</v>
      </c>
      <c r="E101" s="40" t="s">
        <v>45</v>
      </c>
      <c r="F101" s="23" t="s">
        <v>58</v>
      </c>
      <c r="G101" s="29" t="s">
        <v>59</v>
      </c>
      <c r="H101" s="23" t="s">
        <v>52</v>
      </c>
    </row>
    <row r="102" spans="1:8" s="3" customFormat="1" ht="11.4">
      <c r="B102" s="1011" t="s">
        <v>60</v>
      </c>
      <c r="C102" s="9" t="s">
        <v>69</v>
      </c>
      <c r="D102" s="19"/>
      <c r="E102" s="40" t="s">
        <v>46</v>
      </c>
      <c r="F102" s="28">
        <f>LOOKUP(C102,'Basic Rate'!$B$8:$B$328,'Basic Rate'!$F$8:$F$328)</f>
        <v>1200</v>
      </c>
      <c r="G102" s="24">
        <f>TRUNC(D102*F102,2)</f>
        <v>0</v>
      </c>
      <c r="H102" s="24"/>
    </row>
    <row r="103" spans="1:8" s="3" customFormat="1" ht="11.4">
      <c r="B103" s="1012"/>
      <c r="C103" s="9" t="s">
        <v>43</v>
      </c>
      <c r="D103" s="19">
        <v>0.5</v>
      </c>
      <c r="E103" s="40" t="s">
        <v>46</v>
      </c>
      <c r="F103" s="28">
        <f>LOOKUP(C103,'Basic Rate'!$B$8:$B$328,'Basic Rate'!$F$8:$F$328)</f>
        <v>870</v>
      </c>
      <c r="G103" s="24">
        <f>TRUNC(D103*F103,2)</f>
        <v>435</v>
      </c>
      <c r="H103" s="24"/>
    </row>
    <row r="104" spans="1:8" s="3" customFormat="1">
      <c r="B104" s="45" t="s">
        <v>63</v>
      </c>
      <c r="C104" s="37" t="s">
        <v>153</v>
      </c>
      <c r="D104" s="19">
        <v>1</v>
      </c>
      <c r="E104" s="46" t="s">
        <v>685</v>
      </c>
      <c r="F104" s="28">
        <f>LOOKUP(C104,'Basic Rate'!$B$8:$B$328,'Basic Rate'!$F$8:$F$328)</f>
        <v>1910</v>
      </c>
      <c r="G104" s="24">
        <f>TRUNC(D104*F104,2)</f>
        <v>1910</v>
      </c>
      <c r="H104" s="24"/>
    </row>
    <row r="105" spans="1:8" s="3" customFormat="1" ht="11.4">
      <c r="B105" s="1013" t="s">
        <v>165</v>
      </c>
      <c r="C105" s="1013"/>
      <c r="D105" s="1014" t="s">
        <v>61</v>
      </c>
      <c r="E105" s="1014"/>
      <c r="F105" s="1014"/>
      <c r="G105" s="24">
        <f>SUM(G102:G104)</f>
        <v>2345</v>
      </c>
      <c r="H105" s="24"/>
    </row>
    <row r="106" spans="1:8" s="3" customFormat="1" ht="11.4">
      <c r="B106" s="1013"/>
      <c r="C106" s="1013"/>
      <c r="D106" s="1015" t="s">
        <v>573</v>
      </c>
      <c r="E106" s="1015"/>
      <c r="F106" s="1015"/>
      <c r="G106" s="24">
        <f>INT(15%*G105*100)/100</f>
        <v>351.75</v>
      </c>
      <c r="H106" s="24"/>
    </row>
    <row r="107" spans="1:8" s="49" customFormat="1" ht="17.399999999999999">
      <c r="A107" s="3"/>
      <c r="B107" s="1013"/>
      <c r="C107" s="1013"/>
      <c r="D107" s="1014" t="s">
        <v>47</v>
      </c>
      <c r="E107" s="1014"/>
      <c r="F107" s="1014"/>
      <c r="G107" s="24">
        <f>SUM(G105:G106)</f>
        <v>2696.75</v>
      </c>
      <c r="H107" s="24"/>
    </row>
    <row r="108" spans="1:8" s="49" customFormat="1" ht="144.75" hidden="1" customHeight="1">
      <c r="A108" s="999" t="s">
        <v>636</v>
      </c>
      <c r="B108" s="50"/>
      <c r="C108" s="51" t="s">
        <v>637</v>
      </c>
      <c r="D108" s="52"/>
      <c r="E108" s="52"/>
      <c r="F108" s="52"/>
      <c r="G108" s="52"/>
      <c r="H108" s="52"/>
    </row>
    <row r="109" spans="1:8" s="49" customFormat="1" ht="34.799999999999997" hidden="1">
      <c r="A109" s="1000"/>
      <c r="B109" s="54"/>
      <c r="C109" s="1004" t="s">
        <v>638</v>
      </c>
      <c r="D109" s="1006" t="s">
        <v>639</v>
      </c>
      <c r="E109" s="55" t="s">
        <v>640</v>
      </c>
      <c r="F109" s="55" t="s">
        <v>641</v>
      </c>
      <c r="G109" s="55" t="s">
        <v>642</v>
      </c>
      <c r="H109" s="55" t="s">
        <v>643</v>
      </c>
    </row>
    <row r="110" spans="1:8" s="49" customFormat="1" ht="34.799999999999997" hidden="1">
      <c r="A110" s="1000"/>
      <c r="B110" s="54"/>
      <c r="C110" s="1005"/>
      <c r="D110" s="1007"/>
      <c r="E110" s="55" t="s">
        <v>644</v>
      </c>
      <c r="F110" s="55" t="s">
        <v>645</v>
      </c>
      <c r="G110" s="55" t="s">
        <v>646</v>
      </c>
      <c r="H110" s="55" t="s">
        <v>647</v>
      </c>
    </row>
    <row r="111" spans="1:8" s="49" customFormat="1" ht="34.799999999999997" hidden="1">
      <c r="A111" s="1000"/>
      <c r="B111" s="54"/>
      <c r="C111" s="1002" t="s">
        <v>648</v>
      </c>
      <c r="D111" s="1003" t="s">
        <v>639</v>
      </c>
      <c r="E111" s="55" t="s">
        <v>640</v>
      </c>
      <c r="F111" s="55" t="s">
        <v>641</v>
      </c>
      <c r="G111" s="55" t="s">
        <v>649</v>
      </c>
      <c r="H111" s="55" t="s">
        <v>650</v>
      </c>
    </row>
    <row r="112" spans="1:8" s="49" customFormat="1" ht="34.799999999999997" hidden="1">
      <c r="A112" s="1000"/>
      <c r="B112" s="54"/>
      <c r="C112" s="1002"/>
      <c r="D112" s="1003"/>
      <c r="E112" s="55" t="s">
        <v>644</v>
      </c>
      <c r="F112" s="55" t="s">
        <v>645</v>
      </c>
      <c r="G112" s="55" t="s">
        <v>651</v>
      </c>
      <c r="H112" s="55" t="s">
        <v>647</v>
      </c>
    </row>
    <row r="113" spans="1:8" s="49" customFormat="1" ht="34.799999999999997" hidden="1">
      <c r="A113" s="1000"/>
      <c r="B113" s="54"/>
      <c r="C113" s="1004" t="s">
        <v>652</v>
      </c>
      <c r="D113" s="1006" t="s">
        <v>639</v>
      </c>
      <c r="E113" s="55" t="s">
        <v>640</v>
      </c>
      <c r="F113" s="55" t="s">
        <v>641</v>
      </c>
      <c r="G113" s="55" t="s">
        <v>653</v>
      </c>
      <c r="H113" s="55" t="s">
        <v>650</v>
      </c>
    </row>
    <row r="114" spans="1:8" s="49" customFormat="1" ht="34.799999999999997" hidden="1">
      <c r="A114" s="1000"/>
      <c r="B114" s="54"/>
      <c r="C114" s="1005"/>
      <c r="D114" s="1007"/>
      <c r="E114" s="55" t="s">
        <v>644</v>
      </c>
      <c r="F114" s="55" t="s">
        <v>645</v>
      </c>
      <c r="G114" s="55" t="s">
        <v>654</v>
      </c>
      <c r="H114" s="55" t="s">
        <v>647</v>
      </c>
    </row>
    <row r="115" spans="1:8" s="49" customFormat="1" ht="34.799999999999997" hidden="1">
      <c r="A115" s="1000"/>
      <c r="B115" s="54"/>
      <c r="C115" s="1002" t="s">
        <v>655</v>
      </c>
      <c r="D115" s="1003" t="s">
        <v>639</v>
      </c>
      <c r="E115" s="55" t="s">
        <v>640</v>
      </c>
      <c r="F115" s="55" t="s">
        <v>641</v>
      </c>
      <c r="G115" s="55" t="s">
        <v>642</v>
      </c>
      <c r="H115" s="55" t="s">
        <v>650</v>
      </c>
    </row>
    <row r="116" spans="1:8" s="49" customFormat="1" ht="34.799999999999997" hidden="1">
      <c r="A116" s="1000"/>
      <c r="B116" s="54"/>
      <c r="C116" s="1002"/>
      <c r="D116" s="1003"/>
      <c r="E116" s="55" t="s">
        <v>644</v>
      </c>
      <c r="F116" s="55" t="s">
        <v>645</v>
      </c>
      <c r="G116" s="55" t="s">
        <v>646</v>
      </c>
      <c r="H116" s="55" t="s">
        <v>647</v>
      </c>
    </row>
    <row r="117" spans="1:8" s="49" customFormat="1" ht="34.799999999999997" hidden="1">
      <c r="A117" s="1000"/>
      <c r="B117" s="54"/>
      <c r="C117" s="1004" t="s">
        <v>656</v>
      </c>
      <c r="D117" s="1006" t="s">
        <v>639</v>
      </c>
      <c r="E117" s="55" t="s">
        <v>640</v>
      </c>
      <c r="F117" s="55" t="s">
        <v>641</v>
      </c>
      <c r="G117" s="55" t="s">
        <v>657</v>
      </c>
      <c r="H117" s="55" t="s">
        <v>650</v>
      </c>
    </row>
    <row r="118" spans="1:8" s="49" customFormat="1" ht="34.799999999999997" hidden="1">
      <c r="A118" s="1000"/>
      <c r="B118" s="54"/>
      <c r="C118" s="1005"/>
      <c r="D118" s="1007"/>
      <c r="E118" s="55" t="s">
        <v>644</v>
      </c>
      <c r="F118" s="55" t="s">
        <v>645</v>
      </c>
      <c r="G118" s="55" t="s">
        <v>658</v>
      </c>
      <c r="H118" s="55" t="s">
        <v>647</v>
      </c>
    </row>
    <row r="119" spans="1:8" s="49" customFormat="1" ht="34.799999999999997" hidden="1">
      <c r="A119" s="1000"/>
      <c r="B119" s="54"/>
      <c r="C119" s="1002" t="s">
        <v>659</v>
      </c>
      <c r="D119" s="1003" t="s">
        <v>639</v>
      </c>
      <c r="E119" s="55" t="s">
        <v>640</v>
      </c>
      <c r="F119" s="55" t="s">
        <v>641</v>
      </c>
      <c r="G119" s="55" t="s">
        <v>660</v>
      </c>
      <c r="H119" s="55" t="s">
        <v>650</v>
      </c>
    </row>
    <row r="120" spans="1:8" s="49" customFormat="1" ht="34.799999999999997" hidden="1">
      <c r="A120" s="1001"/>
      <c r="B120" s="61"/>
      <c r="C120" s="1005"/>
      <c r="D120" s="1007"/>
      <c r="E120" s="55" t="s">
        <v>644</v>
      </c>
      <c r="F120" s="55" t="s">
        <v>645</v>
      </c>
      <c r="G120" s="55" t="s">
        <v>661</v>
      </c>
      <c r="H120" s="55" t="s">
        <v>647</v>
      </c>
    </row>
    <row r="121" spans="1:8" s="49" customFormat="1" ht="133.5" hidden="1" customHeight="1">
      <c r="A121" s="999" t="s">
        <v>662</v>
      </c>
      <c r="B121" s="50"/>
      <c r="C121" s="62" t="s">
        <v>663</v>
      </c>
      <c r="D121" s="53"/>
      <c r="E121" s="55"/>
      <c r="F121" s="55"/>
      <c r="G121" s="55"/>
      <c r="H121" s="55"/>
    </row>
    <row r="122" spans="1:8" s="49" customFormat="1" ht="34.799999999999997" hidden="1">
      <c r="A122" s="1000"/>
      <c r="B122" s="54"/>
      <c r="C122" s="1004" t="s">
        <v>638</v>
      </c>
      <c r="D122" s="1022" t="s">
        <v>639</v>
      </c>
      <c r="E122" s="55" t="s">
        <v>640</v>
      </c>
      <c r="F122" s="55" t="s">
        <v>641</v>
      </c>
      <c r="G122" s="55" t="s">
        <v>664</v>
      </c>
      <c r="H122" s="55" t="s">
        <v>650</v>
      </c>
    </row>
    <row r="123" spans="1:8" s="49" customFormat="1" ht="34.799999999999997" hidden="1">
      <c r="A123" s="1000"/>
      <c r="B123" s="54"/>
      <c r="C123" s="1005"/>
      <c r="D123" s="1023"/>
      <c r="E123" s="55" t="s">
        <v>644</v>
      </c>
      <c r="F123" s="55" t="s">
        <v>645</v>
      </c>
      <c r="G123" s="55" t="s">
        <v>646</v>
      </c>
      <c r="H123" s="55" t="s">
        <v>647</v>
      </c>
    </row>
    <row r="124" spans="1:8" s="49" customFormat="1" ht="34.799999999999997" hidden="1">
      <c r="A124" s="1000"/>
      <c r="B124" s="54"/>
      <c r="C124" s="1002" t="s">
        <v>648</v>
      </c>
      <c r="D124" s="1021" t="s">
        <v>639</v>
      </c>
      <c r="E124" s="55" t="s">
        <v>640</v>
      </c>
      <c r="F124" s="55" t="s">
        <v>641</v>
      </c>
      <c r="G124" s="55" t="s">
        <v>665</v>
      </c>
      <c r="H124" s="55" t="s">
        <v>650</v>
      </c>
    </row>
    <row r="125" spans="1:8" s="49" customFormat="1" ht="34.799999999999997" hidden="1">
      <c r="A125" s="1000"/>
      <c r="B125" s="54"/>
      <c r="C125" s="1002"/>
      <c r="D125" s="1021"/>
      <c r="E125" s="55" t="s">
        <v>644</v>
      </c>
      <c r="F125" s="55" t="s">
        <v>645</v>
      </c>
      <c r="G125" s="55" t="s">
        <v>651</v>
      </c>
      <c r="H125" s="55" t="s">
        <v>647</v>
      </c>
    </row>
    <row r="126" spans="1:8" s="49" customFormat="1" ht="34.799999999999997" hidden="1">
      <c r="A126" s="1000"/>
      <c r="B126" s="54"/>
      <c r="C126" s="1004" t="s">
        <v>652</v>
      </c>
      <c r="D126" s="1022" t="s">
        <v>639</v>
      </c>
      <c r="E126" s="55" t="s">
        <v>640</v>
      </c>
      <c r="F126" s="55" t="s">
        <v>641</v>
      </c>
      <c r="G126" s="55" t="s">
        <v>666</v>
      </c>
      <c r="H126" s="55" t="s">
        <v>650</v>
      </c>
    </row>
    <row r="127" spans="1:8" s="49" customFormat="1" ht="34.799999999999997" hidden="1">
      <c r="A127" s="1000"/>
      <c r="B127" s="54"/>
      <c r="C127" s="1005"/>
      <c r="D127" s="1023"/>
      <c r="E127" s="55" t="s">
        <v>644</v>
      </c>
      <c r="F127" s="55" t="s">
        <v>645</v>
      </c>
      <c r="G127" s="55" t="s">
        <v>654</v>
      </c>
      <c r="H127" s="55" t="s">
        <v>647</v>
      </c>
    </row>
    <row r="128" spans="1:8" s="49" customFormat="1" ht="34.799999999999997" hidden="1">
      <c r="A128" s="1000"/>
      <c r="B128" s="54"/>
      <c r="C128" s="1002" t="s">
        <v>655</v>
      </c>
      <c r="D128" s="1021" t="s">
        <v>639</v>
      </c>
      <c r="E128" s="55" t="s">
        <v>640</v>
      </c>
      <c r="F128" s="55" t="s">
        <v>641</v>
      </c>
      <c r="G128" s="55" t="s">
        <v>664</v>
      </c>
      <c r="H128" s="55" t="s">
        <v>650</v>
      </c>
    </row>
    <row r="129" spans="1:8" s="49" customFormat="1" ht="34.799999999999997" hidden="1">
      <c r="A129" s="1000"/>
      <c r="B129" s="54"/>
      <c r="C129" s="1002"/>
      <c r="D129" s="1021"/>
      <c r="E129" s="55" t="s">
        <v>644</v>
      </c>
      <c r="F129" s="55" t="s">
        <v>645</v>
      </c>
      <c r="G129" s="55" t="s">
        <v>646</v>
      </c>
      <c r="H129" s="55" t="s">
        <v>647</v>
      </c>
    </row>
    <row r="130" spans="1:8" s="49" customFormat="1" ht="34.799999999999997" hidden="1">
      <c r="A130" s="1000"/>
      <c r="B130" s="54"/>
      <c r="C130" s="1004" t="s">
        <v>656</v>
      </c>
      <c r="D130" s="1022" t="s">
        <v>639</v>
      </c>
      <c r="E130" s="55" t="s">
        <v>640</v>
      </c>
      <c r="F130" s="55" t="s">
        <v>641</v>
      </c>
      <c r="G130" s="55" t="s">
        <v>667</v>
      </c>
      <c r="H130" s="55" t="s">
        <v>650</v>
      </c>
    </row>
    <row r="131" spans="1:8" s="49" customFormat="1" ht="34.799999999999997" hidden="1">
      <c r="A131" s="1000"/>
      <c r="B131" s="54"/>
      <c r="C131" s="1005"/>
      <c r="D131" s="1023"/>
      <c r="E131" s="55" t="s">
        <v>644</v>
      </c>
      <c r="F131" s="55" t="s">
        <v>645</v>
      </c>
      <c r="G131" s="55" t="s">
        <v>658</v>
      </c>
      <c r="H131" s="55" t="s">
        <v>647</v>
      </c>
    </row>
    <row r="132" spans="1:8" s="49" customFormat="1" ht="34.799999999999997" hidden="1">
      <c r="A132" s="1000"/>
      <c r="B132" s="54"/>
      <c r="C132" s="1002" t="s">
        <v>659</v>
      </c>
      <c r="D132" s="1021" t="s">
        <v>639</v>
      </c>
      <c r="E132" s="55" t="s">
        <v>640</v>
      </c>
      <c r="F132" s="55" t="s">
        <v>641</v>
      </c>
      <c r="G132" s="55" t="s">
        <v>668</v>
      </c>
      <c r="H132" s="55" t="s">
        <v>650</v>
      </c>
    </row>
    <row r="133" spans="1:8" s="49" customFormat="1" ht="34.799999999999997" hidden="1">
      <c r="A133" s="1001"/>
      <c r="B133" s="61"/>
      <c r="C133" s="1005"/>
      <c r="D133" s="1023"/>
      <c r="E133" s="55" t="s">
        <v>644</v>
      </c>
      <c r="F133" s="55" t="s">
        <v>645</v>
      </c>
      <c r="G133" s="55" t="s">
        <v>661</v>
      </c>
      <c r="H133" s="55" t="s">
        <v>647</v>
      </c>
    </row>
    <row r="134" spans="1:8" s="49" customFormat="1" ht="125.25" hidden="1" customHeight="1">
      <c r="A134" s="1033" t="s">
        <v>669</v>
      </c>
      <c r="B134" s="50"/>
      <c r="C134" s="51" t="s">
        <v>670</v>
      </c>
      <c r="D134" s="53"/>
      <c r="E134" s="53"/>
      <c r="F134" s="53"/>
      <c r="G134" s="53"/>
      <c r="H134" s="53"/>
    </row>
    <row r="135" spans="1:8" s="49" customFormat="1" ht="34.799999999999997" hidden="1">
      <c r="A135" s="1034"/>
      <c r="B135" s="54"/>
      <c r="C135" s="1004" t="s">
        <v>638</v>
      </c>
      <c r="D135" s="1036" t="s">
        <v>639</v>
      </c>
      <c r="E135" s="53" t="s">
        <v>644</v>
      </c>
      <c r="F135" s="59" t="s">
        <v>645</v>
      </c>
      <c r="G135" s="53" t="s">
        <v>671</v>
      </c>
      <c r="H135" s="59" t="s">
        <v>672</v>
      </c>
    </row>
    <row r="136" spans="1:8" s="49" customFormat="1" ht="17.399999999999999" hidden="1">
      <c r="A136" s="1034"/>
      <c r="B136" s="54"/>
      <c r="C136" s="1005"/>
      <c r="D136" s="1037"/>
      <c r="E136" s="56"/>
      <c r="F136" s="60"/>
      <c r="G136" s="56"/>
      <c r="H136" s="60"/>
    </row>
    <row r="137" spans="1:8" s="49" customFormat="1" ht="34.799999999999997" hidden="1">
      <c r="A137" s="1034"/>
      <c r="B137" s="63"/>
      <c r="C137" s="1002" t="s">
        <v>648</v>
      </c>
      <c r="D137" s="1038" t="s">
        <v>639</v>
      </c>
      <c r="E137" s="57" t="s">
        <v>644</v>
      </c>
      <c r="F137" s="58" t="s">
        <v>645</v>
      </c>
      <c r="G137" s="57" t="s">
        <v>673</v>
      </c>
      <c r="H137" s="58" t="s">
        <v>672</v>
      </c>
    </row>
    <row r="138" spans="1:8" s="49" customFormat="1" ht="17.399999999999999" hidden="1">
      <c r="A138" s="1034"/>
      <c r="B138" s="63"/>
      <c r="C138" s="1002"/>
      <c r="D138" s="1038"/>
      <c r="E138" s="57"/>
      <c r="F138" s="58"/>
      <c r="G138" s="57"/>
      <c r="H138" s="58"/>
    </row>
    <row r="139" spans="1:8" s="49" customFormat="1" ht="34.799999999999997" hidden="1">
      <c r="A139" s="1034"/>
      <c r="B139" s="54"/>
      <c r="C139" s="1004" t="s">
        <v>652</v>
      </c>
      <c r="D139" s="1036" t="s">
        <v>639</v>
      </c>
      <c r="E139" s="53" t="s">
        <v>644</v>
      </c>
      <c r="F139" s="59" t="s">
        <v>645</v>
      </c>
      <c r="G139" s="53" t="s">
        <v>646</v>
      </c>
      <c r="H139" s="59" t="s">
        <v>672</v>
      </c>
    </row>
    <row r="140" spans="1:8" s="49" customFormat="1" ht="17.399999999999999" hidden="1">
      <c r="A140" s="1034"/>
      <c r="B140" s="54"/>
      <c r="C140" s="1005"/>
      <c r="D140" s="1037"/>
      <c r="E140" s="56"/>
      <c r="F140" s="60"/>
      <c r="G140" s="56"/>
      <c r="H140" s="60"/>
    </row>
    <row r="141" spans="1:8" s="49" customFormat="1" ht="34.799999999999997" hidden="1">
      <c r="A141" s="1034"/>
      <c r="B141" s="63"/>
      <c r="C141" s="1002" t="s">
        <v>655</v>
      </c>
      <c r="D141" s="1038" t="s">
        <v>639</v>
      </c>
      <c r="E141" s="57" t="s">
        <v>644</v>
      </c>
      <c r="F141" s="58" t="s">
        <v>645</v>
      </c>
      <c r="G141" s="57" t="s">
        <v>674</v>
      </c>
      <c r="H141" s="58" t="s">
        <v>672</v>
      </c>
    </row>
    <row r="142" spans="1:8" s="49" customFormat="1" ht="17.399999999999999" hidden="1">
      <c r="A142" s="1034"/>
      <c r="B142" s="63"/>
      <c r="C142" s="1002"/>
      <c r="D142" s="1038"/>
      <c r="E142" s="57"/>
      <c r="F142" s="58"/>
      <c r="G142" s="57"/>
      <c r="H142" s="58"/>
    </row>
    <row r="143" spans="1:8" s="49" customFormat="1" ht="34.799999999999997" hidden="1">
      <c r="A143" s="1034"/>
      <c r="B143" s="54"/>
      <c r="C143" s="1004" t="s">
        <v>656</v>
      </c>
      <c r="D143" s="1036" t="s">
        <v>639</v>
      </c>
      <c r="E143" s="53" t="s">
        <v>644</v>
      </c>
      <c r="F143" s="59" t="s">
        <v>645</v>
      </c>
      <c r="G143" s="53" t="s">
        <v>658</v>
      </c>
      <c r="H143" s="59" t="s">
        <v>672</v>
      </c>
    </row>
    <row r="144" spans="1:8" s="49" customFormat="1" ht="17.399999999999999" hidden="1">
      <c r="A144" s="1034"/>
      <c r="B144" s="54"/>
      <c r="C144" s="1005"/>
      <c r="D144" s="1037"/>
      <c r="E144" s="56"/>
      <c r="F144" s="60"/>
      <c r="G144" s="56"/>
      <c r="H144" s="60"/>
    </row>
    <row r="145" spans="1:8" s="49" customFormat="1" ht="34.799999999999997" hidden="1">
      <c r="A145" s="1034"/>
      <c r="B145" s="63"/>
      <c r="C145" s="1002" t="s">
        <v>659</v>
      </c>
      <c r="D145" s="1038" t="s">
        <v>639</v>
      </c>
      <c r="E145" s="57" t="s">
        <v>644</v>
      </c>
      <c r="F145" s="58" t="s">
        <v>645</v>
      </c>
      <c r="G145" s="57" t="s">
        <v>675</v>
      </c>
      <c r="H145" s="58" t="s">
        <v>672</v>
      </c>
    </row>
    <row r="146" spans="1:8" s="49" customFormat="1" ht="17.399999999999999" hidden="1">
      <c r="A146" s="1035"/>
      <c r="B146" s="64"/>
      <c r="C146" s="1005"/>
      <c r="D146" s="1037"/>
      <c r="E146" s="56"/>
      <c r="F146" s="60"/>
      <c r="G146" s="56"/>
      <c r="H146" s="60"/>
    </row>
    <row r="147" spans="1:8" s="49" customFormat="1" ht="34.799999999999997" hidden="1">
      <c r="A147" s="65" t="s">
        <v>676</v>
      </c>
      <c r="B147" s="66"/>
      <c r="C147" s="62" t="s">
        <v>677</v>
      </c>
      <c r="D147" s="67" t="s">
        <v>678</v>
      </c>
      <c r="E147" s="68" t="s">
        <v>644</v>
      </c>
      <c r="F147" s="55" t="s">
        <v>645</v>
      </c>
      <c r="G147" s="67" t="s">
        <v>642</v>
      </c>
      <c r="H147" s="55" t="s">
        <v>679</v>
      </c>
    </row>
  </sheetData>
  <mergeCells count="125">
    <mergeCell ref="A134:A146"/>
    <mergeCell ref="C135:C136"/>
    <mergeCell ref="D135:D136"/>
    <mergeCell ref="C137:C138"/>
    <mergeCell ref="D137:D138"/>
    <mergeCell ref="C139:C140"/>
    <mergeCell ref="D139:D140"/>
    <mergeCell ref="C141:C142"/>
    <mergeCell ref="D141:D142"/>
    <mergeCell ref="C143:C144"/>
    <mergeCell ref="D143:D144"/>
    <mergeCell ref="C145:C146"/>
    <mergeCell ref="D145:D146"/>
    <mergeCell ref="D130:D131"/>
    <mergeCell ref="C132:C133"/>
    <mergeCell ref="D132:D133"/>
    <mergeCell ref="C130:C131"/>
    <mergeCell ref="A121:A133"/>
    <mergeCell ref="C122:C123"/>
    <mergeCell ref="D122:D123"/>
    <mergeCell ref="C124:C125"/>
    <mergeCell ref="D124:D125"/>
    <mergeCell ref="C126:C127"/>
    <mergeCell ref="D126:D127"/>
    <mergeCell ref="D128:D129"/>
    <mergeCell ref="C128:C129"/>
    <mergeCell ref="A108:A120"/>
    <mergeCell ref="C109:C110"/>
    <mergeCell ref="D109:D110"/>
    <mergeCell ref="C111:C112"/>
    <mergeCell ref="D111:D112"/>
    <mergeCell ref="C113:C114"/>
    <mergeCell ref="D113:D114"/>
    <mergeCell ref="C115:C116"/>
    <mergeCell ref="D115:D116"/>
    <mergeCell ref="C117:C118"/>
    <mergeCell ref="D117:D118"/>
    <mergeCell ref="C119:C120"/>
    <mergeCell ref="D119:D120"/>
    <mergeCell ref="C100:E100"/>
    <mergeCell ref="B102:B103"/>
    <mergeCell ref="B105:C107"/>
    <mergeCell ref="D105:F105"/>
    <mergeCell ref="D106:F106"/>
    <mergeCell ref="D107:F107"/>
    <mergeCell ref="D73:D74"/>
    <mergeCell ref="C75:C76"/>
    <mergeCell ref="C91:E91"/>
    <mergeCell ref="B93:B94"/>
    <mergeCell ref="B96:C98"/>
    <mergeCell ref="D96:F96"/>
    <mergeCell ref="D97:F97"/>
    <mergeCell ref="D98:F98"/>
    <mergeCell ref="A90:H90"/>
    <mergeCell ref="B85:B86"/>
    <mergeCell ref="B87:C89"/>
    <mergeCell ref="D87:F87"/>
    <mergeCell ref="D88:F88"/>
    <mergeCell ref="D89:F89"/>
    <mergeCell ref="D86:F86"/>
    <mergeCell ref="B16:C18"/>
    <mergeCell ref="D16:F16"/>
    <mergeCell ref="D17:F17"/>
    <mergeCell ref="D18:F18"/>
    <mergeCell ref="C58:C59"/>
    <mergeCell ref="D58:D59"/>
    <mergeCell ref="A66:A78"/>
    <mergeCell ref="C67:C68"/>
    <mergeCell ref="D67:D68"/>
    <mergeCell ref="C69:C70"/>
    <mergeCell ref="D69:D70"/>
    <mergeCell ref="C71:C72"/>
    <mergeCell ref="D71:D72"/>
    <mergeCell ref="C73:C74"/>
    <mergeCell ref="C64:C65"/>
    <mergeCell ref="D64:D65"/>
    <mergeCell ref="D75:D76"/>
    <mergeCell ref="C77:C78"/>
    <mergeCell ref="D77:D78"/>
    <mergeCell ref="A53:A65"/>
    <mergeCell ref="C54:C55"/>
    <mergeCell ref="D54:D55"/>
    <mergeCell ref="C56:C57"/>
    <mergeCell ref="D56:D57"/>
    <mergeCell ref="C1:E1"/>
    <mergeCell ref="B3:B4"/>
    <mergeCell ref="B5:B6"/>
    <mergeCell ref="B7:C9"/>
    <mergeCell ref="D7:F7"/>
    <mergeCell ref="D8:F8"/>
    <mergeCell ref="D9:F9"/>
    <mergeCell ref="C11:E11"/>
    <mergeCell ref="B14:B15"/>
    <mergeCell ref="C81:E81"/>
    <mergeCell ref="B83:B84"/>
    <mergeCell ref="C60:C61"/>
    <mergeCell ref="D60:D61"/>
    <mergeCell ref="C47:C48"/>
    <mergeCell ref="C41:C42"/>
    <mergeCell ref="D41:D42"/>
    <mergeCell ref="D49:D50"/>
    <mergeCell ref="D51:D52"/>
    <mergeCell ref="C62:C63"/>
    <mergeCell ref="D62:D63"/>
    <mergeCell ref="A40:A52"/>
    <mergeCell ref="C43:C44"/>
    <mergeCell ref="D43:D44"/>
    <mergeCell ref="C45:C46"/>
    <mergeCell ref="D45:D46"/>
    <mergeCell ref="D47:D48"/>
    <mergeCell ref="C49:C50"/>
    <mergeCell ref="C20:E20"/>
    <mergeCell ref="B22:B23"/>
    <mergeCell ref="C32:E32"/>
    <mergeCell ref="B34:B35"/>
    <mergeCell ref="B37:C39"/>
    <mergeCell ref="D37:F37"/>
    <mergeCell ref="D38:F38"/>
    <mergeCell ref="B25:B27"/>
    <mergeCell ref="B28:C30"/>
    <mergeCell ref="D28:F28"/>
    <mergeCell ref="D39:F39"/>
    <mergeCell ref="D29:F29"/>
    <mergeCell ref="D30:F30"/>
    <mergeCell ref="C51:C52"/>
  </mergeCells>
  <printOptions horizontalCentered="1"/>
  <pageMargins left="0.5" right="0.25" top="0.75" bottom="0.75" header="0.3" footer="0.3"/>
  <pageSetup paperSize="9" orientation="portrait" r:id="rId1"/>
  <headerFooter>
    <oddHeader>&amp;LAditional_Analysis&amp;CRate_Analysis_Udayapur_Civil_2074/075&amp;RPage &amp;P of &amp;N</oddHeader>
    <oddFooter>&amp;LPrepared By:-&amp;CChecked By:-&amp;RApproved By:-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8CEAF-DB27-47F7-8B58-F25627E661D9}">
  <dimension ref="A2:G36"/>
  <sheetViews>
    <sheetView workbookViewId="0">
      <selection activeCell="J22" sqref="J22"/>
    </sheetView>
  </sheetViews>
  <sheetFormatPr defaultRowHeight="13.2"/>
  <sheetData>
    <row r="2" spans="1:7">
      <c r="C2" t="s">
        <v>792</v>
      </c>
    </row>
    <row r="3" spans="1:7" ht="13.8" thickBot="1"/>
    <row r="4" spans="1:7" s="98" customFormat="1" ht="20.25" customHeight="1">
      <c r="A4" s="93">
        <v>220</v>
      </c>
      <c r="B4" s="94" t="s">
        <v>765</v>
      </c>
      <c r="C4" s="95"/>
      <c r="D4" s="96"/>
      <c r="E4" s="95"/>
      <c r="F4" s="95"/>
      <c r="G4" s="97"/>
    </row>
    <row r="5" spans="1:7" s="98" customFormat="1" ht="14.25" customHeight="1">
      <c r="A5" s="93">
        <v>221</v>
      </c>
      <c r="B5" s="94" t="s">
        <v>766</v>
      </c>
      <c r="C5" s="95"/>
      <c r="D5" s="96"/>
      <c r="E5" s="99"/>
      <c r="F5" s="95"/>
      <c r="G5" s="100"/>
    </row>
    <row r="6" spans="1:7" ht="14.25" customHeight="1">
      <c r="A6" s="101"/>
      <c r="B6" s="102" t="s">
        <v>60</v>
      </c>
      <c r="C6" s="103"/>
      <c r="D6" s="104"/>
      <c r="E6" s="105"/>
      <c r="F6" s="103"/>
      <c r="G6" s="106"/>
    </row>
    <row r="7" spans="1:7" ht="14.25" customHeight="1">
      <c r="A7" s="101"/>
      <c r="B7" s="107" t="s">
        <v>767</v>
      </c>
      <c r="C7" s="108" t="s">
        <v>69</v>
      </c>
      <c r="D7" s="109" t="s">
        <v>768</v>
      </c>
      <c r="E7" s="110">
        <v>8</v>
      </c>
      <c r="F7" s="111" t="e">
        <f>'[6]Input Sheet'!#REF!</f>
        <v>#REF!</v>
      </c>
      <c r="G7" s="112" t="e">
        <f>E7*F7</f>
        <v>#REF!</v>
      </c>
    </row>
    <row r="8" spans="1:7" ht="14.25" customHeight="1">
      <c r="A8" s="113"/>
      <c r="B8" s="114"/>
      <c r="C8" s="115" t="s">
        <v>43</v>
      </c>
      <c r="D8" s="116" t="s">
        <v>768</v>
      </c>
      <c r="E8" s="117">
        <v>3</v>
      </c>
      <c r="F8" s="118" t="e">
        <f>'[6]Input Sheet'!#REF!</f>
        <v>#REF!</v>
      </c>
      <c r="G8" s="119" t="e">
        <f>E8*F8</f>
        <v>#REF!</v>
      </c>
    </row>
    <row r="9" spans="1:7" ht="14.25" customHeight="1" thickBot="1">
      <c r="A9" s="120"/>
      <c r="B9" s="121" t="s">
        <v>769</v>
      </c>
      <c r="C9" s="115" t="s">
        <v>770</v>
      </c>
      <c r="D9" s="122" t="s">
        <v>771</v>
      </c>
      <c r="E9" s="123">
        <v>1</v>
      </c>
      <c r="F9" s="115"/>
      <c r="G9" s="119">
        <f>E9*F9</f>
        <v>0</v>
      </c>
    </row>
    <row r="10" spans="1:7" ht="14.25" customHeight="1" thickBot="1">
      <c r="A10" s="124"/>
      <c r="B10" s="125" t="s">
        <v>772</v>
      </c>
      <c r="C10" s="126"/>
      <c r="D10" s="127"/>
      <c r="E10" s="126"/>
      <c r="F10" s="128"/>
      <c r="G10" s="129" t="e">
        <f>SUM(G7:G9)</f>
        <v>#REF!</v>
      </c>
    </row>
    <row r="11" spans="1:7" s="98" customFormat="1" ht="14.25" customHeight="1">
      <c r="A11" s="130">
        <v>222</v>
      </c>
      <c r="B11" s="131" t="s">
        <v>773</v>
      </c>
      <c r="C11" s="132"/>
      <c r="D11" s="133"/>
      <c r="E11" s="134"/>
      <c r="F11" s="135"/>
      <c r="G11" s="136"/>
    </row>
    <row r="12" spans="1:7" ht="14.25" customHeight="1">
      <c r="A12" s="101"/>
      <c r="B12" s="137" t="s">
        <v>60</v>
      </c>
      <c r="C12" s="138"/>
      <c r="D12" s="139"/>
      <c r="E12" s="140"/>
      <c r="F12" s="138"/>
      <c r="G12" s="141"/>
    </row>
    <row r="13" spans="1:7" ht="14.25" customHeight="1">
      <c r="A13" s="101"/>
      <c r="B13" s="107" t="s">
        <v>767</v>
      </c>
      <c r="C13" s="108" t="s">
        <v>69</v>
      </c>
      <c r="D13" s="109" t="s">
        <v>768</v>
      </c>
      <c r="E13" s="110">
        <v>4</v>
      </c>
      <c r="F13" s="142" t="e">
        <f>F7</f>
        <v>#REF!</v>
      </c>
      <c r="G13" s="112" t="e">
        <f>E13*F13</f>
        <v>#REF!</v>
      </c>
    </row>
    <row r="14" spans="1:7" ht="14.25" customHeight="1">
      <c r="A14" s="113"/>
      <c r="B14" s="114"/>
      <c r="C14" s="115" t="s">
        <v>43</v>
      </c>
      <c r="D14" s="116" t="s">
        <v>768</v>
      </c>
      <c r="E14" s="117">
        <v>3</v>
      </c>
      <c r="F14" s="143" t="e">
        <f>F8</f>
        <v>#REF!</v>
      </c>
      <c r="G14" s="119" t="e">
        <f>E14*F14</f>
        <v>#REF!</v>
      </c>
    </row>
    <row r="15" spans="1:7" ht="14.25" customHeight="1" thickBot="1">
      <c r="A15" s="101"/>
      <c r="B15" s="121" t="s">
        <v>769</v>
      </c>
      <c r="C15" s="115" t="s">
        <v>770</v>
      </c>
      <c r="D15" s="122" t="s">
        <v>771</v>
      </c>
      <c r="E15" s="123">
        <v>1</v>
      </c>
      <c r="F15" s="115"/>
      <c r="G15" s="119">
        <f>E15*F15</f>
        <v>0</v>
      </c>
    </row>
    <row r="16" spans="1:7" ht="14.25" customHeight="1" thickBot="1">
      <c r="A16" s="144"/>
      <c r="B16" s="145" t="s">
        <v>774</v>
      </c>
      <c r="C16" s="146"/>
      <c r="D16" s="147"/>
      <c r="E16" s="146"/>
      <c r="F16" s="148"/>
      <c r="G16" s="129" t="e">
        <f>SUM(G13:G15)</f>
        <v>#REF!</v>
      </c>
    </row>
    <row r="17" spans="1:7" s="98" customFormat="1" ht="13.65" customHeight="1">
      <c r="A17" s="178">
        <v>223</v>
      </c>
      <c r="B17" s="179" t="s">
        <v>775</v>
      </c>
      <c r="C17" s="180"/>
      <c r="D17" s="181"/>
      <c r="E17" s="182"/>
      <c r="F17" s="180"/>
      <c r="G17" s="183"/>
    </row>
    <row r="18" spans="1:7" ht="13.65" customHeight="1">
      <c r="A18" s="184"/>
      <c r="B18" s="185" t="s">
        <v>60</v>
      </c>
      <c r="C18" s="186"/>
      <c r="D18" s="187"/>
      <c r="E18" s="188"/>
      <c r="F18" s="186"/>
      <c r="G18" s="189"/>
    </row>
    <row r="19" spans="1:7" ht="13.65" customHeight="1">
      <c r="A19" s="190"/>
      <c r="B19" s="191" t="s">
        <v>776</v>
      </c>
      <c r="C19" s="192" t="s">
        <v>43</v>
      </c>
      <c r="D19" s="193" t="s">
        <v>768</v>
      </c>
      <c r="E19" s="194">
        <v>5</v>
      </c>
      <c r="F19" s="192">
        <v>480</v>
      </c>
      <c r="G19" s="195">
        <f>E19*F19</f>
        <v>2400</v>
      </c>
    </row>
    <row r="20" spans="1:7" ht="13.65" customHeight="1" thickBot="1">
      <c r="A20" s="196"/>
      <c r="B20" s="197" t="s">
        <v>769</v>
      </c>
      <c r="C20" s="198" t="s">
        <v>777</v>
      </c>
      <c r="D20" s="199" t="s">
        <v>771</v>
      </c>
      <c r="E20" s="200">
        <v>1</v>
      </c>
      <c r="F20" s="198"/>
      <c r="G20" s="201">
        <f>E20*F20</f>
        <v>0</v>
      </c>
    </row>
    <row r="21" spans="1:7" ht="13.65" customHeight="1" thickBot="1">
      <c r="A21" s="202"/>
      <c r="B21" s="203" t="s">
        <v>778</v>
      </c>
      <c r="C21" s="204"/>
      <c r="D21" s="205"/>
      <c r="E21" s="204"/>
      <c r="F21" s="206"/>
      <c r="G21" s="207">
        <f>SUM(G19:G20)</f>
        <v>2400</v>
      </c>
    </row>
    <row r="22" spans="1:7" ht="14.25" customHeight="1" thickBot="1">
      <c r="A22" s="151"/>
      <c r="B22" s="152"/>
      <c r="C22" s="153"/>
      <c r="D22" s="154"/>
      <c r="E22" s="153"/>
      <c r="F22" s="153"/>
      <c r="G22" s="155"/>
    </row>
    <row r="23" spans="1:7" ht="14.25" customHeight="1">
      <c r="A23" s="156" t="s">
        <v>779</v>
      </c>
      <c r="B23" s="157"/>
      <c r="C23" s="158"/>
      <c r="D23" s="159"/>
      <c r="E23" s="158"/>
      <c r="F23" s="158"/>
      <c r="G23" s="160"/>
    </row>
    <row r="24" spans="1:7" ht="13.65" customHeight="1">
      <c r="A24" s="161"/>
      <c r="B24" s="157"/>
      <c r="C24" s="158"/>
      <c r="D24" s="159"/>
      <c r="E24" s="158"/>
      <c r="F24" s="158"/>
      <c r="G24" s="160"/>
    </row>
    <row r="25" spans="1:7" ht="9" customHeight="1" thickBot="1">
      <c r="A25" s="162"/>
      <c r="B25" s="152"/>
      <c r="C25" s="153"/>
      <c r="D25" s="154"/>
      <c r="E25" s="153"/>
      <c r="F25" s="153"/>
      <c r="G25" s="163"/>
    </row>
    <row r="26" spans="1:7" s="167" customFormat="1" ht="21" customHeight="1" thickBot="1">
      <c r="A26" s="164" t="s">
        <v>780</v>
      </c>
      <c r="B26" s="165"/>
      <c r="C26" s="165"/>
      <c r="D26" s="165"/>
      <c r="E26" s="165"/>
      <c r="F26" s="165"/>
      <c r="G26" s="166" t="s">
        <v>781</v>
      </c>
    </row>
    <row r="27" spans="1:7" ht="13.35" customHeight="1" thickBot="1">
      <c r="A27" s="168"/>
      <c r="G27" s="169"/>
    </row>
    <row r="28" spans="1:7" ht="32.4" customHeight="1" thickBot="1">
      <c r="A28" s="1050" t="s">
        <v>54</v>
      </c>
      <c r="B28" s="1051"/>
      <c r="C28" s="1052"/>
      <c r="D28" s="170" t="s">
        <v>45</v>
      </c>
      <c r="E28" s="170" t="s">
        <v>782</v>
      </c>
      <c r="F28" s="170" t="s">
        <v>783</v>
      </c>
      <c r="G28" s="171" t="s">
        <v>784</v>
      </c>
    </row>
    <row r="29" spans="1:7" s="98" customFormat="1" ht="13.65" customHeight="1">
      <c r="A29" s="130">
        <v>224</v>
      </c>
      <c r="B29" s="131" t="s">
        <v>785</v>
      </c>
      <c r="C29" s="132"/>
      <c r="D29" s="133"/>
      <c r="E29" s="134"/>
      <c r="F29" s="135"/>
      <c r="G29" s="172"/>
    </row>
    <row r="30" spans="1:7" ht="12.75" customHeight="1">
      <c r="A30" s="120"/>
      <c r="B30" s="173" t="s">
        <v>786</v>
      </c>
      <c r="C30" s="115" t="s">
        <v>43</v>
      </c>
      <c r="D30" s="116" t="s">
        <v>768</v>
      </c>
      <c r="E30" s="117">
        <v>3</v>
      </c>
      <c r="F30" s="115" t="e">
        <f>F8</f>
        <v>#REF!</v>
      </c>
      <c r="G30" s="119" t="e">
        <f>E30*F30</f>
        <v>#REF!</v>
      </c>
    </row>
    <row r="31" spans="1:7" ht="12.75" customHeight="1" thickBot="1">
      <c r="A31" s="120"/>
      <c r="B31" s="121" t="s">
        <v>769</v>
      </c>
      <c r="C31" s="115" t="s">
        <v>787</v>
      </c>
      <c r="D31" s="122" t="s">
        <v>771</v>
      </c>
      <c r="E31" s="123">
        <v>1</v>
      </c>
      <c r="F31" s="115"/>
      <c r="G31" s="119">
        <f>E31*F31</f>
        <v>0</v>
      </c>
    </row>
    <row r="32" spans="1:7" ht="13.65" customHeight="1" thickBot="1">
      <c r="A32" s="124"/>
      <c r="B32" s="125" t="s">
        <v>788</v>
      </c>
      <c r="C32" s="126"/>
      <c r="D32" s="127"/>
      <c r="E32" s="126"/>
      <c r="F32" s="150"/>
      <c r="G32" s="129" t="e">
        <f>SUM(G30:G31)</f>
        <v>#REF!</v>
      </c>
    </row>
    <row r="33" spans="1:7" s="98" customFormat="1" ht="13.65" customHeight="1">
      <c r="A33" s="130">
        <v>225</v>
      </c>
      <c r="B33" s="131" t="s">
        <v>789</v>
      </c>
      <c r="C33" s="132"/>
      <c r="D33" s="133"/>
      <c r="E33" s="134"/>
      <c r="F33" s="135"/>
      <c r="G33" s="172"/>
    </row>
    <row r="34" spans="1:7" ht="12.75" customHeight="1">
      <c r="A34" s="120"/>
      <c r="B34" s="173" t="s">
        <v>790</v>
      </c>
      <c r="C34" s="115" t="s">
        <v>43</v>
      </c>
      <c r="D34" s="116" t="s">
        <v>768</v>
      </c>
      <c r="E34" s="117">
        <v>7</v>
      </c>
      <c r="F34" s="115" t="e">
        <f>F8</f>
        <v>#REF!</v>
      </c>
      <c r="G34" s="119" t="e">
        <f>E34*F34</f>
        <v>#REF!</v>
      </c>
    </row>
    <row r="35" spans="1:7" ht="12.75" customHeight="1" thickBot="1">
      <c r="A35" s="149"/>
      <c r="B35" s="121" t="s">
        <v>769</v>
      </c>
      <c r="C35" s="115" t="s">
        <v>777</v>
      </c>
      <c r="D35" s="122" t="s">
        <v>771</v>
      </c>
      <c r="E35" s="123">
        <v>1</v>
      </c>
      <c r="F35" s="115"/>
      <c r="G35" s="119">
        <f>E35*F35</f>
        <v>0</v>
      </c>
    </row>
    <row r="36" spans="1:7" ht="13.65" customHeight="1" thickBot="1">
      <c r="A36" s="149"/>
      <c r="B36" s="174" t="s">
        <v>791</v>
      </c>
      <c r="C36" s="175"/>
      <c r="D36" s="176"/>
      <c r="E36" s="175"/>
      <c r="F36" s="177"/>
      <c r="G36" s="129" t="e">
        <f>SUM(G34:G35)</f>
        <v>#REF!</v>
      </c>
    </row>
  </sheetData>
  <mergeCells count="1">
    <mergeCell ref="A28:C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5DE3-1935-4F85-BE5F-AA1C5943AD7F}">
  <dimension ref="A1:G82"/>
  <sheetViews>
    <sheetView view="pageBreakPreview" zoomScaleSheetLayoutView="100" workbookViewId="0">
      <selection activeCell="I11" sqref="I11"/>
    </sheetView>
  </sheetViews>
  <sheetFormatPr defaultRowHeight="13.2"/>
  <cols>
    <col min="1" max="1" width="13.88671875" customWidth="1"/>
    <col min="2" max="2" width="13.5546875" customWidth="1"/>
    <col min="3" max="3" width="14.44140625" customWidth="1"/>
    <col min="4" max="4" width="16.88671875" customWidth="1"/>
    <col min="5" max="5" width="18.5546875" customWidth="1"/>
  </cols>
  <sheetData>
    <row r="1" spans="1:7" ht="24.6">
      <c r="A1" s="1057" t="s">
        <v>759</v>
      </c>
      <c r="B1" s="1057"/>
      <c r="C1" s="1057"/>
      <c r="D1" s="1057"/>
      <c r="E1" s="1057"/>
      <c r="F1" s="1057"/>
      <c r="G1" s="1057"/>
    </row>
    <row r="2" spans="1:7" ht="24.6">
      <c r="A2" s="1057" t="s">
        <v>760</v>
      </c>
      <c r="B2" s="1057"/>
      <c r="C2" s="1057"/>
      <c r="D2" s="1057"/>
      <c r="E2" s="1057"/>
      <c r="F2" s="1057"/>
      <c r="G2" s="1057"/>
    </row>
    <row r="3" spans="1:7" ht="24.6">
      <c r="A3" s="1057" t="s">
        <v>761</v>
      </c>
      <c r="B3" s="1057"/>
      <c r="C3" s="1057"/>
      <c r="D3" s="1057"/>
      <c r="E3" s="1057"/>
      <c r="F3" s="1057"/>
      <c r="G3" s="1057"/>
    </row>
    <row r="4" spans="1:7" ht="34.200000000000003">
      <c r="A4" s="1063" t="s">
        <v>824</v>
      </c>
      <c r="B4" s="1063"/>
      <c r="C4" s="1063"/>
      <c r="D4" s="1063"/>
      <c r="E4" s="1063"/>
      <c r="F4" s="1063"/>
      <c r="G4" s="1063"/>
    </row>
    <row r="5" spans="1:7" ht="24.6">
      <c r="A5" s="1068" t="s">
        <v>810</v>
      </c>
      <c r="B5" s="1068"/>
      <c r="C5" s="1068"/>
      <c r="D5" s="1068"/>
      <c r="E5" s="1068"/>
      <c r="F5" s="1068"/>
      <c r="G5" s="1068"/>
    </row>
    <row r="6" spans="1:7" ht="45">
      <c r="A6" s="1064" t="s">
        <v>807</v>
      </c>
      <c r="B6" s="1064"/>
      <c r="C6" s="1064"/>
      <c r="D6" s="1064"/>
      <c r="E6" s="1064"/>
      <c r="F6" s="1064"/>
      <c r="G6" s="1064"/>
    </row>
    <row r="7" spans="1:7" ht="21">
      <c r="A7" s="81"/>
      <c r="B7" s="81"/>
      <c r="C7" s="81"/>
      <c r="D7" s="83"/>
      <c r="E7" s="83"/>
      <c r="F7" s="81"/>
      <c r="G7" s="83"/>
    </row>
    <row r="8" spans="1:7" ht="65.400000000000006">
      <c r="A8" s="1065" t="s">
        <v>762</v>
      </c>
      <c r="B8" s="1065"/>
      <c r="C8" s="1065"/>
      <c r="D8" s="1065"/>
      <c r="E8" s="1065"/>
      <c r="F8" s="1065"/>
      <c r="G8" s="1065"/>
    </row>
    <row r="9" spans="1:7" ht="21">
      <c r="A9" s="81"/>
      <c r="B9" s="81"/>
      <c r="C9" s="82"/>
      <c r="D9" s="81"/>
      <c r="E9" s="86"/>
      <c r="F9" s="81"/>
      <c r="G9" s="81"/>
    </row>
    <row r="10" spans="1:7" ht="21">
      <c r="A10" s="82"/>
      <c r="B10" s="85"/>
      <c r="C10" s="82"/>
      <c r="D10" s="88"/>
      <c r="E10" s="86"/>
      <c r="F10" s="81"/>
      <c r="G10" s="81"/>
    </row>
    <row r="11" spans="1:7" ht="43.8">
      <c r="A11" s="1054" t="s">
        <v>1036</v>
      </c>
      <c r="B11" s="1054"/>
      <c r="C11" s="1054"/>
      <c r="D11" s="1054"/>
      <c r="E11" s="1054"/>
      <c r="F11" s="1054"/>
      <c r="G11" s="1054"/>
    </row>
    <row r="12" spans="1:7" ht="43.8">
      <c r="A12" s="91"/>
      <c r="B12" s="91"/>
      <c r="C12" s="91"/>
      <c r="D12" s="91"/>
      <c r="E12" s="91"/>
      <c r="F12" s="91"/>
      <c r="G12" s="91"/>
    </row>
    <row r="13" spans="1:7" ht="24.6">
      <c r="A13" s="1066" t="s">
        <v>808</v>
      </c>
      <c r="B13" s="1055"/>
      <c r="C13" s="1055"/>
      <c r="D13" s="1055"/>
      <c r="E13" s="1055"/>
      <c r="F13" s="1055"/>
      <c r="G13" s="1055"/>
    </row>
    <row r="14" spans="1:7" ht="34.200000000000003">
      <c r="A14" s="1067"/>
      <c r="B14" s="1067"/>
      <c r="C14" s="1067"/>
      <c r="D14" s="1067"/>
      <c r="E14" s="1067"/>
      <c r="F14" s="1067"/>
      <c r="G14" s="1067"/>
    </row>
    <row r="15" spans="1:7" ht="24.6">
      <c r="A15" s="1066" t="s">
        <v>809</v>
      </c>
      <c r="B15" s="1066"/>
      <c r="C15" s="1066"/>
      <c r="D15" s="1066"/>
      <c r="E15" s="1066"/>
      <c r="F15" s="1066"/>
      <c r="G15" s="1066"/>
    </row>
    <row r="16" spans="1:7" ht="31.8">
      <c r="A16" s="1069"/>
      <c r="B16" s="1069"/>
      <c r="C16" s="1069"/>
      <c r="D16" s="1069"/>
      <c r="E16" s="1069"/>
      <c r="F16" s="1069"/>
      <c r="G16" s="1069"/>
    </row>
    <row r="17" spans="1:7" ht="24.6">
      <c r="A17" s="1055"/>
      <c r="B17" s="1055"/>
      <c r="C17" s="1055"/>
      <c r="D17" s="1055"/>
      <c r="E17" s="1055"/>
      <c r="F17" s="1055"/>
      <c r="G17" s="1055"/>
    </row>
    <row r="18" spans="1:7" ht="32.25" customHeight="1">
      <c r="A18" s="1066" t="s">
        <v>763</v>
      </c>
      <c r="B18" s="1066"/>
      <c r="C18" s="1066"/>
      <c r="D18" s="1066"/>
      <c r="E18" s="1066"/>
      <c r="F18" s="1066"/>
      <c r="G18" s="1066"/>
    </row>
    <row r="19" spans="1:7" ht="36.75" customHeight="1">
      <c r="A19" s="1061"/>
      <c r="B19" s="1061"/>
      <c r="C19" s="1061"/>
      <c r="D19" s="1061"/>
      <c r="E19" s="1061"/>
      <c r="F19" s="1061"/>
      <c r="G19" s="1061"/>
    </row>
    <row r="20" spans="1:7" ht="24.6">
      <c r="A20" s="92"/>
      <c r="B20" s="92"/>
      <c r="C20" s="92"/>
      <c r="D20" s="92"/>
      <c r="E20" s="92"/>
      <c r="F20" s="92"/>
      <c r="G20" s="92"/>
    </row>
    <row r="21" spans="1:7" ht="24.6">
      <c r="A21" s="1062" t="s">
        <v>820</v>
      </c>
      <c r="B21" s="1055"/>
      <c r="C21" s="1055"/>
      <c r="D21" s="1055"/>
      <c r="E21" s="1055"/>
      <c r="F21" s="1055"/>
      <c r="G21" s="1055"/>
    </row>
    <row r="22" spans="1:7" ht="21">
      <c r="A22" s="82"/>
      <c r="B22" s="89"/>
      <c r="C22" s="89"/>
      <c r="D22" s="81"/>
      <c r="E22" s="88"/>
      <c r="F22" s="81"/>
      <c r="G22" s="81"/>
    </row>
    <row r="23" spans="1:7" ht="21">
      <c r="A23" s="82"/>
      <c r="B23" s="82"/>
      <c r="C23" s="89"/>
      <c r="D23" s="81"/>
      <c r="E23" s="88"/>
      <c r="F23" s="81"/>
      <c r="G23" s="81"/>
    </row>
    <row r="24" spans="1:7" ht="21">
      <c r="A24" s="82"/>
      <c r="B24" s="89"/>
      <c r="C24" s="89"/>
      <c r="D24" s="81"/>
      <c r="E24" s="88"/>
      <c r="F24" s="81"/>
      <c r="G24" s="81"/>
    </row>
    <row r="25" spans="1:7" ht="21">
      <c r="A25" s="82"/>
      <c r="B25" s="89"/>
      <c r="C25" s="89"/>
      <c r="D25" s="81"/>
      <c r="E25" s="88"/>
      <c r="F25" s="81"/>
      <c r="G25" s="81"/>
    </row>
    <row r="26" spans="1:7" ht="21">
      <c r="A26" s="82"/>
      <c r="B26" s="89"/>
      <c r="C26" s="89"/>
      <c r="D26" s="81"/>
      <c r="E26" s="88"/>
      <c r="F26" s="81"/>
      <c r="G26" s="81"/>
    </row>
    <row r="27" spans="1:7" ht="21">
      <c r="A27" s="82"/>
      <c r="B27" s="89"/>
      <c r="C27" s="89"/>
      <c r="D27" s="81"/>
      <c r="E27" s="88"/>
      <c r="F27" s="81"/>
      <c r="G27" s="81"/>
    </row>
    <row r="28" spans="1:7" ht="21">
      <c r="A28" s="82"/>
      <c r="B28" s="89"/>
      <c r="C28" s="89"/>
      <c r="D28" s="81"/>
      <c r="E28" s="88"/>
      <c r="F28" s="81"/>
      <c r="G28" s="81"/>
    </row>
    <row r="29" spans="1:7" ht="24.6">
      <c r="A29" s="1057"/>
      <c r="B29" s="1057"/>
      <c r="C29" s="1057"/>
      <c r="D29" s="1057"/>
      <c r="E29" s="1057"/>
      <c r="F29" s="1057"/>
      <c r="G29" s="1057"/>
    </row>
    <row r="30" spans="1:7" ht="27">
      <c r="A30" s="1058"/>
      <c r="B30" s="1058"/>
      <c r="C30" s="1058"/>
      <c r="D30" s="1058"/>
      <c r="E30" s="1058"/>
      <c r="F30" s="1058"/>
      <c r="G30" s="1058"/>
    </row>
    <row r="31" spans="1:7" ht="29.4">
      <c r="A31" s="1059"/>
      <c r="B31" s="1059"/>
      <c r="C31" s="1059"/>
      <c r="D31" s="1059"/>
      <c r="E31" s="1059"/>
      <c r="F31" s="1059"/>
      <c r="G31" s="1059"/>
    </row>
    <row r="32" spans="1:7" ht="34.200000000000003">
      <c r="A32" s="1060"/>
      <c r="B32" s="1060"/>
      <c r="C32" s="1060"/>
      <c r="D32" s="1060"/>
      <c r="E32" s="1060"/>
      <c r="F32" s="1060"/>
      <c r="G32" s="1060"/>
    </row>
    <row r="33" spans="1:7" ht="34.200000000000003">
      <c r="A33" s="84"/>
      <c r="B33" s="84"/>
      <c r="C33" s="84"/>
      <c r="D33" s="84"/>
      <c r="E33" s="84"/>
      <c r="F33" s="81"/>
      <c r="G33" s="81"/>
    </row>
    <row r="34" spans="1:7" ht="45">
      <c r="A34" s="1053"/>
      <c r="B34" s="1053"/>
      <c r="C34" s="1053"/>
      <c r="D34" s="1053"/>
      <c r="E34" s="1053"/>
      <c r="F34" s="1053"/>
      <c r="G34" s="1053"/>
    </row>
    <row r="35" spans="1:7" ht="21">
      <c r="A35" s="81"/>
      <c r="B35" s="81"/>
      <c r="C35" s="81"/>
      <c r="D35" s="83"/>
      <c r="E35" s="83"/>
      <c r="F35" s="81"/>
      <c r="G35" s="83"/>
    </row>
    <row r="36" spans="1:7" ht="65.400000000000006">
      <c r="A36" s="1056"/>
      <c r="B36" s="1056"/>
      <c r="C36" s="1056"/>
      <c r="D36" s="1056"/>
      <c r="E36" s="1056"/>
      <c r="F36" s="1056"/>
      <c r="G36" s="1056"/>
    </row>
    <row r="37" spans="1:7" ht="21">
      <c r="A37" s="83"/>
      <c r="B37" s="81"/>
      <c r="C37" s="81"/>
      <c r="D37" s="83"/>
      <c r="E37" s="83"/>
      <c r="F37" s="81"/>
      <c r="G37" s="83"/>
    </row>
    <row r="38" spans="1:7" ht="21">
      <c r="A38" s="81"/>
      <c r="B38" s="81"/>
      <c r="C38" s="82"/>
      <c r="D38" s="81"/>
      <c r="E38" s="86"/>
      <c r="F38" s="81"/>
      <c r="G38" s="81"/>
    </row>
    <row r="39" spans="1:7" ht="21">
      <c r="A39" s="81"/>
      <c r="B39" s="81"/>
      <c r="C39" s="82"/>
      <c r="D39" s="81"/>
      <c r="E39" s="86"/>
      <c r="F39" s="81"/>
      <c r="G39" s="81"/>
    </row>
    <row r="40" spans="1:7" ht="21">
      <c r="A40" s="82"/>
      <c r="B40" s="85"/>
      <c r="C40" s="82"/>
      <c r="D40" s="88"/>
      <c r="E40" s="86"/>
      <c r="F40" s="81"/>
      <c r="G40" s="81"/>
    </row>
    <row r="41" spans="1:7" ht="43.8">
      <c r="A41" s="1054"/>
      <c r="B41" s="1054"/>
      <c r="C41" s="1054"/>
      <c r="D41" s="1054"/>
      <c r="E41" s="1054"/>
      <c r="F41" s="1054"/>
      <c r="G41" s="1054"/>
    </row>
    <row r="42" spans="1:7" ht="24.6">
      <c r="A42" s="1055"/>
      <c r="B42" s="1055"/>
      <c r="C42" s="1055"/>
      <c r="D42" s="1055"/>
      <c r="E42" s="1055"/>
      <c r="F42" s="1055"/>
      <c r="G42" s="1055"/>
    </row>
    <row r="43" spans="1:7" ht="24.6">
      <c r="A43" s="1055"/>
      <c r="B43" s="1055"/>
      <c r="C43" s="1055"/>
      <c r="D43" s="1055"/>
      <c r="E43" s="1055"/>
      <c r="F43" s="1055"/>
      <c r="G43" s="1055"/>
    </row>
    <row r="44" spans="1:7" ht="24.6">
      <c r="A44" s="1055"/>
      <c r="B44" s="1055"/>
      <c r="C44" s="1055"/>
      <c r="D44" s="1055"/>
      <c r="E44" s="1055"/>
      <c r="F44" s="1055"/>
      <c r="G44" s="1055"/>
    </row>
    <row r="45" spans="1:7" ht="24.6">
      <c r="A45" s="1055"/>
      <c r="B45" s="1055"/>
      <c r="C45" s="1055"/>
      <c r="D45" s="1055"/>
      <c r="E45" s="1055"/>
      <c r="F45" s="1055"/>
      <c r="G45" s="1055"/>
    </row>
    <row r="46" spans="1:7" ht="21">
      <c r="A46" s="82"/>
      <c r="B46" s="89"/>
      <c r="C46" s="89"/>
      <c r="D46" s="81"/>
      <c r="E46" s="88"/>
      <c r="F46" s="81"/>
      <c r="G46" s="81"/>
    </row>
    <row r="47" spans="1:7" ht="21">
      <c r="A47" s="82"/>
      <c r="B47" s="82"/>
      <c r="C47" s="89"/>
      <c r="D47" s="81"/>
      <c r="E47" s="88"/>
      <c r="F47" s="81"/>
      <c r="G47" s="81"/>
    </row>
    <row r="48" spans="1:7" ht="21">
      <c r="A48" s="82"/>
      <c r="B48" s="82"/>
      <c r="C48" s="89"/>
      <c r="D48" s="81"/>
      <c r="E48" s="88"/>
      <c r="F48" s="81"/>
      <c r="G48" s="81"/>
    </row>
    <row r="49" spans="1:7" ht="19.8">
      <c r="A49" s="87"/>
      <c r="B49" s="87"/>
      <c r="C49" s="87"/>
      <c r="D49" s="87"/>
      <c r="E49" s="87"/>
      <c r="F49" s="87"/>
      <c r="G49" s="87"/>
    </row>
    <row r="50" spans="1:7" ht="21">
      <c r="A50" s="82"/>
      <c r="B50" s="89"/>
      <c r="C50" s="89"/>
      <c r="D50" s="81"/>
      <c r="E50" s="88"/>
      <c r="F50" s="81"/>
      <c r="G50" s="81"/>
    </row>
    <row r="51" spans="1:7" ht="21">
      <c r="A51" s="82"/>
      <c r="B51" s="89"/>
      <c r="C51" s="89"/>
      <c r="D51" s="81"/>
      <c r="E51" s="88"/>
      <c r="F51" s="81"/>
      <c r="G51" s="81"/>
    </row>
    <row r="52" spans="1:7" ht="21">
      <c r="A52" s="82"/>
      <c r="B52" s="89"/>
      <c r="C52" s="89"/>
      <c r="D52" s="81"/>
      <c r="E52" s="88"/>
      <c r="F52" s="81"/>
      <c r="G52" s="81"/>
    </row>
    <row r="53" spans="1:7" ht="21">
      <c r="A53" s="82"/>
      <c r="B53" s="89"/>
      <c r="C53" s="89"/>
      <c r="D53" s="81"/>
      <c r="E53" s="88"/>
      <c r="F53" s="81"/>
      <c r="G53" s="81"/>
    </row>
    <row r="54" spans="1:7" ht="21">
      <c r="A54" s="82"/>
      <c r="B54" s="89"/>
      <c r="C54" s="89"/>
      <c r="D54" s="81"/>
      <c r="E54" s="88"/>
      <c r="F54" s="81"/>
      <c r="G54" s="81"/>
    </row>
    <row r="55" spans="1:7" ht="24.6">
      <c r="A55" s="1057"/>
      <c r="B55" s="1057"/>
      <c r="C55" s="1057"/>
      <c r="D55" s="1057"/>
      <c r="E55" s="1057"/>
      <c r="F55" s="1057"/>
      <c r="G55" s="1057"/>
    </row>
    <row r="56" spans="1:7" ht="27">
      <c r="A56" s="1058"/>
      <c r="B56" s="1058"/>
      <c r="C56" s="1058"/>
      <c r="D56" s="1058"/>
      <c r="E56" s="1058"/>
      <c r="F56" s="1058"/>
      <c r="G56" s="1058"/>
    </row>
    <row r="57" spans="1:7" ht="29.4">
      <c r="A57" s="1059"/>
      <c r="B57" s="1059"/>
      <c r="C57" s="1059"/>
      <c r="D57" s="1059"/>
      <c r="E57" s="1059"/>
      <c r="F57" s="1059"/>
      <c r="G57" s="1059"/>
    </row>
    <row r="58" spans="1:7" ht="34.200000000000003">
      <c r="A58" s="1060"/>
      <c r="B58" s="1060"/>
      <c r="C58" s="1060"/>
      <c r="D58" s="1060"/>
      <c r="E58" s="1060"/>
      <c r="F58" s="1060"/>
      <c r="G58" s="1060"/>
    </row>
    <row r="59" spans="1:7" ht="34.200000000000003">
      <c r="A59" s="84"/>
      <c r="B59" s="84"/>
      <c r="C59" s="84"/>
      <c r="D59" s="84"/>
      <c r="E59" s="84"/>
      <c r="F59" s="81"/>
      <c r="G59" s="81"/>
    </row>
    <row r="60" spans="1:7" ht="45">
      <c r="A60" s="1053"/>
      <c r="B60" s="1053"/>
      <c r="C60" s="1053"/>
      <c r="D60" s="1053"/>
      <c r="E60" s="1053"/>
      <c r="F60" s="1053"/>
      <c r="G60" s="1053"/>
    </row>
    <row r="61" spans="1:7" ht="21">
      <c r="A61" s="81"/>
      <c r="B61" s="81"/>
      <c r="C61" s="81"/>
      <c r="D61" s="83"/>
      <c r="E61" s="83"/>
      <c r="F61" s="81"/>
      <c r="G61" s="83"/>
    </row>
    <row r="62" spans="1:7" ht="65.400000000000006">
      <c r="A62" s="1056"/>
      <c r="B62" s="1056"/>
      <c r="C62" s="1056"/>
      <c r="D62" s="1056"/>
      <c r="E62" s="1056"/>
      <c r="F62" s="1056"/>
      <c r="G62" s="1056"/>
    </row>
    <row r="63" spans="1:7" ht="21">
      <c r="A63" s="83"/>
      <c r="B63" s="81"/>
      <c r="C63" s="81"/>
      <c r="D63" s="83"/>
      <c r="E63" s="83"/>
      <c r="F63" s="81"/>
      <c r="G63" s="83"/>
    </row>
    <row r="64" spans="1:7" ht="21">
      <c r="A64" s="81"/>
      <c r="B64" s="81"/>
      <c r="C64" s="82"/>
      <c r="D64" s="81"/>
      <c r="E64" s="86"/>
      <c r="F64" s="81"/>
      <c r="G64" s="81"/>
    </row>
    <row r="65" spans="1:7" ht="21">
      <c r="A65" s="81"/>
      <c r="B65" s="81"/>
      <c r="C65" s="82"/>
      <c r="D65" s="81"/>
      <c r="E65" s="86"/>
      <c r="F65" s="81"/>
      <c r="G65" s="81"/>
    </row>
    <row r="66" spans="1:7" ht="21">
      <c r="A66" s="82"/>
      <c r="B66" s="85"/>
      <c r="C66" s="82"/>
      <c r="D66" s="88"/>
      <c r="E66" s="86"/>
      <c r="F66" s="81"/>
      <c r="G66" s="81"/>
    </row>
    <row r="67" spans="1:7" ht="43.8">
      <c r="A67" s="1054"/>
      <c r="B67" s="1054"/>
      <c r="C67" s="1054"/>
      <c r="D67" s="1054"/>
      <c r="E67" s="1054"/>
      <c r="F67" s="1054"/>
      <c r="G67" s="1054"/>
    </row>
    <row r="68" spans="1:7" ht="24.6">
      <c r="A68" s="1055"/>
      <c r="B68" s="1055"/>
      <c r="C68" s="1055"/>
      <c r="D68" s="1055"/>
      <c r="E68" s="1055"/>
      <c r="F68" s="1055"/>
      <c r="G68" s="1055"/>
    </row>
    <row r="69" spans="1:7" ht="24.6">
      <c r="A69" s="1055"/>
      <c r="B69" s="1055"/>
      <c r="C69" s="1055"/>
      <c r="D69" s="1055"/>
      <c r="E69" s="1055"/>
      <c r="F69" s="1055"/>
      <c r="G69" s="1055"/>
    </row>
    <row r="70" spans="1:7" ht="24.6">
      <c r="A70" s="1055"/>
      <c r="B70" s="1055"/>
      <c r="C70" s="1055"/>
      <c r="D70" s="1055"/>
      <c r="E70" s="1055"/>
      <c r="F70" s="1055"/>
      <c r="G70" s="1055"/>
    </row>
    <row r="71" spans="1:7" ht="24.6">
      <c r="A71" s="1055"/>
      <c r="B71" s="1055"/>
      <c r="C71" s="1055"/>
      <c r="D71" s="1055"/>
      <c r="E71" s="1055"/>
      <c r="F71" s="1055"/>
      <c r="G71" s="1055"/>
    </row>
    <row r="72" spans="1:7" ht="21">
      <c r="A72" s="82"/>
      <c r="B72" s="89"/>
      <c r="C72" s="89"/>
      <c r="D72" s="81"/>
      <c r="E72" s="88"/>
      <c r="F72" s="81"/>
      <c r="G72" s="81"/>
    </row>
    <row r="73" spans="1:7" ht="21">
      <c r="A73" s="82"/>
      <c r="B73" s="82"/>
      <c r="C73" s="89"/>
      <c r="D73" s="81"/>
      <c r="E73" s="88"/>
      <c r="F73" s="81"/>
      <c r="G73" s="81"/>
    </row>
    <row r="74" spans="1:7" ht="21">
      <c r="A74" s="82"/>
      <c r="B74" s="82"/>
      <c r="C74" s="89"/>
      <c r="D74" s="81"/>
      <c r="E74" s="88"/>
      <c r="F74" s="81"/>
      <c r="G74" s="81"/>
    </row>
    <row r="75" spans="1:7" ht="19.8">
      <c r="A75" s="87"/>
      <c r="B75" s="87"/>
      <c r="C75" s="87"/>
      <c r="D75" s="87"/>
      <c r="E75" s="87"/>
      <c r="F75" s="87"/>
      <c r="G75" s="87"/>
    </row>
    <row r="76" spans="1:7" ht="21">
      <c r="A76" s="82"/>
      <c r="B76" s="89"/>
      <c r="C76" s="89"/>
      <c r="D76" s="81"/>
      <c r="E76" s="88"/>
      <c r="F76" s="81"/>
      <c r="G76" s="81"/>
    </row>
    <row r="77" spans="1:7" ht="21">
      <c r="A77" s="82"/>
      <c r="B77" s="89"/>
      <c r="C77" s="89"/>
      <c r="D77" s="81"/>
      <c r="E77" s="88"/>
      <c r="F77" s="81"/>
      <c r="G77" s="81"/>
    </row>
    <row r="78" spans="1:7" ht="21">
      <c r="A78" s="82"/>
      <c r="B78" s="89"/>
      <c r="C78" s="89"/>
      <c r="D78" s="81"/>
      <c r="E78" s="88"/>
      <c r="F78" s="81"/>
      <c r="G78" s="81"/>
    </row>
    <row r="79" spans="1:7" ht="21">
      <c r="A79" s="82"/>
      <c r="B79" s="89"/>
      <c r="C79" s="89"/>
      <c r="D79" s="81"/>
      <c r="E79" s="88"/>
      <c r="F79" s="81"/>
      <c r="G79" s="81"/>
    </row>
    <row r="80" spans="1:7" ht="21">
      <c r="A80" s="81"/>
      <c r="B80" s="81"/>
      <c r="C80" s="81"/>
      <c r="D80" s="83"/>
      <c r="E80" s="83"/>
      <c r="F80" s="83"/>
      <c r="G80" s="83"/>
    </row>
    <row r="82" spans="3:3" ht="19.8">
      <c r="C82" s="90"/>
    </row>
  </sheetData>
  <mergeCells count="38">
    <mergeCell ref="A67:G67"/>
    <mergeCell ref="A68:G68"/>
    <mergeCell ref="A69:G69"/>
    <mergeCell ref="A70:G70"/>
    <mergeCell ref="A71:G71"/>
    <mergeCell ref="A1:G1"/>
    <mergeCell ref="A2:G2"/>
    <mergeCell ref="A3:G3"/>
    <mergeCell ref="A19:G19"/>
    <mergeCell ref="A21:G21"/>
    <mergeCell ref="A4:G4"/>
    <mergeCell ref="A6:G6"/>
    <mergeCell ref="A8:G8"/>
    <mergeCell ref="A11:G11"/>
    <mergeCell ref="A13:G13"/>
    <mergeCell ref="A14:G14"/>
    <mergeCell ref="A5:G5"/>
    <mergeCell ref="A15:G15"/>
    <mergeCell ref="A18:G18"/>
    <mergeCell ref="A16:G16"/>
    <mergeCell ref="A17:G17"/>
    <mergeCell ref="A29:G29"/>
    <mergeCell ref="A30:G30"/>
    <mergeCell ref="A31:G31"/>
    <mergeCell ref="A32:G32"/>
    <mergeCell ref="A55:G55"/>
    <mergeCell ref="A43:G43"/>
    <mergeCell ref="A44:G44"/>
    <mergeCell ref="A45:G45"/>
    <mergeCell ref="A34:G34"/>
    <mergeCell ref="A41:G41"/>
    <mergeCell ref="A42:G42"/>
    <mergeCell ref="A62:G62"/>
    <mergeCell ref="A36:G36"/>
    <mergeCell ref="A56:G56"/>
    <mergeCell ref="A57:G57"/>
    <mergeCell ref="A58:G58"/>
    <mergeCell ref="A60:G60"/>
  </mergeCells>
  <pageMargins left="0.7" right="0.7" top="0.75" bottom="0.75" header="0.3" footer="0.3"/>
  <pageSetup paperSize="9" scale="9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6761-D6B6-4B7A-BFFE-CD60112654FD}">
  <dimension ref="A1:I21"/>
  <sheetViews>
    <sheetView workbookViewId="0">
      <selection activeCell="C1" sqref="C1:E1"/>
    </sheetView>
  </sheetViews>
  <sheetFormatPr defaultRowHeight="13.2"/>
  <cols>
    <col min="2" max="2" width="11.44140625" customWidth="1"/>
    <col min="3" max="3" width="21.88671875" customWidth="1"/>
    <col min="6" max="6" width="10.44140625" customWidth="1"/>
    <col min="7" max="8" width="10.109375" customWidth="1"/>
  </cols>
  <sheetData>
    <row r="1" spans="1:9">
      <c r="A1" s="17">
        <v>15.03</v>
      </c>
      <c r="B1" s="18" t="s">
        <v>584</v>
      </c>
      <c r="C1" s="1018" t="s">
        <v>702</v>
      </c>
      <c r="D1" s="1019"/>
      <c r="E1" s="1019"/>
      <c r="F1" s="36" t="s">
        <v>50</v>
      </c>
      <c r="G1" s="34">
        <f>TRUNC(G5,2)</f>
        <v>2474</v>
      </c>
      <c r="H1" s="34">
        <f>TRUNC(G7,2)</f>
        <v>2845.1</v>
      </c>
    </row>
    <row r="2" spans="1:9">
      <c r="A2" s="1"/>
      <c r="B2" s="48" t="s">
        <v>80</v>
      </c>
      <c r="C2" s="46" t="s">
        <v>81</v>
      </c>
      <c r="D2" s="46" t="s">
        <v>44</v>
      </c>
      <c r="E2" s="46" t="s">
        <v>45</v>
      </c>
      <c r="F2" s="29" t="s">
        <v>58</v>
      </c>
      <c r="G2" s="29" t="s">
        <v>59</v>
      </c>
      <c r="H2" s="29" t="s">
        <v>52</v>
      </c>
    </row>
    <row r="3" spans="1:9">
      <c r="A3" s="1"/>
      <c r="B3" s="77" t="s">
        <v>77</v>
      </c>
      <c r="C3" s="4" t="s">
        <v>43</v>
      </c>
      <c r="D3" s="22">
        <v>1.2</v>
      </c>
      <c r="E3" s="46" t="s">
        <v>46</v>
      </c>
      <c r="F3" s="28">
        <f>LOOKUP(C3,'Basic Rate'!$B$8:$B$328,'Basic Rate'!$F$8:$F$328)</f>
        <v>870</v>
      </c>
      <c r="G3" s="28">
        <f>INT(D3*F3*100)/100</f>
        <v>1044</v>
      </c>
      <c r="H3" s="78"/>
    </row>
    <row r="4" spans="1:9">
      <c r="A4" s="1"/>
      <c r="B4" s="79" t="s">
        <v>126</v>
      </c>
      <c r="C4" s="4" t="s">
        <v>580</v>
      </c>
      <c r="D4" s="22">
        <v>1</v>
      </c>
      <c r="E4" s="46" t="s">
        <v>68</v>
      </c>
      <c r="F4" s="28">
        <f>LOOKUP(C4,'Basic Rate'!$B$8:$B$328,'Basic Rate'!$F$8:$F$328)</f>
        <v>1430</v>
      </c>
      <c r="G4" s="28">
        <f>INT(D4*F4*100)/100</f>
        <v>1430</v>
      </c>
      <c r="H4" s="78"/>
    </row>
    <row r="5" spans="1:9">
      <c r="A5" s="1"/>
      <c r="B5" s="1013" t="s">
        <v>703</v>
      </c>
      <c r="C5" s="1013"/>
      <c r="D5" s="1045" t="s">
        <v>61</v>
      </c>
      <c r="E5" s="1045"/>
      <c r="F5" s="1045"/>
      <c r="G5" s="208">
        <f>SUM(G3:G4)</f>
        <v>2474</v>
      </c>
      <c r="H5" s="28"/>
    </row>
    <row r="6" spans="1:9">
      <c r="A6" s="1"/>
      <c r="B6" s="1013"/>
      <c r="C6" s="1013"/>
      <c r="D6" s="1046" t="s">
        <v>573</v>
      </c>
      <c r="E6" s="1046"/>
      <c r="F6" s="1046"/>
      <c r="G6" s="28">
        <f>INT(15%*G5*100)/100</f>
        <v>371.1</v>
      </c>
      <c r="H6" s="28"/>
    </row>
    <row r="7" spans="1:9">
      <c r="A7" s="12"/>
      <c r="B7" s="1013"/>
      <c r="C7" s="1013"/>
      <c r="D7" s="1045" t="s">
        <v>47</v>
      </c>
      <c r="E7" s="1045"/>
      <c r="F7" s="1045"/>
      <c r="G7" s="208">
        <f>SUM(G5:G6)</f>
        <v>2845.1</v>
      </c>
      <c r="H7" s="28"/>
    </row>
    <row r="11" spans="1:9" s="3" customFormat="1" ht="42" customHeight="1">
      <c r="A11" s="20">
        <v>4.03</v>
      </c>
      <c r="B11" s="21" t="s">
        <v>306</v>
      </c>
      <c r="C11" s="1070" t="s">
        <v>750</v>
      </c>
      <c r="D11" s="1071"/>
      <c r="E11" s="1071"/>
      <c r="F11" s="31" t="s">
        <v>68</v>
      </c>
      <c r="G11" s="211">
        <f>G19</f>
        <v>11167.7</v>
      </c>
      <c r="H11" s="209">
        <f>G21</f>
        <v>12842.85</v>
      </c>
    </row>
    <row r="12" spans="1:9" s="3" customFormat="1" ht="11.4">
      <c r="B12" s="41" t="s">
        <v>80</v>
      </c>
      <c r="C12" s="40" t="s">
        <v>81</v>
      </c>
      <c r="D12" s="40" t="s">
        <v>44</v>
      </c>
      <c r="E12" s="40" t="s">
        <v>45</v>
      </c>
      <c r="F12" s="23" t="s">
        <v>58</v>
      </c>
      <c r="G12" s="23" t="s">
        <v>59</v>
      </c>
      <c r="H12" s="23" t="s">
        <v>52</v>
      </c>
    </row>
    <row r="13" spans="1:9" s="3" customFormat="1" ht="11.4">
      <c r="B13" s="1016" t="s">
        <v>60</v>
      </c>
      <c r="C13" s="9" t="s">
        <v>69</v>
      </c>
      <c r="D13" s="19">
        <v>0.5</v>
      </c>
      <c r="E13" s="40" t="s">
        <v>46</v>
      </c>
      <c r="F13" s="28">
        <f>LOOKUP(C13,'Basic Rate'!$B$8:$B$328,'Basic Rate'!$F$8:$F$328)</f>
        <v>1200</v>
      </c>
      <c r="G13" s="28">
        <f t="shared" ref="G13:G18" si="0">TRUNC(D13*F13,2)</f>
        <v>600</v>
      </c>
      <c r="H13" s="24"/>
    </row>
    <row r="14" spans="1:9" s="3" customFormat="1" ht="11.4">
      <c r="B14" s="1012"/>
      <c r="C14" s="9" t="s">
        <v>43</v>
      </c>
      <c r="D14" s="19">
        <v>4</v>
      </c>
      <c r="E14" s="40" t="s">
        <v>46</v>
      </c>
      <c r="F14" s="28">
        <f>LOOKUP(C14,'Basic Rate'!$B$8:$B$328,'Basic Rate'!$F$8:$F$328)</f>
        <v>870</v>
      </c>
      <c r="G14" s="28">
        <f t="shared" si="0"/>
        <v>3480</v>
      </c>
      <c r="H14" s="24"/>
    </row>
    <row r="15" spans="1:9" s="3" customFormat="1" ht="11.4">
      <c r="B15" s="1016" t="s">
        <v>63</v>
      </c>
      <c r="C15" s="9" t="s">
        <v>70</v>
      </c>
      <c r="D15" s="19">
        <v>0.32</v>
      </c>
      <c r="E15" s="40" t="s">
        <v>71</v>
      </c>
      <c r="F15" s="28">
        <f>LOOKUP(C15,'Basic Rate'!$B$8:$B$328,'Basic Rate'!$F$8:$F$328)</f>
        <v>14000</v>
      </c>
      <c r="G15" s="28">
        <f t="shared" si="0"/>
        <v>4480</v>
      </c>
      <c r="H15" s="24"/>
      <c r="I15" s="3">
        <f>320/50</f>
        <v>6.4</v>
      </c>
    </row>
    <row r="16" spans="1:9" s="3" customFormat="1" ht="22.8">
      <c r="B16" s="1017"/>
      <c r="C16" s="39" t="s">
        <v>751</v>
      </c>
      <c r="D16" s="19">
        <v>0.89</v>
      </c>
      <c r="E16" s="40" t="s">
        <v>68</v>
      </c>
      <c r="F16" s="28">
        <f>LOOKUP(C16,'Basic Rate'!$B$8:$B$328,'Basic Rate'!$F$8:$F$328)</f>
        <v>1830</v>
      </c>
      <c r="G16" s="28">
        <f t="shared" si="0"/>
        <v>1628.7</v>
      </c>
      <c r="H16" s="24"/>
    </row>
    <row r="17" spans="2:8" s="3" customFormat="1" ht="11.4">
      <c r="B17" s="1017"/>
      <c r="C17" s="9" t="s">
        <v>72</v>
      </c>
      <c r="D17" s="19">
        <v>0.44500000000000001</v>
      </c>
      <c r="E17" s="10" t="s">
        <v>68</v>
      </c>
      <c r="F17" s="28">
        <f>'Basic Rate'!F173</f>
        <v>2200</v>
      </c>
      <c r="G17" s="28">
        <f t="shared" si="0"/>
        <v>979</v>
      </c>
      <c r="H17" s="24"/>
    </row>
    <row r="18" spans="2:8" s="3" customFormat="1" ht="11.4">
      <c r="B18" s="1012"/>
      <c r="C18" s="2" t="s">
        <v>267</v>
      </c>
      <c r="D18" s="27">
        <v>150</v>
      </c>
      <c r="E18" s="5" t="s">
        <v>107</v>
      </c>
      <c r="F18" s="28">
        <f>LOOKUP(C18,'Basic Rate'!$B$8:$B$328,'Basic Rate'!$F$8:$F$328)</f>
        <v>0</v>
      </c>
      <c r="G18" s="28">
        <f t="shared" si="0"/>
        <v>0</v>
      </c>
      <c r="H18" s="24"/>
    </row>
    <row r="19" spans="2:8" s="3" customFormat="1" ht="11.4">
      <c r="B19" s="1013" t="s">
        <v>62</v>
      </c>
      <c r="C19" s="1013"/>
      <c r="D19" s="1014" t="s">
        <v>61</v>
      </c>
      <c r="E19" s="1014"/>
      <c r="F19" s="1014"/>
      <c r="G19" s="210">
        <f>SUM(G13:G18)</f>
        <v>11167.7</v>
      </c>
      <c r="H19" s="24"/>
    </row>
    <row r="20" spans="2:8" s="3" customFormat="1" ht="11.4">
      <c r="B20" s="1013"/>
      <c r="C20" s="1013"/>
      <c r="D20" s="1015" t="s">
        <v>573</v>
      </c>
      <c r="E20" s="1015"/>
      <c r="F20" s="1015"/>
      <c r="G20" s="24">
        <f>INT(15%*G19*100)/100</f>
        <v>1675.15</v>
      </c>
      <c r="H20" s="24"/>
    </row>
    <row r="21" spans="2:8" s="3" customFormat="1" ht="11.4">
      <c r="B21" s="1013"/>
      <c r="C21" s="1013"/>
      <c r="D21" s="1014" t="s">
        <v>47</v>
      </c>
      <c r="E21" s="1014"/>
      <c r="F21" s="1014"/>
      <c r="G21" s="210">
        <f>SUM(G19:G20)</f>
        <v>12842.85</v>
      </c>
      <c r="H21" s="24"/>
    </row>
  </sheetData>
  <mergeCells count="12">
    <mergeCell ref="B13:B14"/>
    <mergeCell ref="B15:B18"/>
    <mergeCell ref="B19:C21"/>
    <mergeCell ref="D19:F19"/>
    <mergeCell ref="D20:F20"/>
    <mergeCell ref="D21:F21"/>
    <mergeCell ref="C11:E11"/>
    <mergeCell ref="C1:E1"/>
    <mergeCell ref="B5:C7"/>
    <mergeCell ref="D5:F5"/>
    <mergeCell ref="D6:F6"/>
    <mergeCell ref="D7:F7"/>
  </mergeCells>
  <printOptions horizontalCentered="1"/>
  <pageMargins left="0.7" right="0.7" top="1.26" bottom="0.75" header="0.74"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68CEA-4199-4E20-B8EC-4DA94A04924F}">
  <dimension ref="A2:L40"/>
  <sheetViews>
    <sheetView view="pageBreakPreview" zoomScaleNormal="100" zoomScaleSheetLayoutView="100" workbookViewId="0">
      <selection activeCell="P29" sqref="P29"/>
    </sheetView>
  </sheetViews>
  <sheetFormatPr defaultRowHeight="13.2"/>
  <cols>
    <col min="1" max="1" width="7.44140625" customWidth="1"/>
    <col min="3" max="3" width="7.88671875" customWidth="1"/>
    <col min="4" max="4" width="12.109375" customWidth="1"/>
  </cols>
  <sheetData>
    <row r="2" spans="1:12" ht="18">
      <c r="A2" s="1074"/>
      <c r="B2" s="1074"/>
      <c r="C2" s="1074"/>
      <c r="D2" s="1074"/>
      <c r="E2" s="1074"/>
      <c r="F2" s="1074"/>
      <c r="G2" s="1074"/>
      <c r="H2" s="1074"/>
      <c r="I2" s="1074"/>
      <c r="J2" s="1074"/>
    </row>
    <row r="3" spans="1:12" ht="15.6">
      <c r="A3" s="1075"/>
      <c r="B3" s="1075"/>
      <c r="C3" s="1075"/>
      <c r="D3" s="1075"/>
      <c r="E3" s="1075"/>
      <c r="F3" s="1075"/>
      <c r="G3" s="1075"/>
      <c r="H3" s="1075"/>
      <c r="I3" s="1075"/>
      <c r="J3" s="1075"/>
    </row>
    <row r="4" spans="1:12" ht="20.399999999999999">
      <c r="A4" s="1076" t="s">
        <v>878</v>
      </c>
      <c r="B4" s="1076"/>
      <c r="C4" s="1076"/>
      <c r="D4" s="1076"/>
      <c r="E4" s="1076"/>
      <c r="F4" s="1076"/>
      <c r="G4" s="1076"/>
      <c r="H4" s="1076"/>
      <c r="I4" s="1076"/>
      <c r="J4" s="1076"/>
    </row>
    <row r="5" spans="1:12" ht="18">
      <c r="A5" s="238"/>
      <c r="B5" s="238"/>
      <c r="C5" s="238"/>
      <c r="D5" s="238"/>
      <c r="E5" s="238"/>
      <c r="F5" s="238"/>
      <c r="G5" s="238"/>
      <c r="H5" s="238"/>
      <c r="I5" s="238"/>
      <c r="J5" s="238"/>
    </row>
    <row r="6" spans="1:12" ht="15.6">
      <c r="A6" s="1075" t="s">
        <v>1043</v>
      </c>
      <c r="B6" s="1075"/>
      <c r="C6" s="1075"/>
      <c r="D6" s="1075"/>
      <c r="E6" s="1075"/>
      <c r="F6" s="1075"/>
      <c r="G6" s="1075"/>
      <c r="H6" s="1075"/>
      <c r="I6" s="1075"/>
      <c r="J6" s="1075"/>
    </row>
    <row r="7" spans="1:12">
      <c r="A7" s="158"/>
      <c r="B7" s="158"/>
      <c r="C7" s="158"/>
      <c r="D7" s="158"/>
      <c r="E7" s="158"/>
      <c r="F7" s="158"/>
      <c r="G7" s="158"/>
      <c r="H7" s="158"/>
      <c r="I7" s="158"/>
      <c r="J7" s="158"/>
    </row>
    <row r="8" spans="1:12" ht="60" customHeight="1">
      <c r="A8" s="1073" t="s">
        <v>51</v>
      </c>
      <c r="B8" s="1073" t="s">
        <v>879</v>
      </c>
      <c r="C8" s="1077" t="s">
        <v>880</v>
      </c>
      <c r="D8" s="1078"/>
      <c r="E8" s="1077" t="s">
        <v>881</v>
      </c>
      <c r="F8" s="1079"/>
      <c r="G8" s="1073" t="s">
        <v>882</v>
      </c>
      <c r="H8" s="1073"/>
      <c r="I8" s="1073" t="s">
        <v>883</v>
      </c>
      <c r="J8" s="1073"/>
      <c r="K8" s="1072" t="s">
        <v>886</v>
      </c>
      <c r="L8" s="1073" t="s">
        <v>879</v>
      </c>
    </row>
    <row r="9" spans="1:12" ht="43.5" customHeight="1">
      <c r="A9" s="1073"/>
      <c r="B9" s="1073"/>
      <c r="C9" s="239" t="s">
        <v>884</v>
      </c>
      <c r="D9" s="239" t="s">
        <v>885</v>
      </c>
      <c r="E9" s="239" t="s">
        <v>884</v>
      </c>
      <c r="F9" s="239" t="s">
        <v>885</v>
      </c>
      <c r="G9" s="239" t="s">
        <v>884</v>
      </c>
      <c r="H9" s="239" t="s">
        <v>885</v>
      </c>
      <c r="I9" s="239" t="s">
        <v>884</v>
      </c>
      <c r="J9" s="239" t="s">
        <v>885</v>
      </c>
      <c r="K9" s="1072"/>
      <c r="L9" s="1073"/>
    </row>
    <row r="10" spans="1:12">
      <c r="A10" s="240">
        <v>1</v>
      </c>
      <c r="B10" s="240" t="s">
        <v>887</v>
      </c>
      <c r="C10" s="240" t="s">
        <v>888</v>
      </c>
      <c r="D10" s="240" t="s">
        <v>888</v>
      </c>
      <c r="E10" s="240" t="s">
        <v>888</v>
      </c>
      <c r="F10" s="240" t="s">
        <v>888</v>
      </c>
      <c r="G10" s="240" t="s">
        <v>888</v>
      </c>
      <c r="H10" s="240" t="s">
        <v>888</v>
      </c>
      <c r="I10" s="240">
        <v>9.1999999999999998E-2</v>
      </c>
      <c r="J10" s="241">
        <f>I10*$D$40*1.04</f>
        <v>28.89536</v>
      </c>
      <c r="K10" s="242">
        <f>J10*0.15+J10</f>
        <v>33.229664</v>
      </c>
      <c r="L10" s="240" t="s">
        <v>890</v>
      </c>
    </row>
    <row r="11" spans="1:12">
      <c r="A11" s="240">
        <v>2</v>
      </c>
      <c r="B11" s="240" t="s">
        <v>889</v>
      </c>
      <c r="C11" s="240" t="s">
        <v>888</v>
      </c>
      <c r="D11" s="240" t="s">
        <v>888</v>
      </c>
      <c r="E11" s="240" t="s">
        <v>888</v>
      </c>
      <c r="F11" s="240" t="s">
        <v>888</v>
      </c>
      <c r="G11" s="240" t="s">
        <v>888</v>
      </c>
      <c r="H11" s="240" t="s">
        <v>888</v>
      </c>
      <c r="I11" s="240">
        <v>0.13400000000000001</v>
      </c>
      <c r="J11" s="241">
        <f t="shared" ref="J11:J30" si="0">I11*$D$40*1.04</f>
        <v>42.086720000000007</v>
      </c>
      <c r="K11" s="242">
        <f t="shared" ref="K11:K30" si="1">J11*0.15+J11</f>
        <v>48.39972800000001</v>
      </c>
      <c r="L11" s="240" t="s">
        <v>892</v>
      </c>
    </row>
    <row r="12" spans="1:12">
      <c r="A12" s="240">
        <v>3</v>
      </c>
      <c r="B12" s="240" t="s">
        <v>891</v>
      </c>
      <c r="C12" s="240" t="s">
        <v>888</v>
      </c>
      <c r="D12" s="240" t="s">
        <v>888</v>
      </c>
      <c r="E12" s="240" t="s">
        <v>888</v>
      </c>
      <c r="F12" s="240" t="s">
        <v>888</v>
      </c>
      <c r="G12" s="240" t="s">
        <v>888</v>
      </c>
      <c r="H12" s="240" t="s">
        <v>888</v>
      </c>
      <c r="I12" s="240">
        <v>0.20200000000000001</v>
      </c>
      <c r="J12" s="241">
        <f t="shared" si="0"/>
        <v>63.444160000000011</v>
      </c>
      <c r="K12" s="242">
        <f t="shared" si="1"/>
        <v>72.960784000000018</v>
      </c>
      <c r="L12" s="240" t="s">
        <v>894</v>
      </c>
    </row>
    <row r="13" spans="1:12">
      <c r="A13" s="240">
        <v>4</v>
      </c>
      <c r="B13" s="240" t="s">
        <v>893</v>
      </c>
      <c r="C13" s="240" t="s">
        <v>888</v>
      </c>
      <c r="D13" s="240" t="s">
        <v>888</v>
      </c>
      <c r="E13" s="240" t="s">
        <v>888</v>
      </c>
      <c r="F13" s="240" t="s">
        <v>888</v>
      </c>
      <c r="G13" s="240">
        <v>0.22600000000000001</v>
      </c>
      <c r="H13" s="241">
        <f>G13*260*1.04</f>
        <v>61.110400000000006</v>
      </c>
      <c r="I13" s="240">
        <v>0.33400000000000002</v>
      </c>
      <c r="J13" s="241">
        <f t="shared" si="0"/>
        <v>104.90272000000002</v>
      </c>
      <c r="K13" s="242">
        <f t="shared" si="1"/>
        <v>120.63812800000002</v>
      </c>
      <c r="L13" s="240" t="s">
        <v>896</v>
      </c>
    </row>
    <row r="14" spans="1:12">
      <c r="A14" s="240">
        <v>5</v>
      </c>
      <c r="B14" s="240" t="s">
        <v>895</v>
      </c>
      <c r="C14" s="240" t="s">
        <v>888</v>
      </c>
      <c r="D14" s="240" t="s">
        <v>888</v>
      </c>
      <c r="E14" s="240">
        <v>0.251</v>
      </c>
      <c r="F14" s="241">
        <f>E14*260*1.04</f>
        <v>67.870400000000004</v>
      </c>
      <c r="G14" s="243">
        <v>0.35</v>
      </c>
      <c r="H14" s="241">
        <f t="shared" ref="H14:H30" si="2">G14*260</f>
        <v>91</v>
      </c>
      <c r="I14" s="240">
        <v>0.51400000000000001</v>
      </c>
      <c r="J14" s="241">
        <f t="shared" si="0"/>
        <v>161.43712000000002</v>
      </c>
      <c r="K14" s="242">
        <f t="shared" si="1"/>
        <v>185.65268800000001</v>
      </c>
      <c r="L14" s="240" t="s">
        <v>898</v>
      </c>
    </row>
    <row r="15" spans="1:12">
      <c r="A15" s="240">
        <v>6</v>
      </c>
      <c r="B15" s="240" t="s">
        <v>897</v>
      </c>
      <c r="C15" s="240" t="s">
        <v>888</v>
      </c>
      <c r="D15" s="240" t="s">
        <v>888</v>
      </c>
      <c r="E15" s="240">
        <v>0.378</v>
      </c>
      <c r="F15" s="241">
        <f t="shared" ref="F15:F30" si="3">E15*260*1.04</f>
        <v>102.21120000000001</v>
      </c>
      <c r="G15" s="240">
        <v>0.54200000000000004</v>
      </c>
      <c r="H15" s="241">
        <f t="shared" si="2"/>
        <v>140.92000000000002</v>
      </c>
      <c r="I15" s="240">
        <v>0.79600000000000004</v>
      </c>
      <c r="J15" s="241">
        <f t="shared" si="0"/>
        <v>250.00768000000002</v>
      </c>
      <c r="K15" s="242">
        <f t="shared" si="1"/>
        <v>287.50883200000004</v>
      </c>
      <c r="L15" s="240" t="s">
        <v>900</v>
      </c>
    </row>
    <row r="16" spans="1:12">
      <c r="A16" s="240">
        <v>7</v>
      </c>
      <c r="B16" s="240" t="s">
        <v>899</v>
      </c>
      <c r="C16" s="240">
        <v>0.40300000000000002</v>
      </c>
      <c r="D16" s="241">
        <f>C16*260*1.04</f>
        <v>108.97120000000001</v>
      </c>
      <c r="E16" s="240">
        <v>0.58499999999999996</v>
      </c>
      <c r="F16" s="241">
        <f t="shared" si="3"/>
        <v>158.184</v>
      </c>
      <c r="G16" s="243">
        <v>0.85</v>
      </c>
      <c r="H16" s="241">
        <f t="shared" si="2"/>
        <v>221</v>
      </c>
      <c r="I16" s="240">
        <v>1.2689999999999999</v>
      </c>
      <c r="J16" s="241">
        <f t="shared" si="0"/>
        <v>398.56752</v>
      </c>
      <c r="K16" s="242">
        <f t="shared" si="1"/>
        <v>458.35264799999999</v>
      </c>
      <c r="L16" s="240" t="s">
        <v>902</v>
      </c>
    </row>
    <row r="17" spans="1:12">
      <c r="A17" s="240">
        <v>8</v>
      </c>
      <c r="B17" s="240" t="s">
        <v>901</v>
      </c>
      <c r="C17" s="240">
        <v>0.55700000000000005</v>
      </c>
      <c r="D17" s="241">
        <f t="shared" ref="D17:D30" si="4">C17*260*1.04</f>
        <v>150.61280000000002</v>
      </c>
      <c r="E17" s="240">
        <v>0.84599999999999997</v>
      </c>
      <c r="F17" s="241">
        <f t="shared" si="3"/>
        <v>228.75839999999999</v>
      </c>
      <c r="G17" s="240">
        <v>1.1910000000000001</v>
      </c>
      <c r="H17" s="241">
        <f t="shared" si="2"/>
        <v>309.66000000000003</v>
      </c>
      <c r="I17" s="240">
        <v>1.782</v>
      </c>
      <c r="J17" s="241">
        <f t="shared" si="0"/>
        <v>559.69056</v>
      </c>
      <c r="K17" s="242">
        <f t="shared" si="1"/>
        <v>643.64414399999998</v>
      </c>
      <c r="L17" s="240" t="s">
        <v>904</v>
      </c>
    </row>
    <row r="18" spans="1:12">
      <c r="A18" s="240">
        <v>9</v>
      </c>
      <c r="B18" s="240" t="s">
        <v>903</v>
      </c>
      <c r="C18" s="240">
        <v>0.79900000000000004</v>
      </c>
      <c r="D18" s="241">
        <f t="shared" si="4"/>
        <v>216.04960000000003</v>
      </c>
      <c r="E18" s="243">
        <v>1.22</v>
      </c>
      <c r="F18" s="241">
        <f t="shared" si="3"/>
        <v>329.88799999999998</v>
      </c>
      <c r="G18" s="240">
        <v>1.7150000000000001</v>
      </c>
      <c r="H18" s="241">
        <f t="shared" si="2"/>
        <v>445.90000000000003</v>
      </c>
      <c r="I18" s="240">
        <v>2.5680000000000001</v>
      </c>
      <c r="J18" s="241">
        <f t="shared" si="0"/>
        <v>806.55744000000004</v>
      </c>
      <c r="K18" s="242">
        <f t="shared" si="1"/>
        <v>927.54105600000003</v>
      </c>
      <c r="L18" s="240" t="s">
        <v>1050</v>
      </c>
    </row>
    <row r="19" spans="1:12">
      <c r="A19" s="240">
        <v>10</v>
      </c>
      <c r="B19" s="240" t="s">
        <v>905</v>
      </c>
      <c r="C19" s="240">
        <v>1.1850000000000001</v>
      </c>
      <c r="D19" s="241">
        <f t="shared" si="4"/>
        <v>320.42400000000004</v>
      </c>
      <c r="E19" s="240">
        <v>1.7030000000000001</v>
      </c>
      <c r="F19" s="241">
        <f t="shared" si="3"/>
        <v>460.49120000000005</v>
      </c>
      <c r="G19" s="240">
        <v>2.5449999999999999</v>
      </c>
      <c r="H19" s="241">
        <f t="shared" si="2"/>
        <v>661.69999999999993</v>
      </c>
      <c r="I19" s="240">
        <v>3.8010000000000002</v>
      </c>
      <c r="J19" s="241">
        <f t="shared" si="0"/>
        <v>1193.81808</v>
      </c>
      <c r="K19" s="242">
        <f t="shared" si="1"/>
        <v>1372.8907919999999</v>
      </c>
      <c r="L19" s="240" t="s">
        <v>906</v>
      </c>
    </row>
    <row r="20" spans="1:12">
      <c r="A20" s="240">
        <v>11</v>
      </c>
      <c r="B20" s="240" t="s">
        <v>907</v>
      </c>
      <c r="C20" s="243">
        <v>1.53</v>
      </c>
      <c r="D20" s="241">
        <f t="shared" si="4"/>
        <v>413.71200000000005</v>
      </c>
      <c r="E20" s="240">
        <v>2.2890000000000001</v>
      </c>
      <c r="F20" s="241">
        <f t="shared" si="3"/>
        <v>618.94560000000001</v>
      </c>
      <c r="G20" s="240">
        <v>3.2930000000000001</v>
      </c>
      <c r="H20" s="241">
        <f t="shared" si="2"/>
        <v>856.18000000000006</v>
      </c>
      <c r="I20" s="240">
        <v>4.9619999999999997</v>
      </c>
      <c r="J20" s="241">
        <f t="shared" si="0"/>
        <v>1558.46496</v>
      </c>
      <c r="K20" s="242">
        <f t="shared" si="1"/>
        <v>1792.234704</v>
      </c>
      <c r="L20" s="240" t="s">
        <v>908</v>
      </c>
    </row>
    <row r="21" spans="1:12">
      <c r="A21" s="240">
        <v>12</v>
      </c>
      <c r="B21" s="240" t="s">
        <v>909</v>
      </c>
      <c r="C21" s="240">
        <v>1.897</v>
      </c>
      <c r="D21" s="241">
        <f t="shared" si="4"/>
        <v>512.94880000000001</v>
      </c>
      <c r="E21" s="240">
        <v>2.9009999999999998</v>
      </c>
      <c r="F21" s="241">
        <f t="shared" si="3"/>
        <v>784.43039999999996</v>
      </c>
      <c r="G21" s="243">
        <v>4.1500000000000004</v>
      </c>
      <c r="H21" s="241">
        <f t="shared" si="2"/>
        <v>1079</v>
      </c>
      <c r="I21" s="240">
        <v>6.2089999999999996</v>
      </c>
      <c r="J21" s="241">
        <f t="shared" si="0"/>
        <v>1950.1227200000001</v>
      </c>
      <c r="K21" s="242">
        <f t="shared" si="1"/>
        <v>2242.6411280000002</v>
      </c>
      <c r="L21" s="240" t="s">
        <v>910</v>
      </c>
    </row>
    <row r="22" spans="1:12">
      <c r="A22" s="240">
        <v>13</v>
      </c>
      <c r="B22" s="240" t="s">
        <v>911</v>
      </c>
      <c r="C22" s="240">
        <v>2.4529999999999998</v>
      </c>
      <c r="D22" s="241">
        <f t="shared" si="4"/>
        <v>663.2912</v>
      </c>
      <c r="E22" s="240">
        <v>3.7730000000000001</v>
      </c>
      <c r="F22" s="241">
        <f t="shared" si="3"/>
        <v>1020.2192</v>
      </c>
      <c r="G22" s="240">
        <v>5.3550000000000004</v>
      </c>
      <c r="H22" s="241">
        <f t="shared" si="2"/>
        <v>1392.3000000000002</v>
      </c>
      <c r="I22" s="240">
        <v>8.0790000000000006</v>
      </c>
      <c r="J22" s="241">
        <f t="shared" si="0"/>
        <v>2537.4523200000003</v>
      </c>
      <c r="K22" s="242">
        <f t="shared" si="1"/>
        <v>2918.0701680000002</v>
      </c>
      <c r="L22" s="240" t="s">
        <v>912</v>
      </c>
    </row>
    <row r="23" spans="1:12">
      <c r="A23" s="240">
        <v>14</v>
      </c>
      <c r="B23" s="240" t="s">
        <v>913</v>
      </c>
      <c r="C23" s="240">
        <v>3.1480000000000001</v>
      </c>
      <c r="D23" s="241">
        <f t="shared" si="4"/>
        <v>851.2192</v>
      </c>
      <c r="E23" s="240">
        <v>4.7619999999999996</v>
      </c>
      <c r="F23" s="241">
        <f t="shared" si="3"/>
        <v>1287.6448</v>
      </c>
      <c r="G23" s="243">
        <v>6.8</v>
      </c>
      <c r="H23" s="241">
        <f t="shared" si="2"/>
        <v>1768</v>
      </c>
      <c r="I23" s="240">
        <v>10.256</v>
      </c>
      <c r="J23" s="241">
        <f t="shared" si="0"/>
        <v>3221.2044799999999</v>
      </c>
      <c r="K23" s="242">
        <f t="shared" si="1"/>
        <v>3704.3851519999998</v>
      </c>
      <c r="L23" s="240" t="s">
        <v>914</v>
      </c>
    </row>
    <row r="24" spans="1:12">
      <c r="A24" s="240">
        <v>15</v>
      </c>
      <c r="B24" s="240" t="s">
        <v>915</v>
      </c>
      <c r="C24" s="240">
        <v>3.8759999999999999</v>
      </c>
      <c r="D24" s="241">
        <f t="shared" si="4"/>
        <v>1048.0704000000001</v>
      </c>
      <c r="E24" s="243">
        <v>5.89</v>
      </c>
      <c r="F24" s="241">
        <f t="shared" si="3"/>
        <v>1592.6559999999999</v>
      </c>
      <c r="G24" s="240">
        <v>8.391</v>
      </c>
      <c r="H24" s="241">
        <f t="shared" si="2"/>
        <v>2181.66</v>
      </c>
      <c r="I24" s="243">
        <v>12.62</v>
      </c>
      <c r="J24" s="241">
        <f t="shared" si="0"/>
        <v>3963.6895999999997</v>
      </c>
      <c r="K24" s="242">
        <f t="shared" si="1"/>
        <v>4558.2430399999994</v>
      </c>
      <c r="L24" s="240" t="s">
        <v>916</v>
      </c>
    </row>
    <row r="25" spans="1:12">
      <c r="A25" s="240">
        <v>16</v>
      </c>
      <c r="B25" s="240" t="s">
        <v>917</v>
      </c>
      <c r="C25" s="240">
        <v>4.8220000000000001</v>
      </c>
      <c r="D25" s="241">
        <f t="shared" si="4"/>
        <v>1303.8688</v>
      </c>
      <c r="E25" s="240">
        <v>7.4450000000000003</v>
      </c>
      <c r="F25" s="241">
        <f t="shared" si="3"/>
        <v>2013.1280000000002</v>
      </c>
      <c r="G25" s="240">
        <v>10.544</v>
      </c>
      <c r="H25" s="241">
        <f t="shared" si="2"/>
        <v>2741.44</v>
      </c>
      <c r="I25" s="240">
        <v>16.013999999999999</v>
      </c>
      <c r="J25" s="241">
        <f t="shared" si="0"/>
        <v>5029.6771200000003</v>
      </c>
      <c r="K25" s="242">
        <f t="shared" si="1"/>
        <v>5784.1286880000007</v>
      </c>
      <c r="L25" s="240" t="s">
        <v>918</v>
      </c>
    </row>
    <row r="26" spans="1:12">
      <c r="A26" s="240">
        <v>17</v>
      </c>
      <c r="B26" s="240" t="s">
        <v>919</v>
      </c>
      <c r="C26" s="240">
        <v>6.0119999999999996</v>
      </c>
      <c r="D26" s="241">
        <f t="shared" si="4"/>
        <v>1625.6448</v>
      </c>
      <c r="E26" s="240">
        <v>9.1869999999999994</v>
      </c>
      <c r="F26" s="241">
        <f t="shared" si="3"/>
        <v>2484.1648</v>
      </c>
      <c r="G26" s="240">
        <v>13.041</v>
      </c>
      <c r="H26" s="241">
        <f t="shared" si="2"/>
        <v>3390.6600000000003</v>
      </c>
      <c r="I26" s="240">
        <v>19.757000000000001</v>
      </c>
      <c r="J26" s="241">
        <f t="shared" si="0"/>
        <v>6205.2785600000007</v>
      </c>
      <c r="K26" s="242">
        <f t="shared" si="1"/>
        <v>7136.0703440000007</v>
      </c>
      <c r="L26" s="240" t="s">
        <v>920</v>
      </c>
    </row>
    <row r="27" spans="1:12">
      <c r="A27" s="240">
        <v>18</v>
      </c>
      <c r="B27" s="240" t="s">
        <v>921</v>
      </c>
      <c r="C27" s="240">
        <v>7.4169999999999998</v>
      </c>
      <c r="D27" s="241">
        <f t="shared" si="4"/>
        <v>2005.5567999999998</v>
      </c>
      <c r="E27" s="240">
        <v>11.455</v>
      </c>
      <c r="F27" s="241">
        <f t="shared" si="3"/>
        <v>3097.4320000000002</v>
      </c>
      <c r="G27" s="240">
        <v>16.327000000000002</v>
      </c>
      <c r="H27" s="241">
        <f t="shared" si="2"/>
        <v>4245.0200000000004</v>
      </c>
      <c r="I27" s="240">
        <v>24.707999999999998</v>
      </c>
      <c r="J27" s="241">
        <f t="shared" si="0"/>
        <v>7760.2886399999998</v>
      </c>
      <c r="K27" s="242">
        <f t="shared" si="1"/>
        <v>8924.3319359999987</v>
      </c>
      <c r="L27" s="240" t="s">
        <v>922</v>
      </c>
    </row>
    <row r="28" spans="1:12">
      <c r="A28" s="240">
        <v>19</v>
      </c>
      <c r="B28" s="240" t="s">
        <v>923</v>
      </c>
      <c r="C28" s="240">
        <v>9.4169999999999998</v>
      </c>
      <c r="D28" s="241">
        <f t="shared" si="4"/>
        <v>2546.3568</v>
      </c>
      <c r="E28" s="240">
        <v>14.507999999999999</v>
      </c>
      <c r="F28" s="241">
        <f t="shared" si="3"/>
        <v>3922.9632000000001</v>
      </c>
      <c r="G28" s="240">
        <v>20.693999999999999</v>
      </c>
      <c r="H28" s="241">
        <f t="shared" si="2"/>
        <v>5380.44</v>
      </c>
      <c r="I28" s="243">
        <v>31.16</v>
      </c>
      <c r="J28" s="241">
        <f t="shared" si="0"/>
        <v>9786.7327999999998</v>
      </c>
      <c r="K28" s="242">
        <f t="shared" si="1"/>
        <v>11254.74272</v>
      </c>
      <c r="L28" s="240" t="s">
        <v>752</v>
      </c>
    </row>
    <row r="29" spans="1:12">
      <c r="A29" s="240">
        <v>20</v>
      </c>
      <c r="B29" s="240" t="s">
        <v>924</v>
      </c>
      <c r="C29" s="240">
        <v>11.957000000000001</v>
      </c>
      <c r="D29" s="241">
        <f t="shared" si="4"/>
        <v>3233.1728000000003</v>
      </c>
      <c r="E29" s="240">
        <v>18.382000000000001</v>
      </c>
      <c r="F29" s="241">
        <f t="shared" si="3"/>
        <v>4970.4928000000009</v>
      </c>
      <c r="G29" s="240">
        <v>26.242999999999999</v>
      </c>
      <c r="H29" s="241">
        <f t="shared" si="2"/>
        <v>6823.1799999999994</v>
      </c>
      <c r="I29" s="240">
        <v>39.634999999999998</v>
      </c>
      <c r="J29" s="241">
        <f t="shared" si="0"/>
        <v>12448.560799999999</v>
      </c>
      <c r="K29" s="242">
        <f t="shared" si="1"/>
        <v>14315.84492</v>
      </c>
      <c r="L29" s="240" t="s">
        <v>924</v>
      </c>
    </row>
    <row r="30" spans="1:12">
      <c r="A30" s="240">
        <v>21</v>
      </c>
      <c r="B30" s="240" t="s">
        <v>925</v>
      </c>
      <c r="C30" s="240">
        <v>15.221</v>
      </c>
      <c r="D30" s="241">
        <f t="shared" si="4"/>
        <v>4115.7584000000006</v>
      </c>
      <c r="E30" s="240">
        <v>23.343</v>
      </c>
      <c r="F30" s="241">
        <f t="shared" si="3"/>
        <v>6311.9472000000005</v>
      </c>
      <c r="G30" s="240">
        <v>33.308999999999997</v>
      </c>
      <c r="H30" s="241">
        <f t="shared" si="2"/>
        <v>8660.34</v>
      </c>
      <c r="I30" s="240">
        <v>50.344000000000001</v>
      </c>
      <c r="J30" s="241">
        <f t="shared" si="0"/>
        <v>15812.043520000001</v>
      </c>
      <c r="K30" s="242">
        <f t="shared" si="1"/>
        <v>18183.850048</v>
      </c>
      <c r="L30" s="240" t="s">
        <v>925</v>
      </c>
    </row>
    <row r="31" spans="1:12">
      <c r="A31" s="158"/>
      <c r="B31" s="158"/>
      <c r="C31" s="158"/>
      <c r="D31" s="158"/>
      <c r="E31" s="158"/>
      <c r="F31" s="158"/>
      <c r="G31" s="158"/>
      <c r="H31" s="158"/>
      <c r="I31" s="158"/>
      <c r="J31" s="158"/>
    </row>
    <row r="32" spans="1:12">
      <c r="A32" s="158"/>
      <c r="B32" s="158"/>
      <c r="C32" s="158"/>
      <c r="D32" s="158"/>
      <c r="E32" s="158"/>
      <c r="F32" s="158"/>
      <c r="G32" s="158"/>
      <c r="H32" s="158"/>
      <c r="I32" s="158"/>
      <c r="J32" s="158"/>
    </row>
    <row r="33" spans="1:10">
      <c r="A33" s="158"/>
      <c r="B33" s="158"/>
      <c r="C33" s="158"/>
      <c r="D33" s="158"/>
      <c r="E33" s="158"/>
      <c r="F33" s="158"/>
      <c r="G33" s="158"/>
      <c r="H33" s="158"/>
      <c r="I33" s="158"/>
      <c r="J33" s="158"/>
    </row>
    <row r="34" spans="1:10" ht="15.6">
      <c r="A34" s="244" t="s">
        <v>926</v>
      </c>
      <c r="B34" s="158"/>
      <c r="C34" s="158"/>
      <c r="D34" s="158"/>
      <c r="E34" s="158"/>
      <c r="F34" s="158"/>
      <c r="G34" s="158"/>
      <c r="H34" s="158"/>
      <c r="I34" s="158"/>
      <c r="J34" s="158"/>
    </row>
    <row r="35" spans="1:10" ht="15.6">
      <c r="A35" s="245">
        <v>1</v>
      </c>
      <c r="B35" s="245" t="s">
        <v>927</v>
      </c>
      <c r="C35" s="158"/>
      <c r="D35" s="245"/>
      <c r="E35" s="245"/>
      <c r="F35" s="158"/>
      <c r="G35" s="158"/>
      <c r="H35" s="158"/>
      <c r="I35" s="158"/>
      <c r="J35" s="158"/>
    </row>
    <row r="36" spans="1:10" ht="15.6">
      <c r="A36" s="245">
        <v>2</v>
      </c>
      <c r="B36" s="245" t="s">
        <v>928</v>
      </c>
      <c r="C36" s="158"/>
      <c r="D36" s="245"/>
      <c r="E36" s="245"/>
      <c r="F36" s="245"/>
      <c r="G36" s="245"/>
      <c r="H36" s="245"/>
      <c r="I36" s="245"/>
      <c r="J36" s="245"/>
    </row>
    <row r="37" spans="1:10" ht="15.6">
      <c r="A37" s="245">
        <v>3</v>
      </c>
      <c r="B37" s="245" t="s">
        <v>929</v>
      </c>
      <c r="C37" s="158"/>
      <c r="D37" s="245"/>
      <c r="E37" s="245"/>
      <c r="F37" s="245"/>
      <c r="G37" s="158"/>
      <c r="H37" s="158"/>
      <c r="I37" s="158"/>
      <c r="J37" s="158"/>
    </row>
    <row r="38" spans="1:10" ht="15.6">
      <c r="A38" s="245">
        <v>4</v>
      </c>
      <c r="B38" s="245" t="s">
        <v>1044</v>
      </c>
      <c r="C38" s="158"/>
      <c r="D38" s="245"/>
      <c r="E38" s="245"/>
      <c r="F38" s="245"/>
      <c r="G38" s="245"/>
      <c r="H38" s="245"/>
      <c r="I38" s="245"/>
      <c r="J38" s="245"/>
    </row>
    <row r="39" spans="1:10" ht="15.6">
      <c r="A39" s="245">
        <v>5</v>
      </c>
      <c r="B39" s="245" t="s">
        <v>930</v>
      </c>
      <c r="C39" s="158"/>
      <c r="D39" s="158"/>
      <c r="E39" s="158"/>
      <c r="F39" s="158"/>
      <c r="G39" s="158"/>
      <c r="H39" s="158"/>
      <c r="I39" s="158"/>
      <c r="J39" s="158"/>
    </row>
    <row r="40" spans="1:10" ht="15.6">
      <c r="B40" s="260" t="s">
        <v>1045</v>
      </c>
      <c r="C40" s="13"/>
      <c r="D40" s="13">
        <v>302</v>
      </c>
    </row>
  </sheetData>
  <mergeCells count="12">
    <mergeCell ref="K8:K9"/>
    <mergeCell ref="I8:J8"/>
    <mergeCell ref="L8:L9"/>
    <mergeCell ref="A2:J2"/>
    <mergeCell ref="A3:J3"/>
    <mergeCell ref="A4:J4"/>
    <mergeCell ref="A6:J6"/>
    <mergeCell ref="A8:A9"/>
    <mergeCell ref="B8:B9"/>
    <mergeCell ref="C8:D8"/>
    <mergeCell ref="E8:F8"/>
    <mergeCell ref="G8:H8"/>
  </mergeCells>
  <pageMargins left="0.7" right="0.7" top="0.75" bottom="0.75" header="0.3" footer="0.3"/>
  <pageSetup paperSize="9" scale="8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9A142-9943-4798-92FB-80CF212EAF99}">
  <dimension ref="A1"/>
  <sheetViews>
    <sheetView topLeftCell="A7" workbookViewId="0">
      <selection activeCell="M25" sqref="M25"/>
    </sheetView>
  </sheetViews>
  <sheetFormatPr defaultRowHeight="13.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134D-34BB-4EE7-AD71-50F7F43A9161}">
  <sheetPr>
    <tabColor rgb="FF92D050"/>
  </sheetPr>
  <dimension ref="A1:G24"/>
  <sheetViews>
    <sheetView view="pageBreakPreview" zoomScale="115" zoomScaleNormal="145" zoomScaleSheetLayoutView="115" workbookViewId="0">
      <selection activeCell="B9" sqref="B9"/>
    </sheetView>
  </sheetViews>
  <sheetFormatPr defaultColWidth="9.109375" defaultRowHeight="13.2"/>
  <cols>
    <col min="1" max="1" width="4.88671875" style="158" customWidth="1"/>
    <col min="2" max="2" width="55.88671875" style="158" customWidth="1"/>
    <col min="3" max="3" width="5.109375" style="159" bestFit="1" customWidth="1"/>
    <col min="4" max="4" width="8.5546875" style="158" bestFit="1" customWidth="1"/>
    <col min="5" max="5" width="8.6640625" style="158" bestFit="1" customWidth="1"/>
    <col min="6" max="6" width="8.44140625" style="158" bestFit="1" customWidth="1"/>
    <col min="7" max="7" width="13.88671875" style="158" bestFit="1" customWidth="1"/>
    <col min="8" max="16384" width="9.109375" style="158"/>
  </cols>
  <sheetData>
    <row r="1" spans="1:7">
      <c r="A1" s="829" t="str">
        <f>cover!A1</f>
        <v>GOVERNMENT OF NEPAL</v>
      </c>
      <c r="B1" s="829"/>
      <c r="C1" s="829"/>
      <c r="D1" s="829"/>
      <c r="E1" s="829"/>
      <c r="F1" s="829"/>
      <c r="G1" s="829"/>
    </row>
    <row r="2" spans="1:7">
      <c r="A2" s="826" t="str">
        <f>cover!A2</f>
        <v xml:space="preserve">RAINAS MUNICIPALITY </v>
      </c>
      <c r="B2" s="826"/>
      <c r="C2" s="826"/>
      <c r="D2" s="826"/>
      <c r="E2" s="826"/>
      <c r="F2" s="826"/>
      <c r="G2" s="826"/>
    </row>
    <row r="3" spans="1:7" ht="15.6">
      <c r="A3" s="814" t="str">
        <f>cover!A3</f>
        <v>OFFICE OF THE MUNICIPAL EXECUTIVE</v>
      </c>
      <c r="B3" s="814"/>
      <c r="C3" s="814"/>
      <c r="D3" s="814"/>
      <c r="E3" s="814"/>
      <c r="F3" s="814"/>
      <c r="G3" s="814"/>
    </row>
    <row r="4" spans="1:7">
      <c r="A4" s="826" t="str">
        <f>cover!A4</f>
        <v>TINPIPLE,LAMJUNG</v>
      </c>
      <c r="B4" s="826"/>
      <c r="C4" s="826"/>
      <c r="D4" s="826"/>
      <c r="E4" s="826"/>
      <c r="F4" s="826"/>
      <c r="G4" s="826"/>
    </row>
    <row r="5" spans="1:7">
      <c r="A5" s="826">
        <f>cover!A5</f>
        <v>0</v>
      </c>
      <c r="B5" s="826"/>
      <c r="C5" s="826"/>
      <c r="D5" s="826"/>
      <c r="E5" s="826"/>
      <c r="F5" s="826"/>
      <c r="G5" s="826"/>
    </row>
    <row r="6" spans="1:7" ht="15.6">
      <c r="A6" s="1081" t="s">
        <v>819</v>
      </c>
      <c r="B6" s="1081"/>
      <c r="C6" s="1081"/>
      <c r="D6" s="1081"/>
      <c r="E6" s="1081"/>
      <c r="F6" s="1081"/>
      <c r="G6" s="1081"/>
    </row>
    <row r="7" spans="1:7">
      <c r="A7" s="1080" t="s">
        <v>1112</v>
      </c>
      <c r="B7" s="1080"/>
      <c r="C7" s="310"/>
      <c r="D7" s="310"/>
      <c r="E7" s="310"/>
      <c r="F7" s="157"/>
      <c r="G7" s="317" t="str">
        <f>Summary!E6</f>
        <v>F / Y  :  2082/083</v>
      </c>
    </row>
    <row r="8" spans="1:7" ht="39.6">
      <c r="A8" s="311" t="s">
        <v>182</v>
      </c>
      <c r="B8" s="311" t="s">
        <v>54</v>
      </c>
      <c r="C8" s="311" t="s">
        <v>45</v>
      </c>
      <c r="D8" s="311" t="s">
        <v>212</v>
      </c>
      <c r="E8" s="311" t="s">
        <v>253</v>
      </c>
      <c r="F8" s="311" t="s">
        <v>58</v>
      </c>
      <c r="G8" s="311" t="s">
        <v>1113</v>
      </c>
    </row>
    <row r="9" spans="1:7" ht="66">
      <c r="A9" s="239">
        <v>1</v>
      </c>
      <c r="B9" s="312" t="s">
        <v>1088</v>
      </c>
      <c r="C9" s="239" t="s">
        <v>50</v>
      </c>
      <c r="D9" s="313">
        <f>689*10.76</f>
        <v>7413.6399999999994</v>
      </c>
      <c r="E9" s="313"/>
      <c r="F9" s="313">
        <f>D9+E9</f>
        <v>7413.6399999999994</v>
      </c>
      <c r="G9" s="314" t="s">
        <v>1423</v>
      </c>
    </row>
    <row r="10" spans="1:7" ht="66">
      <c r="A10" s="239">
        <v>2</v>
      </c>
      <c r="B10" s="312" t="s">
        <v>1089</v>
      </c>
      <c r="C10" s="239" t="s">
        <v>50</v>
      </c>
      <c r="D10" s="313">
        <f>759*10.76</f>
        <v>8166.84</v>
      </c>
      <c r="E10" s="313"/>
      <c r="F10" s="313">
        <f t="shared" ref="F10:F24" si="0">D10+E10</f>
        <v>8166.84</v>
      </c>
      <c r="G10" s="314" t="s">
        <v>1424</v>
      </c>
    </row>
    <row r="11" spans="1:7" ht="52.8">
      <c r="A11" s="239">
        <v>3</v>
      </c>
      <c r="B11" s="312" t="s">
        <v>1090</v>
      </c>
      <c r="C11" s="239" t="s">
        <v>50</v>
      </c>
      <c r="D11" s="315">
        <f>877*10.76</f>
        <v>9436.52</v>
      </c>
      <c r="E11" s="313"/>
      <c r="F11" s="313">
        <f t="shared" si="0"/>
        <v>9436.52</v>
      </c>
      <c r="G11" s="314" t="s">
        <v>1425</v>
      </c>
    </row>
    <row r="12" spans="1:7" ht="52.8">
      <c r="A12" s="239">
        <v>4</v>
      </c>
      <c r="B12" s="312" t="s">
        <v>1091</v>
      </c>
      <c r="C12" s="239" t="s">
        <v>50</v>
      </c>
      <c r="D12" s="315">
        <f>966*10.76</f>
        <v>10394.16</v>
      </c>
      <c r="E12" s="313"/>
      <c r="F12" s="313">
        <f t="shared" si="0"/>
        <v>10394.16</v>
      </c>
      <c r="G12" s="314" t="s">
        <v>1426</v>
      </c>
    </row>
    <row r="13" spans="1:7" ht="52.8">
      <c r="A13" s="239">
        <v>5</v>
      </c>
      <c r="B13" s="312" t="s">
        <v>1092</v>
      </c>
      <c r="C13" s="239" t="s">
        <v>50</v>
      </c>
      <c r="D13" s="315">
        <f>550*10.76</f>
        <v>5918</v>
      </c>
      <c r="E13" s="313"/>
      <c r="F13" s="313">
        <f t="shared" si="0"/>
        <v>5918</v>
      </c>
      <c r="G13" s="314" t="s">
        <v>1427</v>
      </c>
    </row>
    <row r="14" spans="1:7" ht="62.25" customHeight="1">
      <c r="A14" s="239">
        <v>6</v>
      </c>
      <c r="B14" s="312" t="s">
        <v>1093</v>
      </c>
      <c r="C14" s="239" t="s">
        <v>50</v>
      </c>
      <c r="D14" s="315">
        <f>634*10.76</f>
        <v>6821.84</v>
      </c>
      <c r="E14" s="313"/>
      <c r="F14" s="313">
        <f t="shared" si="0"/>
        <v>6821.84</v>
      </c>
      <c r="G14" s="314" t="s">
        <v>1428</v>
      </c>
    </row>
    <row r="15" spans="1:7" ht="66">
      <c r="A15" s="239">
        <v>7</v>
      </c>
      <c r="B15" s="312" t="s">
        <v>1094</v>
      </c>
      <c r="C15" s="239" t="s">
        <v>50</v>
      </c>
      <c r="D15" s="315">
        <f>599*10.76</f>
        <v>6445.24</v>
      </c>
      <c r="E15" s="313"/>
      <c r="F15" s="313">
        <f t="shared" si="0"/>
        <v>6445.24</v>
      </c>
      <c r="G15" s="314" t="s">
        <v>1429</v>
      </c>
    </row>
    <row r="16" spans="1:7" ht="66">
      <c r="A16" s="239">
        <v>8</v>
      </c>
      <c r="B16" s="312" t="s">
        <v>1095</v>
      </c>
      <c r="C16" s="239" t="s">
        <v>50</v>
      </c>
      <c r="D16" s="315">
        <f>690*10.76</f>
        <v>7424.4</v>
      </c>
      <c r="E16" s="313"/>
      <c r="F16" s="313">
        <f t="shared" si="0"/>
        <v>7424.4</v>
      </c>
      <c r="G16" s="314" t="s">
        <v>1430</v>
      </c>
    </row>
    <row r="17" spans="1:7" ht="52.8">
      <c r="A17" s="239">
        <v>9</v>
      </c>
      <c r="B17" s="312" t="s">
        <v>1096</v>
      </c>
      <c r="C17" s="239" t="s">
        <v>50</v>
      </c>
      <c r="D17" s="315">
        <f>456*10.76</f>
        <v>4906.5599999999995</v>
      </c>
      <c r="E17" s="313"/>
      <c r="F17" s="313">
        <f t="shared" si="0"/>
        <v>4906.5599999999995</v>
      </c>
      <c r="G17" s="314" t="s">
        <v>1431</v>
      </c>
    </row>
    <row r="18" spans="1:7" ht="52.8">
      <c r="A18" s="239">
        <v>10</v>
      </c>
      <c r="B18" s="312" t="s">
        <v>1097</v>
      </c>
      <c r="C18" s="239" t="s">
        <v>50</v>
      </c>
      <c r="D18" s="315">
        <f>524*10.76</f>
        <v>5638.24</v>
      </c>
      <c r="E18" s="313"/>
      <c r="F18" s="313">
        <f t="shared" si="0"/>
        <v>5638.24</v>
      </c>
      <c r="G18" s="314" t="s">
        <v>1432</v>
      </c>
    </row>
    <row r="19" spans="1:7" s="309" customFormat="1" ht="26.4">
      <c r="A19" s="239">
        <v>11</v>
      </c>
      <c r="B19" s="312" t="s">
        <v>1098</v>
      </c>
      <c r="C19" s="239" t="s">
        <v>50</v>
      </c>
      <c r="D19" s="316">
        <f>200*10.76</f>
        <v>2152</v>
      </c>
      <c r="E19" s="313"/>
      <c r="F19" s="313">
        <f t="shared" si="0"/>
        <v>2152</v>
      </c>
      <c r="G19" s="314" t="s">
        <v>1433</v>
      </c>
    </row>
    <row r="20" spans="1:7" ht="52.8">
      <c r="A20" s="239">
        <v>12</v>
      </c>
      <c r="B20" s="312" t="s">
        <v>1099</v>
      </c>
      <c r="C20" s="239" t="s">
        <v>50</v>
      </c>
      <c r="D20" s="313">
        <f>553*10.76</f>
        <v>5950.28</v>
      </c>
      <c r="E20" s="313"/>
      <c r="F20" s="313">
        <f t="shared" si="0"/>
        <v>5950.28</v>
      </c>
      <c r="G20" s="314" t="s">
        <v>1434</v>
      </c>
    </row>
    <row r="21" spans="1:7" ht="52.8">
      <c r="A21" s="239">
        <v>13</v>
      </c>
      <c r="B21" s="312" t="s">
        <v>1102</v>
      </c>
      <c r="C21" s="239" t="s">
        <v>50</v>
      </c>
      <c r="D21" s="313">
        <f>600*10.76</f>
        <v>6456</v>
      </c>
      <c r="E21" s="313"/>
      <c r="F21" s="313">
        <f t="shared" si="0"/>
        <v>6456</v>
      </c>
      <c r="G21" s="314" t="s">
        <v>1435</v>
      </c>
    </row>
    <row r="22" spans="1:7" s="309" customFormat="1" ht="52.8">
      <c r="A22" s="239">
        <v>14</v>
      </c>
      <c r="B22" s="312" t="s">
        <v>1100</v>
      </c>
      <c r="C22" s="239" t="s">
        <v>50</v>
      </c>
      <c r="D22" s="316">
        <f>415*10.76</f>
        <v>4465.3999999999996</v>
      </c>
      <c r="E22" s="313"/>
      <c r="F22" s="313">
        <f t="shared" si="0"/>
        <v>4465.3999999999996</v>
      </c>
      <c r="G22" s="314" t="s">
        <v>1436</v>
      </c>
    </row>
    <row r="23" spans="1:7" ht="52.8">
      <c r="A23" s="239">
        <v>15</v>
      </c>
      <c r="B23" s="312" t="s">
        <v>1101</v>
      </c>
      <c r="C23" s="239" t="s">
        <v>50</v>
      </c>
      <c r="D23" s="313">
        <f>509*10.76</f>
        <v>5476.84</v>
      </c>
      <c r="E23" s="313"/>
      <c r="F23" s="313">
        <f t="shared" si="0"/>
        <v>5476.84</v>
      </c>
      <c r="G23" s="314" t="s">
        <v>1437</v>
      </c>
    </row>
    <row r="24" spans="1:7" ht="39" customHeight="1">
      <c r="A24" s="239">
        <v>16</v>
      </c>
      <c r="B24" s="312" t="s">
        <v>1103</v>
      </c>
      <c r="C24" s="239" t="s">
        <v>50</v>
      </c>
      <c r="D24" s="313">
        <v>1400</v>
      </c>
      <c r="E24" s="313"/>
      <c r="F24" s="313">
        <f t="shared" si="0"/>
        <v>1400</v>
      </c>
      <c r="G24" s="425" t="s">
        <v>1386</v>
      </c>
    </row>
  </sheetData>
  <mergeCells count="7">
    <mergeCell ref="A7:B7"/>
    <mergeCell ref="A1:G1"/>
    <mergeCell ref="A2:G2"/>
    <mergeCell ref="A3:G3"/>
    <mergeCell ref="A4:G4"/>
    <mergeCell ref="A5:G5"/>
    <mergeCell ref="A6:G6"/>
  </mergeCells>
  <printOptions horizontalCentered="1"/>
  <pageMargins left="0.74" right="0.25" top="0.5" bottom="0.75" header="0.5" footer="0.5"/>
  <pageSetup scale="8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cover</vt:lpstr>
      <vt:lpstr>Summary</vt:lpstr>
      <vt:lpstr>Basic Rate</vt:lpstr>
      <vt:lpstr>Rate Analysis</vt:lpstr>
      <vt:lpstr>LABOUR 2082083</vt:lpstr>
      <vt:lpstr>Aluminium Door-Windows</vt:lpstr>
      <vt:lpstr>Add Analysis</vt:lpstr>
      <vt:lpstr>LM Collection</vt:lpstr>
      <vt:lpstr>Cover1</vt:lpstr>
      <vt:lpstr>add</vt:lpstr>
      <vt:lpstr>HDP,Pipe,Rate</vt:lpstr>
      <vt:lpstr>Sheet1</vt:lpstr>
      <vt:lpstr>aluminium dw</vt:lpstr>
      <vt:lpstr>'Aluminium Door-Windows'!Print_Area</vt:lpstr>
      <vt:lpstr>'aluminium dw'!Print_Area</vt:lpstr>
      <vt:lpstr>'Basic Rate'!Print_Area</vt:lpstr>
      <vt:lpstr>Cover1!Print_Area</vt:lpstr>
      <vt:lpstr>'LABOUR 2082083'!Print_Area</vt:lpstr>
      <vt:lpstr>'Rate Analysis'!Print_Area</vt:lpstr>
      <vt:lpstr>Summary!Print_Area</vt:lpstr>
      <vt:lpstr>'Basic Rate'!Print_Titles</vt:lpstr>
      <vt:lpstr>Summary!Print_Titles</vt:lpstr>
    </vt:vector>
  </TitlesOfParts>
  <Company>DUDBC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Rate Analysis</dc:title>
  <dc:subject>Civil</dc:subject>
  <dc:creator>Yateendra Labh</dc:creator>
  <cp:lastModifiedBy>Pradip Adhikari</cp:lastModifiedBy>
  <cp:lastPrinted>2023-08-28T07:12:47Z</cp:lastPrinted>
  <dcterms:created xsi:type="dcterms:W3CDTF">2005-10-29T07:44:27Z</dcterms:created>
  <dcterms:modified xsi:type="dcterms:W3CDTF">2026-03-01T15:32:05Z</dcterms:modified>
</cp:coreProperties>
</file>